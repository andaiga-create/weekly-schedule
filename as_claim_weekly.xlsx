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CA62D3BC-D0E7-4903-9B88-60A2CA76BA07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4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0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0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0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3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5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4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<sst xmlns="http://schemas.openxmlformats.org/spreadsheetml/2006/main" count="20060" uniqueCount="5517">
  <si>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</si>
  <si>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</si>
  <si>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</si>
  <si>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</si>
  <si>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</si>
  <si>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</si>
  <si>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</si>
  <si>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</si>
  <si>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</si>
  <si>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</si>
  <si>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</si>
  <si>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</si>
  <si>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</si>
  <si>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</si>
  <si>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</si>
  <si>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</si>
  <si>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</si>
  <si>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</si>
  <si>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</si>
  <si>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</si>
  <si>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</si>
  <si>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</si>
  <si>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</si>
  <si>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</si>
  <si>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</si>
  <si>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</si>
  <si>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</si>
  <si>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</si>
  <si>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</si>
  <si>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</si>
  <si>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</si>
  <si>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</si>
  <si>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</si>
  <si>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</si>
  <si>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</si>
  <si>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</si>
  <si>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</si>
  <si>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</si>
  <si>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</si>
  <si>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</si>
  <si>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</si>
  <si>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</si>
  <si>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</si>
  <si>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</si>
  <si>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</si>
  <si>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</si>
  <si>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</si>
  <si>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</si>
  <si>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</si>
  <si>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</si>
  <si>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</si>
  <si>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</si>
  <si>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</si>
  <si>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</si>
  <si>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</si>
  <si>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</si>
  <si>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</si>
  <si>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</si>
  <si>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</si>
  <si>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</si>
  <si>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</si>
  <si>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</si>
  <si>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</si>
  <si>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</si>
  <si>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</si>
  <si>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</si>
  <si>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</si>
  <si>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</si>
  <si>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</si>
  <si>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</si>
  <si>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</si>
  <si>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</si>
  <si>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</si>
  <si>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</si>
  <si>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</si>
  <si>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</si>
  <si>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</si>
  <si>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</si>
  <si>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</si>
  <si>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</si>
  <si>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</si>
  <si>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</si>
  <si>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</si>
  <si>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</si>
  <si>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</si>
  <si>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</si>
  <si>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</si>
  <si>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</si>
  <si>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</si>
  <si>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</si>
  <si>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</si>
  <si>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</si>
  <si>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</si>
  <si>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</si>
  <si>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</si>
  <si>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</si>
  <si>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</si>
  <si>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</si>
  <si>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</si>
  <si>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</si>
  <si>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</si>
  <si>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</si>
  <si>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</si>
  <si>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</si>
  <si>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</si>
  <si>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</si>
  <si>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</si>
  <si>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</si>
  <si>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</si>
  <si>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</si>
  <si>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</si>
  <si>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</si>
  <si>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</si>
  <si>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</si>
  <si>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</si>
  <si>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</si>
  <si>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</si>
  <si>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</si>
  <si>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</si>
  <si>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</si>
  <si>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</si>
  <si>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</si>
  <si>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</si>
  <si>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</si>
  <si>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</si>
  <si>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</si>
  <si>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</si>
  <si>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</si>
  <si>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</si>
  <si>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</si>
  <si>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</si>
  <si>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</si>
  <si>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</si>
  <si>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</si>
  <si>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</si>
  <si>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</si>
  <si>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</si>
  <si>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</si>
  <si>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</si>
  <si>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</si>
  <si>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</si>
  <si>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</si>
  <si>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</si>
  <si>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</si>
  <si>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</si>
  <si>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</si>
  <si>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</si>
  <si>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</si>
  <si>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</si>
  <si>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</si>
  <si>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</si>
  <si>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</si>
  <si>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</si>
  <si>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</si>
  <si>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</si>
  <si>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</si>
  <si>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</si>
  <si>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</si>
  <si>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</si>
  <si>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</si>
  <si>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</si>
  <si>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</si>
  <si>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</si>
  <si>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</si>
  <si>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</si>
  <si>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</si>
  <si>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</si>
  <si>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</si>
  <si>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</si>
  <si>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</si>
  <si>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</si>
  <si>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</si>
  <si>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</si>
  <si>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</si>
  <si>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</si>
  <si>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</si>
  <si>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</si>
  <si>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</si>
  <si>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</si>
  <si>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</si>
  <si>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</si>
  <si>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</si>
  <si>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</si>
  <si>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</si>
  <si>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</si>
  <si>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</si>
  <si>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</si>
  <si>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</si>
  <si>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</si>
  <si>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</si>
  <si>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</si>
  <si>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</si>
  <si>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</si>
  <si>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</si>
  <si>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</si>
  <si>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</si>
  <si>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</si>
  <si>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</si>
  <si>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</si>
  <si>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</si>
  <si>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</si>
  <si>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</si>
  <si>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</si>
  <si>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</si>
  <si>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</si>
  <si>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</si>
  <si>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</si>
  <si>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</si>
  <si>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</si>
  <si>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</si>
  <si>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</si>
  <si>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</si>
  <si>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</si>
  <si>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</si>
  <si>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</si>
  <si>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</si>
  <si>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</si>
  <si>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</si>
  <si>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</si>
  <si>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</si>
  <si>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</si>
  <si>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</si>
  <si>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</si>
  <si>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</si>
  <si>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</si>
  <si>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</si>
  <si>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</si>
  <si>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</si>
  <si>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</si>
  <si>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</si>
  <si>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</si>
  <si>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</si>
  <si>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</si>
  <si>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</si>
  <si>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</si>
  <si>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</si>
  <si>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</si>
  <si>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</si>
  <si>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</si>
  <si>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</si>
  <si>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</si>
  <si>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</si>
  <si>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</si>
  <si>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</si>
  <si>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</si>
  <si>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</si>
  <si>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</si>
  <si>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</si>
  <si>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</si>
  <si>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</si>
  <si>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</si>
  <si>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</si>
  <si>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</si>
  <si>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</si>
  <si>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</si>
  <si>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</si>
  <si>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</si>
  <si>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</si>
  <si>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</si>
  <si>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</si>
  <si>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</si>
  <si>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</si>
  <si>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</si>
  <si>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</si>
  <si>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</si>
  <si>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</si>
  <si>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</si>
  <si>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</si>
  <si>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</si>
  <si>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</si>
  <si>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</si>
  <si>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</si>
  <si>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</si>
  <si>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</si>
  <si>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</si>
  <si>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</si>
  <si>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</si>
  <si>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</si>
  <si>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</si>
  <si>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</si>
  <si>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</si>
  <si>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</si>
  <si>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</si>
  <si>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</si>
  <si>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</si>
  <si>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</si>
  <si>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</si>
  <si>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</si>
  <si>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</si>
  <si>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</si>
  <si>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</si>
  <si>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</si>
  <si>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</si>
  <si>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</si>
  <si>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</si>
  <si>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</si>
  <si>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</si>
  <si>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</si>
  <si>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</si>
  <si>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</si>
  <si>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</si>
  <si>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</si>
  <si>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</si>
  <si>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</si>
  <si>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</si>
  <si>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</si>
  <si>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</si>
  <si>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</si>
  <si>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</si>
  <si>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</si>
  <si>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</si>
  <si>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</si>
  <si>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</si>
  <si>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</si>
  <si>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</si>
  <si>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</si>
  <si>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</si>
  <si>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</si>
  <si>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</si>
  <si>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</si>
  <si>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</si>
  <si>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</si>
  <si>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</si>
  <si>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</si>
  <si>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</si>
  <si>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</si>
  <si>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</si>
  <si>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</si>
  <si>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</si>
  <si>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</si>
  <si>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</si>
  <si>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</si>
  <si>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</si>
  <si>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</si>
  <si>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</si>
  <si>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</si>
  <si>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</si>
  <si>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</si>
  <si>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</si>
  <si>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</si>
  <si>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</si>
  <si>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</si>
  <si>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</si>
  <si>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</si>
  <si>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</si>
  <si>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</si>
  <si>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</si>
  <si>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</si>
  <si>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</si>
  <si>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</si>
  <si>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</si>
  <si>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</si>
  <si>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</si>
  <si>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</si>
  <si>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</si>
  <si>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</si>
  <si>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</si>
  <si>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</si>
  <si>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</si>
  <si>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</si>
  <si>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</si>
  <si>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</si>
  <si>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</si>
  <si>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</si>
  <si>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</si>
  <si>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</si>
  <si>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</si>
  <si>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</si>
  <si>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</si>
  <si>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</si>
  <si>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</si>
  <si>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</si>
  <si>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</si>
  <si>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</si>
  <si>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</si>
  <si>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</si>
  <si>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</si>
  <si>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</si>
  <si>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</si>
  <si>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</si>
  <si>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</si>
  <si>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</si>
  <si>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</si>
  <si>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</si>
  <si>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</si>
  <si>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</si>
  <si>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</si>
  <si>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</si>
  <si>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</si>
  <si>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</si>
  <si>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</si>
  <si>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</si>
  <si>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</si>
  <si>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</si>
  <si>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</si>
  <si>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</si>
  <si>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</si>
  <si>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</si>
  <si>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</si>
  <si>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</si>
  <si>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</si>
  <si>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</si>
  <si>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</si>
  <si>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</si>
  <si>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</si>
  <si>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</si>
  <si>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</si>
  <si>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</si>
  <si>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</si>
  <si>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</si>
  <si>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</si>
  <si>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</si>
  <si>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</si>
  <si>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</si>
  <si>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</si>
  <si>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</si>
  <si>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</si>
  <si>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</si>
  <si>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</si>
  <si>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</si>
  <si>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</si>
  <si>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</si>
  <si>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</si>
  <si>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</si>
  <si>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</si>
  <si>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</si>
  <si>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</si>
  <si>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</si>
  <si>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</si>
  <si>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</si>
  <si>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</si>
  <si>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</si>
  <si>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</si>
  <si>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</si>
  <si>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</si>
  <si>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</si>
  <si>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</si>
  <si>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</si>
  <si>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</si>
  <si>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</si>
  <si>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</si>
  <si>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</si>
  <si>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</si>
  <si>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</si>
  <si>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</si>
  <si>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</si>
  <si>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</si>
  <si>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</si>
  <si>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</si>
  <si>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</si>
  <si>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</si>
  <si>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</si>
  <si>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</si>
  <si>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</si>
  <si>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</si>
  <si>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</si>
  <si>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</si>
  <si>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</si>
  <si>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</si>
  <si>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</si>
  <si>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</si>
  <si>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</si>
  <si>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</si>
  <si>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</si>
  <si>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</si>
  <si>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</si>
  <si>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</si>
  <si>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</si>
  <si>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</si>
  <si>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</si>
  <si>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</si>
  <si>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</si>
  <si>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</si>
  <si>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</si>
  <si>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</si>
  <si>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</si>
  <si>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</si>
  <si>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</si>
  <si>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</si>
  <si>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</si>
  <si>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</si>
  <si>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</si>
  <si>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</si>
  <si>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</si>
  <si>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</si>
  <si>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</si>
  <si>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</si>
  <si>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</si>
  <si>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</si>
  <si>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</si>
  <si>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</si>
  <si>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</si>
  <si>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</si>
  <si>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</si>
  <si>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</si>
  <si>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</si>
  <si>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</si>
  <si>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</si>
  <si>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</si>
  <si>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</si>
  <si>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</si>
  <si>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</si>
  <si>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</si>
  <si>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</si>
  <si>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</si>
  <si>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</si>
  <si>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</si>
  <si>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</si>
  <si>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</si>
  <si>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</si>
  <si>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</si>
  <si>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</si>
  <si>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</si>
  <si>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</si>
  <si>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</si>
  <si>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</si>
  <si>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</si>
  <si>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</si>
  <si>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</si>
  <si>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</si>
  <si>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</si>
  <si>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</si>
  <si>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</si>
  <si>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</si>
  <si>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</si>
  <si>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</si>
  <si>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</si>
  <si>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</si>
  <si>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</si>
  <si>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</si>
  <si>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</si>
  <si>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</si>
  <si>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</si>
  <si>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</si>
  <si>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</si>
  <si>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</si>
  <si>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</si>
  <si>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</si>
  <si>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</si>
  <si>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</si>
  <si>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</si>
  <si>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</si>
  <si>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</si>
  <si>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</si>
  <si>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</si>
  <si>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</si>
  <si>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</si>
  <si>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</si>
  <si>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</si>
  <si>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</si>
  <si>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</si>
  <si>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</si>
  <si>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</si>
  <si>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</si>
  <si>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</si>
  <si>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</si>
  <si>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</si>
  <si>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</si>
  <si>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</si>
  <si>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</si>
  <si>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</si>
  <si>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</si>
  <si>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</si>
  <si>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</si>
  <si>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</si>
  <si>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</si>
  <si>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</si>
  <si>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</si>
  <si>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</si>
  <si>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</si>
  <si>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</si>
  <si>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</si>
  <si>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</si>
  <si>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</si>
  <si>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</si>
  <si>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</si>
  <si>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</si>
  <si>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</si>
  <si>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</si>
  <si>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</si>
  <si>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</si>
  <si>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</si>
  <si>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</si>
  <si>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</si>
  <si>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</si>
  <si>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</si>
  <si>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</si>
  <si>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</si>
  <si>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</si>
  <si>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</si>
  <si>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</si>
  <si>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</si>
  <si>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</si>
  <si>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</si>
  <si>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</si>
  <si>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</si>
  <si>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</si>
  <si>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</si>
  <si>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</si>
  <si>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</si>
  <si>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</si>
  <si>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</si>
  <si>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</si>
  <si>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</si>
  <si>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</si>
  <si>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</si>
  <si>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</si>
  <si>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</si>
  <si>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</si>
  <si>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</si>
  <si>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</si>
  <si>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</si>
  <si>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</si>
  <si>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</si>
  <si>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</si>
  <si>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</si>
  <si>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</si>
  <si>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</si>
  <si>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</si>
  <si>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</si>
  <si>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</si>
  <si>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</si>
  <si>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</si>
  <si>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</si>
  <si>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</si>
  <si>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</si>
  <si>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</si>
  <si>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</si>
  <si>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</si>
  <si>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</si>
  <si>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</si>
  <si>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</si>
  <si>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</si>
  <si>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</si>
  <si>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</si>
  <si>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</si>
  <si>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</si>
  <si>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</si>
  <si>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</si>
  <si>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</si>
  <si>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</si>
  <si>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</si>
  <si>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</si>
  <si>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</si>
  <si>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</si>
  <si>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</si>
  <si>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</si>
  <si>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</si>
  <si>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</si>
  <si>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</si>
  <si>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</si>
  <si>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</si>
  <si>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</si>
  <si>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</si>
  <si>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</si>
  <si>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</si>
  <si>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</si>
  <si>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</si>
  <si>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</si>
  <si>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</si>
  <si>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</si>
  <si>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</si>
  <si>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</si>
  <si>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</si>
  <si>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</si>
  <si>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</si>
  <si>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</si>
  <si>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</si>
  <si>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</si>
  <si>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</si>
  <si>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</si>
  <si>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</si>
  <si>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</si>
  <si>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</si>
  <si>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</si>
  <si>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</si>
  <si>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</si>
  <si>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</si>
  <si>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</si>
  <si>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</si>
  <si>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</si>
  <si>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</si>
  <si>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</si>
  <si>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</si>
  <si>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</si>
  <si>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</si>
  <si>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</si>
  <si>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</si>
  <si>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</si>
  <si>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</si>
  <si>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</si>
  <si>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</si>
  <si>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</si>
  <si>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</si>
  <si>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</si>
  <si>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</si>
  <si>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</si>
  <si>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</si>
  <si>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</si>
  <si>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</si>
  <si>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</si>
  <si>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</si>
  <si>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</si>
  <si>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</si>
  <si>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</si>
  <si>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</si>
  <si>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</si>
  <si>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</si>
  <si>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</si>
  <si>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</si>
  <si>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</si>
  <si>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</si>
  <si>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</si>
  <si>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</si>
  <si>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</si>
  <si>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</si>
  <si>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</si>
  <si>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</si>
  <si>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</si>
  <si>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</si>
  <si>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</si>
  <si>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</si>
  <si>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</si>
  <si>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</si>
  <si>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</si>
  <si>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</si>
  <si>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</si>
  <si>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</si>
  <si>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</si>
  <si>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</si>
  <si>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</si>
  <si>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</si>
  <si>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</si>
  <si>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</si>
  <si>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</si>
  <si>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</si>
  <si>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</si>
  <si>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</si>
  <si>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</si>
  <si>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</si>
  <si>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</si>
  <si>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</si>
  <si>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</si>
  <si>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</si>
  <si>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</si>
  <si>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</si>
  <si>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</si>
  <si>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</si>
  <si>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</si>
  <si>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</si>
  <si>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</si>
  <si>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</si>
  <si>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</si>
  <si>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</si>
  <si>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</si>
  <si>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</si>
  <si>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</si>
  <si>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</si>
  <si>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</si>
  <si>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</si>
  <si>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</si>
  <si>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</si>
  <si>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</si>
  <si>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</si>
  <si>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</si>
  <si>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</si>
  <si>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</si>
  <si>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</si>
  <si>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</si>
  <si>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</si>
  <si>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</si>
  <si>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</si>
  <si>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</si>
  <si>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</si>
  <si>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</si>
  <si>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</si>
  <si>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</si>
  <si>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</si>
  <si>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</si>
  <si>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</si>
  <si>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</si>
  <si>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</si>
  <si>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</si>
  <si>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</si>
  <si>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</si>
  <si>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</si>
  <si>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</si>
  <si>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</si>
  <si>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</si>
  <si>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</si>
  <si>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</si>
  <si>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</si>
  <si>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</si>
  <si>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</si>
  <si>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</si>
  <si>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</si>
  <si>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</si>
  <si>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</si>
  <si>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</si>
  <si>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</si>
  <si>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</si>
  <si>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</si>
  <si>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</si>
  <si>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</si>
  <si>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</si>
  <si>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</si>
  <si>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</si>
  <si>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</si>
  <si>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</si>
  <si>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</si>
  <si>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</si>
  <si>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</si>
  <si>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</si>
  <si>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</si>
  <si>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</si>
  <si>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</si>
  <si>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</si>
  <si>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</si>
  <si>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</si>
  <si>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</si>
  <si>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</si>
  <si>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</si>
  <si>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</si>
  <si>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</si>
  <si>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</si>
  <si>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</si>
  <si>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</si>
  <si>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</si>
  <si>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</si>
  <si>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</si>
  <si>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</si>
  <si>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</si>
  <si>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</si>
  <si>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</si>
  <si>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</si>
  <si>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</si>
  <si>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</si>
  <si>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</si>
  <si>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</si>
  <si>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</si>
  <si>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</si>
  <si>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</si>
  <si>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</si>
  <si>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</si>
  <si>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</si>
  <si>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</si>
  <si>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</si>
  <si>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</si>
  <si>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</si>
  <si>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</si>
  <si>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</si>
  <si>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</si>
  <si>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</si>
  <si>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</si>
  <si>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</si>
  <si>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</si>
  <si>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</si>
  <si>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</si>
  <si>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</si>
  <si>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</si>
  <si>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</si>
  <si>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</si>
  <si>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</si>
  <si>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</si>
  <si>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</si>
  <si>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</si>
  <si>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</si>
  <si>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</si>
  <si>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</si>
  <si>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</si>
  <si>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</si>
  <si>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</si>
  <si>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</si>
  <si>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</si>
  <si>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</si>
  <si>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</si>
  <si>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</si>
  <si>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</si>
  <si>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</si>
  <si>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</si>
  <si>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</si>
  <si>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</si>
  <si>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</si>
  <si>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</si>
  <si>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</si>
  <si>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</si>
  <si>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</si>
  <si>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</si>
  <si>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</si>
  <si>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</si>
  <si>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</si>
  <si>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</si>
  <si>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</si>
  <si>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</si>
  <si>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</si>
  <si>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</si>
  <si>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</si>
  <si>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</si>
  <si>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</si>
  <si>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</si>
  <si>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</si>
  <si>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</si>
  <si>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</si>
  <si>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</si>
  <si>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</si>
  <si>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</si>
  <si>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</si>
  <si>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</si>
  <si>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</si>
  <si>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</si>
  <si>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</si>
  <si>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</si>
  <si>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</si>
  <si>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</si>
  <si>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</si>
  <si>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</si>
  <si>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</si>
  <si>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</si>
  <si>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</si>
  <si>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</si>
  <si>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</si>
  <si>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</si>
  <si>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</si>
  <si>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</si>
  <si>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</si>
  <si>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</si>
  <si>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</si>
  <si>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</si>
  <si>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</si>
  <si>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</si>
  <si>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</si>
  <si>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</si>
  <si>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</si>
  <si>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</si>
  <si>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</si>
  <si>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</si>
  <si>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</si>
  <si>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</si>
  <si>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</si>
  <si>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</si>
  <si>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</si>
  <si>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</si>
  <si>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</si>
  <si>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</si>
  <si>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</si>
  <si>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</si>
  <si>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</si>
  <si>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</si>
  <si>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</si>
  <si>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</si>
  <si>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</si>
  <si>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</si>
  <si>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</si>
  <si>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</si>
  <si>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</si>
  <si>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</si>
  <si>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</si>
  <si>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</si>
  <si>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</si>
  <si>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</si>
  <si>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</si>
  <si>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</si>
  <si>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</si>
  <si>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</si>
  <si>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</si>
  <si>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</si>
  <si>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</si>
  <si>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</si>
  <si>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</si>
  <si>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</si>
  <si>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</si>
  <si>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</si>
  <si>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</si>
  <si>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</si>
  <si>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</si>
  <si>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</si>
  <si>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</si>
  <si>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</si>
  <si>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</si>
  <si>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</si>
  <si>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</si>
  <si>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</si>
  <si>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</si>
  <si>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</si>
  <si>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</si>
  <si>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</si>
  <si>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</si>
  <si>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</si>
  <si>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</si>
  <si>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</si>
  <si>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</si>
  <si>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</si>
  <si>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</si>
  <si>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</si>
  <si>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</si>
  <si>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</si>
  <si>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</si>
  <si>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</si>
  <si>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</si>
  <si>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</si>
  <si>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</si>
  <si>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</si>
  <si>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</si>
  <si>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</si>
  <si>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</si>
  <si>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</si>
  <si>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</si>
  <si>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</si>
  <si>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</si>
  <si>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</si>
  <si>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</si>
  <si>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</si>
  <si>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</si>
  <si>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</si>
  <si>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</si>
  <si>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</si>
  <si>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</si>
  <si>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</si>
  <si>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</si>
  <si>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</si>
  <si>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</si>
  <si>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</si>
  <si>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</si>
  <si>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</si>
  <si>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</si>
  <si>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</si>
  <si>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</si>
  <si>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</si>
  <si>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</si>
  <si>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</si>
  <si>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</si>
  <si>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</si>
  <si>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</si>
  <si>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</si>
  <si>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</si>
  <si>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</si>
  <si>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</si>
  <si>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</si>
  <si>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</si>
  <si>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</si>
  <si>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</si>
  <si>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</si>
  <si>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</si>
  <si>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</si>
  <si>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</si>
  <si>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</si>
  <si>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</si>
  <si>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</si>
  <si>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</si>
  <si>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</si>
  <si>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</si>
  <si>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</si>
  <si>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</si>
  <si>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</si>
  <si>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</si>
  <si>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</si>
  <si>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</si>
  <si>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</si>
  <si>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</si>
  <si>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</si>
  <si>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</si>
  <si>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</si>
  <si>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</si>
  <si>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</si>
  <si>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</si>
  <si>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</si>
  <si>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</si>
  <si>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</si>
  <si>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</si>
  <si>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</si>
  <si>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</si>
  <si>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</si>
  <si>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</si>
  <si>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</si>
  <si>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</si>
  <si>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</si>
  <si>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</si>
  <si>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</si>
  <si>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</si>
  <si>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</si>
  <si>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</si>
  <si>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</si>
  <si>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</si>
  <si>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</si>
  <si>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</si>
  <si>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</si>
  <si>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</si>
  <si>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</si>
  <si>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</si>
  <si>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</si>
  <si>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</si>
  <si>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</si>
  <si>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</si>
  <si>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</si>
  <si>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</si>
  <si>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</si>
  <si>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</si>
  <si>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</si>
  <si>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</si>
  <si>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</si>
  <si>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</si>
  <si>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</si>
  <si>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</si>
  <si>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</si>
  <si>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</si>
  <si>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</si>
  <si>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</si>
  <si>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</si>
  <si>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</si>
  <si>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</si>
  <si>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</si>
  <si>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</si>
  <si>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</si>
  <si>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</si>
  <si>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</si>
  <si>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</si>
  <si>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</si>
  <si>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</si>
  <si>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</si>
  <si>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</si>
  <si>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</si>
  <si>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</si>
  <si>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</si>
  <si>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</si>
  <si>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</si>
  <si>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</si>
  <si>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</si>
  <si>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</si>
  <si>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</si>
  <si>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</si>
  <si>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</si>
  <si>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</si>
  <si>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</si>
  <si>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</si>
  <si>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</si>
  <si>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</si>
  <si>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</si>
  <si>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</si>
  <si>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</si>
  <si>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</si>
  <si>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</si>
  <si>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</si>
  <si>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</si>
  <si>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</si>
  <si>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</si>
  <si>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</si>
  <si>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</si>
  <si>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</si>
  <si>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</si>
  <si>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</si>
  <si>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</si>
  <si>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</si>
  <si>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</si>
  <si>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</si>
  <si>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</si>
  <si>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</si>
  <si>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</si>
  <si>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</si>
  <si>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</si>
  <si>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</si>
  <si>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</si>
  <si>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</si>
  <si>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</si>
  <si>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</si>
  <si>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</si>
  <si>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</si>
  <si>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</si>
  <si>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</si>
  <si>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</si>
  <si>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</si>
  <si>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</si>
  <si>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</si>
  <si>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</si>
  <si>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</si>
  <si>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</si>
  <si>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</si>
  <si>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</si>
  <si>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</si>
  <si>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</si>
  <si>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</si>
  <si>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</si>
  <si>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</si>
  <si>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</si>
  <si>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</si>
  <si>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</si>
  <si>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</si>
  <si>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</si>
  <si>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</si>
  <si>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</si>
  <si>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</si>
  <si>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</si>
  <si>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</si>
  <si>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</si>
  <si>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</si>
  <si>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</si>
  <si>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</si>
  <si>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</si>
  <si>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</si>
  <si>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</si>
  <si>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</si>
  <si>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</si>
  <si>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</si>
  <si>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</si>
  <si>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</si>
  <si>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</si>
  <si>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</si>
  <si>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</si>
  <si>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</si>
  <si>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</si>
  <si>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</si>
  <si>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</si>
  <si>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</si>
  <si>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</si>
  <si>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</si>
  <si>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</si>
  <si>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</si>
  <si>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</si>
  <si>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</si>
  <si>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</si>
  <si>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</si>
  <si>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</si>
  <si>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</si>
  <si>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</si>
  <si>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</si>
  <si>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</si>
  <si>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</si>
  <si>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</si>
  <si>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</si>
  <si>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</si>
  <si>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</si>
  <si>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</si>
  <si>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</si>
  <si>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</si>
  <si>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</si>
  <si>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</si>
  <si>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</si>
  <si>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</si>
  <si>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</si>
  <si>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</si>
  <si>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</si>
  <si>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</si>
  <si>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</si>
  <si>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</si>
  <si>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</si>
  <si>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</si>
  <si>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</si>
  <si>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</si>
  <si>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</si>
  <si>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</si>
  <si>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</si>
  <si>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</si>
  <si>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</si>
  <si>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</si>
  <si>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</si>
  <si>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</si>
  <si>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</si>
  <si>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</si>
  <si>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</si>
  <si>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</si>
  <si>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</si>
  <si>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</si>
  <si>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</si>
  <si>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</si>
  <si>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</si>
  <si>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</si>
  <si>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</si>
  <si>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</si>
  <si>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</si>
  <si>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</si>
  <si>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</si>
  <si>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</si>
  <si>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</si>
  <si>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</si>
  <si>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</si>
  <si>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</si>
  <si>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</si>
  <si>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</si>
  <si>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</si>
  <si>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</si>
  <si>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</si>
  <si>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</si>
  <si>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</si>
  <si>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</si>
  <si>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</si>
  <si>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</si>
  <si>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</si>
  <si>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</si>
  <si>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</si>
  <si>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</si>
  <si>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</si>
  <si>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</si>
  <si>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</si>
  <si>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</si>
  <si>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</si>
  <si>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</si>
  <si>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</si>
  <si>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</si>
  <si>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</si>
  <si>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</si>
  <si>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</si>
  <si>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</si>
  <si>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</si>
  <si>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</si>
  <si>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</si>
  <si>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</si>
  <si>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</si>
  <si>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</si>
  <si>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</si>
  <si>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</si>
  <si>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</si>
  <si>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</si>
  <si>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</si>
  <si>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</si>
  <si>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</si>
  <si>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</si>
  <si>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</si>
  <si>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</si>
  <si>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</si>
  <si>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</si>
  <si>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</si>
  <si>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</si>
  <si>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</si>
  <si>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</si>
  <si>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</si>
  <si>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</si>
  <si>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</si>
  <si>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</si>
  <si>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</si>
  <si>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</si>
  <si>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</si>
  <si>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</si>
  <si>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</si>
  <si>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</si>
  <si>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</si>
  <si>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</si>
  <si>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</si>
  <si>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</si>
  <si>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</si>
  <si>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</si>
  <si>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</si>
  <si>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</si>
  <si>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</si>
  <si>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</si>
  <si>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</si>
  <si>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</si>
  <si>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</si>
  <si>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</si>
  <si>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</si>
  <si>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</si>
  <si>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</si>
  <si>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</si>
  <si>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</si>
  <si>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</si>
  <si>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</si>
  <si>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</si>
  <si>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</si>
  <si>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</si>
  <si>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</si>
  <si>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</si>
  <si>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</si>
  <si>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</si>
  <si>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</si>
  <si>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</si>
  <si>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</si>
  <si>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</si>
  <si>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</si>
  <si>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</si>
  <si>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</si>
  <si>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</si>
  <si>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</si>
  <si>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</si>
  <si>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</si>
  <si>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</si>
  <si>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</si>
  <si>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</si>
  <si>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</si>
  <si>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</si>
  <si>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</si>
  <si>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</si>
  <si>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</si>
  <si>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</si>
  <si>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</si>
  <si>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</si>
  <si>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</si>
  <si>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</si>
  <si>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</si>
  <si>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</si>
  <si>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</si>
  <si>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</si>
  <si>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</si>
  <si>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</si>
  <si>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</si>
  <si>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</si>
  <si>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</si>
  <si>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</si>
  <si>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</si>
  <si>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</si>
  <si>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</si>
  <si>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</si>
  <si>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</si>
  <si>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</si>
  <si>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</si>
  <si>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</si>
  <si>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</si>
  <si>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</si>
  <si>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</si>
  <si>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</si>
  <si>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</si>
  <si>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</si>
  <si>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</si>
  <si>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</si>
  <si>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</si>
  <si>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</si>
  <si>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</si>
  <si>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</si>
  <si>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</si>
  <si>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</si>
  <si>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</si>
  <si>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</si>
  <si>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</si>
  <si>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</si>
  <si>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</si>
  <si>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</si>
  <si>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</si>
  <si>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</si>
  <si>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</si>
  <si>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</si>
  <si>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</si>
  <si>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</si>
  <si>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</si>
  <si>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</si>
  <si>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</si>
  <si>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</si>
  <si>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</si>
  <si>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</si>
  <si>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</si>
  <si>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</si>
  <si>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</si>
  <si>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</si>
  <si>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</si>
  <si>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</si>
  <si>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</si>
  <si>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</si>
  <si>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</si>
  <si>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</si>
  <si>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</si>
  <si>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</si>
  <si>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</si>
  <si>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</si>
  <si>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</si>
  <si>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</si>
  <si>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</si>
  <si>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</si>
  <si>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</si>
  <si>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</si>
  <si>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</si>
  <si>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</si>
  <si>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</si>
  <si>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</si>
  <si>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</si>
  <si>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</si>
  <si>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</si>
  <si>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</si>
  <si>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</si>
  <si>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</si>
  <si>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</si>
  <si>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</si>
  <si>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</si>
  <si>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</si>
  <si>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</si>
  <si>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</si>
  <si>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</si>
  <si>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</si>
  <si>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</si>
  <si>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</si>
  <si>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</si>
  <si>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</si>
  <si>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</si>
  <si>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</si>
  <si>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</si>
  <si>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</si>
  <si>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</si>
  <si>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</si>
  <si>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</si>
  <si>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</si>
  <si>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</si>
  <si>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</si>
  <si>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</si>
  <si>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</si>
  <si>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</si>
  <si>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</si>
  <si>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</si>
  <si>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</si>
  <si>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</si>
  <si>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</si>
  <si>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</si>
  <si>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</si>
  <si>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</si>
  <si>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</si>
  <si>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</si>
  <si>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</si>
  <si>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</si>
  <si>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</si>
  <si>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</si>
  <si>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</si>
  <si>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</si>
  <si>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</si>
  <si>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</si>
  <si>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</si>
  <si>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</si>
  <si>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</si>
  <si>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</si>
  <si>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</si>
  <si>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</si>
  <si>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</si>
  <si>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</si>
  <si>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</si>
  <si>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</si>
  <si>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</si>
  <si>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</si>
  <si>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</si>
  <si>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</si>
  <si>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</si>
  <si>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</si>
  <si>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</si>
  <si>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</si>
  <si>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</si>
  <si>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</si>
  <si>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</si>
  <si>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</si>
  <si>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</si>
  <si>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</si>
  <si>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</si>
  <si>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</si>
  <si>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</si>
  <si>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</si>
  <si>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</si>
  <si>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</si>
  <si>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</si>
  <si>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</si>
  <si>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</si>
  <si>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</si>
  <si>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</si>
  <si>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</si>
  <si>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</si>
  <si>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</si>
  <si>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</si>
  <si>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</si>
  <si>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</si>
  <si>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</si>
  <si>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</si>
  <si>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</si>
  <si>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</si>
  <si>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</si>
  <si>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</si>
  <si>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</si>
  <si>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</si>
  <si>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</si>
  <si>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</si>
  <si>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</si>
  <si>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</si>
  <si>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</si>
  <si>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</si>
  <si>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</si>
  <si>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</si>
  <si>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</si>
  <si>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</si>
  <si>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</si>
  <si>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</si>
  <si>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</si>
  <si>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</si>
  <si>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</si>
  <si>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</si>
  <si>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</si>
  <si>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</si>
  <si>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</si>
  <si>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</si>
  <si>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</si>
  <si>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</si>
  <si>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</si>
  <si>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</si>
  <si>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</si>
  <si>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</si>
  <si>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</si>
  <si>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</si>
  <si>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</si>
  <si>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</si>
  <si>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</si>
  <si>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</si>
  <si>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</si>
  <si>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</si>
  <si>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</si>
  <si>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</si>
  <si>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</si>
  <si>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</si>
  <si>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</si>
  <si>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</si>
  <si>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</si>
  <si>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</si>
  <si>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</si>
  <si>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</si>
  <si>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</si>
  <si>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</si>
  <si>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</si>
  <si>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</si>
  <si>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</si>
  <si>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</si>
  <si>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</si>
  <si>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</si>
  <si>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</si>
  <si>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</si>
  <si>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</si>
  <si>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</si>
  <si>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</si>
  <si>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</si>
  <si>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</si>
  <si>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</si>
  <si>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</si>
  <si>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</si>
  <si>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</si>
  <si>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</si>
  <si>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</si>
  <si>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</si>
  <si>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</si>
  <si>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</si>
  <si>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</si>
  <si>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</si>
  <si>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</si>
  <si>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</si>
  <si>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</si>
  <si>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</si>
  <si>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</si>
  <si>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</si>
  <si>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</si>
  <si>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</si>
  <si>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</si>
  <si>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</si>
  <si>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</si>
  <si>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</si>
  <si>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</si>
  <si>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</si>
  <si>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</si>
  <si>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</si>
  <si>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</si>
  <si>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</si>
  <si>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</si>
  <si>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</si>
  <si>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</si>
  <si>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</si>
  <si>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</si>
  <si>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</si>
  <si>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</si>
  <si>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</si>
  <si>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</si>
  <si>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</si>
  <si>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</si>
  <si>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</si>
  <si>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</si>
  <si>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</si>
  <si>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</si>
  <si>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</si>
  <si>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</si>
  <si>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</si>
  <si>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</si>
  <si>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</si>
  <si>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</si>
  <si>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</si>
  <si>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</si>
  <si>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</si>
  <si>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</si>
  <si>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</si>
  <si>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</si>
  <si>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</si>
  <si>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</si>
  <si>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</si>
  <si>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</si>
  <si>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</si>
  <si>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</si>
  <si>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</si>
  <si>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</si>
  <si>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</si>
  <si>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</si>
  <si>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</si>
  <si>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</si>
  <si>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</si>
  <si>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</si>
  <si>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</si>
  <si>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</si>
  <si>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</si>
  <si>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</si>
  <si>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</si>
  <si>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</si>
  <si>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</si>
  <si>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</si>
  <si>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</si>
  <si>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</si>
  <si>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</si>
  <si>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</si>
  <si>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</si>
  <si>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</si>
  <si>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</si>
  <si>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</si>
  <si>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</si>
  <si>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</si>
  <si>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</si>
  <si>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</si>
  <si>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</si>
  <si>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</si>
  <si>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</si>
  <si>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</si>
  <si>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</si>
  <si>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</si>
  <si>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</si>
  <si>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</si>
  <si>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</si>
  <si>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</si>
  <si>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</si>
  <si>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</si>
  <si>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</si>
  <si>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</si>
  <si>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</si>
  <si>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</si>
  <si>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</si>
  <si>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</si>
  <si>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</si>
  <si>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</si>
  <si>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</si>
  <si>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</si>
  <si>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</si>
  <si>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</si>
  <si>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</si>
  <si>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</si>
  <si>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</si>
  <si>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</si>
  <si>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</si>
  <si>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</si>
  <si>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</si>
  <si>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</si>
  <si>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</si>
  <si>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</si>
  <si>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</si>
  <si>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</si>
  <si>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</si>
  <si>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</si>
  <si>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</si>
  <si>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</si>
  <si>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</si>
  <si>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</si>
  <si>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</si>
  <si>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</si>
  <si>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</si>
  <si>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</si>
  <si>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</si>
  <si>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</si>
  <si>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</si>
  <si>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</si>
  <si>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</si>
  <si>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</si>
  <si>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</si>
  <si>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</si>
  <si>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</si>
  <si>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</si>
  <si>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</si>
  <si>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</si>
  <si>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</si>
  <si>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</si>
  <si>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</si>
  <si>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</si>
  <si>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</si>
  <si>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</si>
  <si>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</si>
  <si>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</si>
  <si>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</si>
  <si>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</si>
  <si>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</si>
  <si>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</si>
  <si>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</si>
  <si>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</si>
  <si>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</si>
  <si>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</si>
  <si>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</si>
  <si>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</si>
  <si>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</si>
  <si>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</si>
  <si>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</si>
  <si>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</si>
  <si>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</si>
  <si>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</si>
  <si>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</si>
  <si>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</si>
  <si>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</si>
  <si>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</si>
  <si>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</si>
  <si>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</si>
  <si>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</si>
  <si>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</si>
  <si>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</si>
  <si>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</si>
  <si>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</si>
  <si>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</si>
  <si>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</si>
  <si>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</si>
  <si>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</si>
  <si>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</si>
  <si>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</si>
  <si>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</si>
  <si>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</si>
  <si>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</si>
  <si>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</si>
  <si>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</si>
  <si>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</si>
  <si>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</si>
  <si>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</si>
  <si>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</si>
  <si>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</si>
  <si>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</si>
  <si>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</si>
  <si>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</si>
  <si>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</si>
  <si>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</si>
  <si>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</si>
  <si>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</si>
  <si>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</si>
  <si>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</si>
  <si>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</si>
  <si>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</si>
  <si>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</si>
  <si>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</si>
  <si>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</si>
  <si>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</si>
  <si>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</si>
  <si>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</si>
  <si>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</si>
  <si>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</si>
  <si>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</si>
  <si>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</si>
  <si>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</si>
  <si>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</si>
  <si>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</si>
  <si>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</si>
  <si>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</si>
  <si>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</si>
  <si>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</si>
  <si>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</si>
  <si>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</si>
  <si>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</si>
  <si>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</si>
  <si>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</si>
  <si>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</si>
  <si>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</si>
  <si>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</si>
  <si>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</si>
  <si>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</si>
  <si>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</si>
  <si>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</si>
  <si>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</si>
  <si>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</si>
  <si>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</si>
  <si>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</si>
  <si>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</si>
  <si>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</si>
  <si>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</si>
  <si>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</si>
  <si>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</si>
  <si>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</si>
  <si>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</si>
  <si>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</si>
  <si>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</si>
  <si>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</si>
  <si>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</si>
  <si>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</si>
  <si>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</si>
  <si>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</si>
  <si>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</si>
  <si>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</si>
  <si>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</si>
  <si>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</si>
  <si>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</si>
  <si>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</si>
  <si>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</si>
  <si>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</si>
  <si>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</si>
  <si>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</si>
  <si>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</si>
  <si>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</si>
  <si>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</si>
  <si>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</si>
  <si>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</si>
  <si>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</si>
  <si>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</si>
  <si>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</si>
  <si>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</si>
  <si>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</si>
  <si>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</si>
  <si>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</si>
  <si>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</si>
  <si>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</si>
  <si>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</si>
  <si>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</si>
  <si>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</si>
  <si>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</si>
  <si>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</si>
  <si>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</si>
  <si>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</si>
  <si>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</si>
  <si>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</si>
  <si>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</si>
  <si>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</si>
  <si>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</si>
  <si>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</si>
  <si>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</si>
  <si>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</si>
  <si>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</si>
  <si>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</si>
  <si>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</si>
  <si>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</si>
  <si>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</si>
  <si>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</si>
  <si>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</si>
  <si>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</si>
  <si>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</si>
  <si>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</si>
  <si>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</si>
  <si>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</si>
  <si>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</si>
  <si>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</si>
  <si>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</si>
  <si>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</si>
  <si>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</si>
  <si>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</si>
  <si>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</si>
  <si>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</si>
  <si>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</si>
  <si>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</si>
  <si>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</si>
  <si>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</si>
  <si>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</si>
  <si>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</si>
  <si>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</si>
  <si>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</si>
  <si>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</si>
  <si>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</si>
  <si>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</si>
  <si>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</si>
  <si>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</si>
  <si>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</si>
  <si>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</si>
  <si>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</si>
  <si>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</si>
  <si>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</si>
  <si>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</si>
  <si>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</si>
  <si>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</si>
  <si>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</si>
  <si>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</si>
  <si>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</si>
  <si>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</si>
  <si>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</si>
  <si>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</si>
  <si>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</si>
  <si>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</si>
  <si>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</si>
  <si>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</si>
  <si>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</si>
  <si>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</si>
  <si>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</si>
  <si>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</si>
  <si>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</si>
  <si>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</si>
  <si>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</si>
  <si>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</si>
  <si>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</si>
  <si>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</si>
  <si>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</si>
  <si>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</si>
  <si>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</si>
  <si>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</si>
  <si>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</si>
  <si>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</si>
  <si>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</si>
  <si>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</si>
  <si>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</si>
  <si>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</si>
  <si>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</si>
  <si>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</si>
  <si>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</si>
  <si>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</si>
  <si>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</si>
  <si>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</si>
  <si>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</si>
  <si>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</si>
  <si>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</si>
  <si>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</si>
  <si>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</si>
  <si>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</si>
  <si>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</si>
  <si>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</si>
  <si>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</si>
  <si>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</si>
  <si>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</si>
  <si>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</si>
  <si>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</si>
  <si>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</si>
  <si>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</si>
  <si>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</si>
  <si>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</si>
  <si>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</si>
  <si>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</si>
  <si>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</si>
  <si>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</si>
  <si>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</si>
  <si>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</si>
  <si>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</si>
  <si>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</si>
  <si>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</si>
  <si>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</si>
  <si>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</si>
  <si>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</si>
  <si>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</si>
  <si>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</si>
  <si>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</si>
  <si>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</si>
  <si>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</si>
  <si>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</si>
  <si>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</si>
  <si>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</si>
  <si>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</si>
  <si>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</si>
  <si>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</si>
  <si>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</si>
  <si>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</si>
  <si>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</si>
  <si>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</si>
  <si>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</si>
  <si>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</si>
  <si>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</si>
  <si>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</si>
  <si>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</si>
  <si>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</si>
  <si>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</si>
  <si>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</si>
  <si>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</si>
  <si>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</si>
  <si>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</si>
  <si>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</si>
  <si>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</si>
  <si>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</si>
  <si>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</si>
  <si>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</si>
  <si>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</si>
  <si>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</si>
  <si>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</si>
  <si>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</si>
  <si>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</si>
  <si>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</si>
  <si>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</si>
  <si>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</si>
  <si>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</si>
  <si>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</si>
  <si>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</si>
  <si>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</si>
  <si>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</si>
  <si>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</si>
  <si>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</si>
  <si>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</si>
  <si>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</si>
  <si>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</si>
  <si>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</si>
  <si>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</si>
  <si>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</si>
  <si>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</si>
  <si>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</si>
  <si>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</si>
  <si>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</si>
  <si>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</si>
  <si>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</si>
  <si>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</si>
  <si>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</si>
  <si>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</si>
  <si>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</si>
  <si>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</si>
  <si>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</si>
  <si>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</si>
  <si>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</si>
  <si>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</si>
  <si>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</si>
  <si>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</si>
  <si>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</si>
  <si>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</si>
  <si>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</si>
  <si>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</si>
  <si>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</si>
  <si>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</si>
  <si>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</si>
  <si>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</si>
  <si>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</si>
  <si>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</si>
  <si>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</si>
  <si>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</si>
  <si>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</si>
  <si>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</si>
  <si>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</si>
  <si>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</si>
  <si>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</si>
  <si>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</si>
  <si>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</si>
  <si>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</si>
  <si>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</si>
  <si>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</si>
  <si>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</si>
  <si>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</si>
  <si>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</si>
  <si>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</si>
  <si>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</si>
  <si>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</si>
  <si>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</si>
  <si>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</si>
  <si>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</si>
  <si>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</si>
  <si>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</si>
  <si>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</si>
  <si>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</si>
  <si>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</si>
  <si>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</si>
  <si>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</si>
  <si>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</si>
  <si>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</si>
  <si>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</si>
  <si>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</si>
  <si>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</si>
  <si>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</si>
  <si>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</si>
  <si>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</si>
  <si>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</si>
  <si>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</si>
  <si>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</si>
  <si>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</si>
  <si>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</si>
  <si>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</si>
  <si>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</si>
  <si>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</si>
  <si>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</si>
  <si>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</si>
  <si>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</si>
  <si>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</si>
  <si>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</si>
  <si>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</si>
  <si>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</si>
  <si>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</si>
  <si>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</si>
  <si>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</si>
  <si>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</si>
  <si>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</si>
  <si>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</si>
  <si>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</si>
  <si>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</si>
  <si>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</si>
  <si>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</si>
  <si>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</si>
  <si>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</si>
  <si>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</si>
  <si>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</si>
  <si>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</si>
  <si>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</si>
  <si>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</si>
  <si>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</si>
  <si>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</si>
  <si>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</si>
  <si>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</si>
  <si>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</si>
  <si>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</si>
  <si>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</si>
  <si>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</si>
  <si>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</si>
  <si>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</si>
  <si>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</si>
  <si>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</si>
  <si>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</si>
  <si>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</si>
  <si>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</si>
  <si>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</si>
  <si>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</si>
  <si>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</si>
  <si>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</si>
  <si>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</si>
  <si>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</si>
  <si>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</si>
  <si>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</si>
  <si>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</si>
  <si>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</si>
  <si>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</si>
  <si>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</si>
  <si>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</si>
  <si>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</si>
  <si>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</si>
  <si>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</si>
  <si>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</si>
  <si>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</si>
  <si>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</si>
  <si>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</si>
  <si>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</si>
  <si>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</si>
  <si>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</si>
  <si>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</si>
  <si>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</si>
  <si>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</si>
  <si>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</si>
  <si>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</si>
  <si>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</si>
  <si>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</si>
  <si>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</si>
  <si>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</si>
  <si>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</si>
  <si>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</si>
  <si>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</si>
  <si>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</si>
  <si>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</si>
  <si>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</si>
  <si>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</si>
  <si>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</si>
  <si>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</si>
  <si>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</si>
  <si>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</si>
  <si>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</si>
  <si>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</si>
  <si>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</si>
  <si>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</si>
  <si>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</si>
  <si>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</si>
  <si>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</si>
  <si>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</si>
  <si>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</si>
  <si>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</si>
  <si>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</si>
  <si>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</si>
  <si>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</si>
  <si>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</si>
  <si>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</si>
  <si>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</si>
  <si>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</si>
  <si>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</si>
  <si>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</si>
  <si>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</si>
  <si>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</si>
  <si>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</si>
  <si>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</si>
  <si>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</si>
  <si>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</si>
  <si>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</si>
  <si>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</si>
  <si>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</si>
  <si>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</si>
  <si>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</si>
  <si>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</si>
  <si>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</si>
  <si>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</si>
  <si>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</si>
  <si>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</si>
  <si>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</si>
  <si>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</si>
  <si>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</si>
  <si>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</si>
  <si>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</si>
  <si>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</si>
  <si>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</si>
  <si>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</si>
  <si>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</si>
  <si>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</si>
  <si>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</si>
  <si>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</si>
  <si>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</si>
  <si>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</si>
  <si>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</si>
  <si>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</si>
  <si>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</si>
  <si>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</si>
  <si>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</si>
  <si>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</si>
  <si>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</si>
  <si>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</si>
  <si>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</si>
  <si>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</si>
  <si>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</si>
  <si>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</si>
  <si>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</si>
  <si>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</si>
  <si>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</si>
  <si>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</si>
  <si>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</si>
  <si>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</si>
  <si>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</si>
  <si>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</si>
  <si>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</si>
  <si>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</si>
  <si>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</si>
  <si>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</si>
  <si>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</si>
  <si>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</si>
  <si>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</si>
  <si>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</si>
  <si>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</si>
  <si>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</si>
  <si>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</si>
  <si>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</si>
  <si>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</si>
  <si>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</si>
  <si>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</si>
  <si>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</si>
  <si>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</si>
  <si>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</si>
  <si>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</si>
  <si>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</si>
  <si>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</si>
  <si>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</si>
  <si>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</si>
  <si>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</si>
  <si>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</si>
  <si>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</si>
  <si>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</si>
  <si>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</si>
  <si>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</si>
  <si>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</si>
  <si>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</si>
  <si>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</si>
  <si>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</si>
  <si>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</si>
  <si>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</si>
  <si>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</si>
  <si>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</si>
  <si>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</si>
  <si>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</si>
  <si>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</si>
  <si>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</si>
  <si>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</si>
  <si>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</si>
  <si>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</si>
  <si>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</si>
  <si>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</si>
  <si>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</si>
  <si>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</si>
  <si>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</si>
  <si>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</si>
  <si>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</si>
  <si>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</si>
  <si>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</si>
  <si>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</si>
  <si>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</si>
  <si>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</si>
  <si>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</si>
  <si>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</si>
  <si>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</si>
  <si>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</si>
  <si>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</si>
  <si>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</si>
  <si>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</si>
  <si>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</si>
  <si>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</si>
  <si>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</si>
  <si>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</si>
  <si>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</si>
  <si>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</si>
  <si>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</si>
  <si>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</si>
  <si>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</si>
  <si>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</si>
  <si>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</si>
  <si>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</si>
  <si>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</si>
  <si>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</si>
  <si>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</si>
  <si>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</si>
  <si>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</si>
  <si>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</si>
  <si>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</si>
  <si>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</si>
  <si>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</si>
  <si>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</si>
  <si>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</si>
  <si>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</si>
  <si>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</si>
  <si>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</si>
  <si>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</si>
  <si>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</si>
  <si>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</si>
  <si>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</si>
  <si>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</si>
  <si>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</si>
  <si>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</si>
  <si>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</si>
  <si>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</si>
  <si>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</si>
  <si>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</si>
  <si>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</si>
  <si>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</si>
  <si>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</si>
  <si>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</si>
  <si>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</si>
  <si>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</si>
  <si>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</si>
  <si>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</si>
  <si>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</si>
  <si>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</si>
  <si>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</si>
  <si>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</si>
  <si>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</si>
  <si>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</si>
  <si>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</si>
  <si>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</si>
  <si>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</si>
  <si>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</si>
  <si>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</si>
  <si>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</si>
  <si>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</si>
  <si>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</si>
  <si>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</si>
  <si>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</si>
  <si>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</si>
  <si>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</si>
  <si>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</si>
  <si>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</si>
  <si>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</si>
  <si>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</si>
  <si>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</si>
  <si>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</si>
  <si>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</si>
  <si>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</si>
  <si>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</si>
  <si>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</si>
  <si>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</si>
  <si>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</si>
  <si>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</si>
  <si>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</si>
  <si>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</si>
  <si>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</si>
  <si>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</si>
  <si>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</si>
  <si>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</si>
  <si>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</si>
  <si>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</si>
  <si>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</si>
  <si>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</si>
  <si>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</si>
  <si>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</si>
  <si>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</si>
  <si>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</si>
  <si>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</si>
  <si>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</si>
  <si>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</si>
  <si>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</si>
  <si>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</si>
  <si>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</si>
  <si>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</si>
  <si>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</si>
  <si>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</si>
  <si>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</si>
  <si>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</si>
  <si>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</si>
  <si>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</si>
  <si>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</si>
  <si>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</si>
  <si>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</si>
  <si>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</si>
  <si>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</si>
  <si>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</si>
  <si>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</si>
  <si>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</si>
  <si>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</si>
  <si>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</si>
  <si>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</si>
  <si>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</si>
  <si>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</si>
  <si>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</si>
  <si>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</si>
  <si>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</si>
  <si>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</si>
  <si>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</si>
  <si>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</si>
  <si>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</si>
  <si>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</si>
  <si>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</si>
  <si>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</si>
  <si>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</si>
  <si>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</si>
  <si>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</si>
  <si>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</si>
  <si>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</si>
  <si>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</si>
  <si>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</si>
  <si>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</si>
  <si>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</si>
  <si>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</si>
  <si>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</si>
  <si>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</si>
  <si>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</si>
  <si>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</si>
  <si>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</si>
  <si>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</si>
  <si>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</si>
  <si>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</si>
  <si>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</si>
  <si>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</si>
  <si>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</si>
  <si>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</si>
  <si>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</si>
  <si>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</si>
  <si>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</si>
  <si>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</si>
  <si>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</si>
  <si>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</si>
  <si>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</si>
  <si>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</si>
  <si>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</si>
  <si>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</si>
  <si>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</si>
  <si>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</si>
  <si>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</si>
  <si>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</si>
  <si>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</si>
  <si>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</si>
  <si>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</si>
  <si>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</si>
  <si>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</si>
  <si>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</si>
  <si>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</si>
  <si>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</si>
  <si>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</si>
  <si>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</si>
  <si>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</si>
  <si>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</si>
  <si>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</si>
  <si>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</si>
  <si>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</si>
  <si>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</si>
  <si>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</si>
  <si>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</si>
  <si>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</si>
  <si>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</si>
  <si>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</si>
  <si>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</si>
  <si>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</si>
  <si>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</si>
  <si>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</si>
  <si>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</si>
  <si>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</si>
  <si>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</si>
  <si>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</si>
  <si>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</si>
  <si>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</si>
  <si>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</si>
  <si>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</si>
  <si>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</si>
  <si>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</si>
  <si>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</si>
  <si>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</si>
  <si>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</si>
  <si>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</si>
  <si>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</si>
  <si>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</si>
  <si>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</si>
  <si>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</si>
  <si>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</si>
  <si>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</si>
  <si>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</si>
  <si>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</si>
  <si>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</si>
  <si>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</si>
  <si>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</si>
  <si>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</si>
  <si>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</si>
  <si>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</si>
  <si>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</si>
  <si>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</si>
  <si>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</si>
  <si>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</si>
  <si>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</si>
  <si>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</si>
  <si>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</si>
  <si>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</si>
  <si>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</si>
  <si>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</si>
  <si>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</si>
  <si>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</si>
  <si>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</si>
  <si>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</si>
  <si>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</si>
  <si>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</si>
  <si>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</si>
  <si>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</si>
  <si>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</si>
  <si>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</si>
  <si>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</si>
  <si>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</si>
  <si>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</si>
  <si>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</si>
  <si>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</si>
  <si>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</si>
  <si>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</si>
  <si>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</si>
  <si>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</si>
  <si>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</si>
  <si>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</si>
  <si>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</si>
  <si>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</si>
  <si>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</si>
  <si>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</si>
  <si>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</si>
  <si>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</si>
  <si>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</si>
  <si>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</si>
  <si>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</si>
  <si>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</si>
  <si>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</si>
  <si>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</si>
  <si>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</si>
  <si>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</si>
  <si>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</si>
  <si>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</si>
  <si>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</si>
  <si>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</si>
  <si>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</si>
  <si>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</si>
  <si>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</si>
  <si>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</si>
  <si>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</si>
  <si>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</si>
  <si>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</si>
  <si>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</si>
  <si>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</si>
  <si>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</si>
  <si>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</si>
  <si>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</si>
  <si>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</si>
  <si>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</si>
  <si>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</si>
  <si>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</si>
  <si>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</si>
  <si>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</si>
  <si>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</si>
  <si>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</si>
  <si>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</si>
  <si>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</si>
  <si>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</si>
  <si>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</si>
  <si>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</si>
  <si>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</si>
  <si>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</si>
  <si>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</si>
  <si>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</si>
  <si>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</si>
  <si>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</si>
  <si>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</si>
  <si>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</si>
  <si>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</si>
  <si>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</si>
  <si>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</si>
  <si>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</si>
  <si>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</si>
  <si>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</si>
  <si>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</si>
  <si>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</si>
  <si>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</si>
  <si>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</si>
  <si>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</si>
  <si>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</si>
  <si>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</si>
  <si>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</si>
  <si>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</si>
  <si>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</si>
  <si>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</si>
  <si>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</si>
  <si>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</si>
  <si>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</si>
  <si>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</si>
  <si>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</si>
  <si>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</si>
  <si>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</si>
  <si>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</si>
  <si>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</si>
  <si>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</si>
  <si>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</si>
  <si>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</si>
  <si>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</si>
  <si>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</si>
  <si>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</si>
  <si>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</si>
  <si>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</si>
  <si>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</si>
  <si>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</si>
  <si>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</si>
  <si>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</si>
  <si>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</si>
  <si>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</si>
  <si>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</si>
  <si>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</si>
  <si>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</si>
  <si>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</si>
  <si>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</si>
  <si>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</si>
  <si>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</si>
  <si>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</si>
  <si>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</si>
  <si>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</si>
  <si>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</si>
  <si>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</si>
  <si>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</si>
  <si>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</si>
  <si>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</si>
  <si>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</si>
  <si>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</si>
  <si>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</si>
  <si>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</si>
  <si>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</si>
  <si>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</si>
  <si>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</si>
  <si>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</si>
  <si>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</si>
  <si>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</si>
  <si>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</si>
  <si>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</si>
  <si>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</si>
  <si>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</si>
  <si>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</si>
  <si>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</si>
  <si>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</si>
  <si>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</si>
  <si>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</si>
  <si>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</si>
  <si>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</si>
  <si>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</si>
  <si>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</si>
  <si>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</si>
  <si>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</si>
  <si>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</si>
  <si>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</si>
  <si>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</si>
  <si>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</si>
  <si>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</si>
  <si>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</si>
  <si>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</si>
  <si>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</si>
  <si>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</si>
  <si>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</si>
  <si>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</si>
  <si>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</si>
  <si>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</si>
  <si>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</si>
  <si>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</si>
  <si>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</si>
  <si>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</si>
  <si>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</si>
  <si>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</si>
  <si>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</si>
  <si>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</si>
  <si>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</si>
  <si>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</si>
  <si>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</si>
  <si>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</si>
  <si>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</si>
  <si>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</si>
  <si>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</si>
  <si>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</si>
  <si>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</si>
  <si>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</si>
  <si>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</si>
  <si>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</si>
  <si>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</si>
  <si>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</si>
  <si>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</si>
  <si>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</si>
  <si>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</si>
  <si>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</si>
  <si>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</si>
  <si>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</si>
  <si>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</si>
  <si>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</si>
  <si>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</si>
  <si>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</si>
  <si>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</si>
  <si>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</si>
  <si>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</si>
  <si>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</si>
  <si>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</si>
  <si>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</si>
  <si>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</si>
  <si>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</si>
  <si>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</si>
  <si>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</si>
  <si>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</si>
  <si>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</si>
  <si>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</si>
  <si>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</si>
  <si>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</si>
  <si>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</si>
  <si>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</si>
  <si>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</si>
  <si>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</si>
  <si>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</si>
  <si>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</si>
  <si>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</si>
  <si>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</si>
  <si>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</si>
  <si>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</si>
  <si>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</si>
  <si>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</si>
  <si>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</si>
  <si>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</si>
  <si>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</si>
  <si>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</si>
  <si>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</si>
  <si>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</si>
  <si>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</si>
  <si>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</si>
  <si>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</si>
  <si>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</si>
  <si>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</si>
  <si>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</si>
  <si>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</si>
  <si>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</si>
  <si>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</si>
  <si>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</si>
  <si>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</si>
  <si>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</si>
  <si>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</si>
  <si>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</si>
  <si>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</si>
  <si>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</si>
  <si>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</si>
  <si>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</si>
  <si>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</si>
  <si>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</si>
  <si>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</si>
  <si>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</si>
  <si>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</si>
  <si>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</si>
  <si>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</si>
  <si>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</si>
  <si>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</si>
  <si>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</si>
  <si>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</si>
  <si>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</si>
  <si>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</si>
  <si>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</si>
  <si>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</si>
  <si>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</si>
  <si>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</si>
  <si>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</si>
  <si>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</si>
  <si>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</si>
  <si>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</si>
  <si>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</si>
  <si>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</si>
  <si>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</si>
  <si>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</si>
  <si>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</si>
  <si>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</si>
  <si>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</si>
  <si>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</si>
  <si>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</si>
  <si>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</si>
  <si>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</si>
  <si>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</si>
  <si>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</si>
  <si>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</si>
  <si>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</si>
  <si>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</si>
  <si>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</si>
  <si>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</si>
  <si>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</si>
  <si>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</si>
  <si>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</si>
  <si>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</si>
  <si>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</si>
  <si>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</si>
  <si>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</si>
  <si>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</si>
  <si>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</si>
  <si>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</si>
  <si>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</si>
  <si>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</si>
  <si>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</si>
  <si>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</si>
  <si>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</si>
  <si>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</si>
  <si>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</si>
  <si>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</si>
  <si>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</si>
  <si>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</si>
  <si>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</si>
  <si>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</si>
  <si>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</si>
  <si>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</si>
  <si>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</si>
  <si>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</si>
  <si>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</si>
  <si>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</si>
  <si>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</si>
  <si>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</si>
  <si>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</si>
  <si>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</si>
  <si>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</si>
  <si>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</si>
  <si>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</si>
  <si>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</si>
  <si>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</si>
  <si>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</si>
  <si>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</si>
  <si>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</si>
  <si>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</si>
  <si>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</si>
  <si>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</si>
  <si>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</si>
  <si>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</si>
  <si>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</si>
  <si>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</si>
  <si>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</si>
  <si>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</si>
  <si>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</si>
  <si>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</si>
  <si>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</si>
  <si>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</si>
  <si>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</si>
  <si>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</si>
  <si>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</si>
  <si>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</si>
  <si>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</si>
  <si>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</si>
  <si>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</si>
  <si>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</si>
  <si>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</si>
  <si>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</si>
  <si>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</si>
  <si>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</si>
  <si>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</si>
  <si>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</si>
  <si>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</si>
  <si>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</si>
  <si>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</si>
  <si>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</si>
  <si>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</si>
  <si>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</si>
  <si>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</si>
  <si>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</si>
  <si>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</si>
  <si>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</si>
  <si>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</si>
  <si>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</si>
  <si>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</si>
  <si>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</si>
  <si>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</si>
  <si>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</si>
  <si>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</si>
  <si>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</si>
  <si>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</si>
  <si>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</si>
  <si>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</si>
  <si>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</si>
  <si>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</si>
  <si>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</si>
  <si>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</si>
  <si>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</si>
  <si>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</si>
  <si>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</si>
  <si>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</si>
  <si>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</si>
  <si>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</si>
  <si>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</si>
  <si>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</si>
  <si>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</si>
  <si>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</si>
  <si>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</si>
  <si>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</si>
  <si>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</si>
  <si>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</si>
  <si>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</si>
  <si>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</si>
  <si>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</si>
  <si>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</si>
  <si>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</si>
  <si>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</si>
  <si>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</si>
  <si>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</si>
  <si>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</si>
  <si>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</si>
  <si>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</si>
  <si>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</si>
  <si>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</si>
  <si>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</si>
  <si>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</si>
  <si>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</si>
  <si>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</si>
  <si>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</si>
  <si>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</si>
  <si>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</si>
  <si>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</si>
  <si>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</si>
  <si>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</si>
  <si>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</si>
  <si>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</si>
  <si>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</si>
  <si>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</si>
  <si>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</si>
  <si>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</si>
  <si>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</si>
  <si>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</si>
  <si>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</si>
  <si>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</si>
  <si>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</si>
  <si>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</si>
  <si>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</si>
  <si>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</si>
  <si>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</si>
  <si>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</si>
  <si>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</si>
  <si>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</si>
  <si>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</si>
  <si>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</si>
  <si>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</si>
  <si>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</si>
  <si>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</si>
  <si>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</si>
  <si>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</si>
  <si>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</si>
  <si>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</si>
  <si>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</si>
  <si>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</si>
  <si>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</si>
  <si>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</si>
  <si>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</si>
  <si>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</si>
  <si>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</si>
  <si>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</si>
  <si>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</si>
  <si>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</si>
  <si>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</si>
  <si>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</si>
  <si>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</si>
  <si>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</si>
  <si>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</si>
  <si>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</si>
  <si>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</si>
  <si>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</si>
  <si>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</si>
  <si>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</si>
  <si>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</si>
  <si>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</si>
  <si>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</si>
  <si>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</si>
  <si>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</si>
  <si>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</si>
  <si>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</si>
  <si>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</si>
  <si>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</si>
  <si>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</si>
  <si>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</si>
  <si>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</si>
  <si>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</si>
  <si>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</si>
  <si>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</si>
  <si>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</si>
  <si>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</si>
  <si>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</si>
  <si>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</si>
  <si>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</si>
  <si>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</si>
  <si>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</si>
  <si>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</si>
  <si>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</si>
  <si>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</si>
  <si>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</si>
  <si>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</si>
  <si>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</si>
  <si>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</si>
  <si>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</si>
  <si>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</si>
  <si>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</si>
  <si>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</si>
  <si>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</si>
  <si>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</si>
  <si>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</si>
  <si>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</si>
  <si>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</si>
  <si>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</si>
  <si>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</si>
  <si>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</si>
  <si>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</si>
  <si>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</si>
  <si>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</si>
  <si>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</si>
  <si>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</si>
  <si>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</si>
  <si>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</si>
  <si>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</si>
  <si>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</si>
  <si>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</si>
  <si>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</si>
  <si>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</si>
  <si>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</si>
  <si>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</si>
  <si>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</si>
  <si>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</si>
  <si>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</si>
  <si>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</si>
  <si>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</si>
  <si>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</si>
  <si>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</si>
  <si>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</si>
  <si>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</si>
  <si>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</si>
  <si>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</si>
  <si>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</si>
  <si>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</si>
  <si>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</si>
  <si>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</si>
  <si>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</si>
  <si>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</si>
  <si>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</si>
  <si>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</si>
  <si>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</si>
  <si>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</si>
  <si>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</si>
  <si>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</si>
  <si>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</si>
  <si>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</si>
  <si>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</si>
  <si>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</si>
  <si>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</si>
  <si>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</si>
  <si>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</si>
  <si>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</si>
  <si>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</si>
  <si>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</si>
  <si>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</si>
  <si>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</si>
  <si>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</si>
  <si>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</si>
  <si>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</si>
  <si>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</si>
  <si>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</si>
  <si>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</si>
  <si>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</si>
  <si>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</si>
  <si>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</si>
  <si>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</si>
  <si>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</si>
  <si>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</si>
  <si>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</si>
  <si>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</si>
  <si>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</si>
  <si>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</si>
  <si>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</si>
  <si>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</si>
  <si>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</si>
  <si>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</si>
  <si>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</si>
  <si>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</si>
  <si>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</si>
  <si>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</si>
  <si>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</si>
  <si>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</si>
  <si>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</si>
  <si>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</si>
  <si>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</si>
  <si>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</si>
  <si>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</si>
  <si>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</si>
  <si>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</si>
  <si>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</si>
  <si>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</si>
  <si>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</si>
  <si>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</si>
  <si>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</si>
  <si>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</si>
  <si>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</si>
  <si>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</si>
  <si>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</si>
  <si>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</si>
  <si>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</si>
  <si>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</si>
  <si>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</si>
  <si>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</si>
  <si>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</si>
  <si>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</si>
  <si>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</si>
  <si>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</si>
  <si>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</si>
  <si>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</si>
  <si>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</si>
  <si>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</si>
  <si>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</si>
  <si>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</si>
  <si>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</si>
  <si>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</si>
  <si>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</si>
  <si>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</si>
  <si>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</si>
  <si>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</si>
  <si>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</si>
  <si>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</si>
  <si>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</si>
  <si>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</si>
  <si>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</si>
  <si>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</si>
  <si>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</si>
  <si>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</si>
  <si>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</si>
  <si>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</si>
  <si>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</si>
  <si>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</si>
  <si>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</si>
  <si>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</si>
  <si>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</si>
  <si>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</si>
  <si>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</si>
  <si>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</si>
  <si>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</si>
  <si>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</si>
  <si>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</si>
  <si>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</si>
  <si>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</si>
  <si>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</si>
  <si>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</si>
  <si>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</si>
  <si>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</si>
  <si>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</si>
  <si>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</si>
  <si>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</si>
  <si>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</si>
  <si>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</si>
  <si>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</si>
  <si>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</si>
  <si>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</si>
  <si>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</si>
  <si>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</si>
  <si>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</si>
  <si>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</si>
  <si>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</si>
  <si>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</si>
  <si>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</si>
  <si>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</si>
  <si>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</si>
  <si>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</si>
  <si>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</si>
  <si>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</si>
  <si>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</si>
  <si>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</si>
  <si>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</si>
  <si>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</si>
  <si>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</si>
  <si>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</si>
  <si>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</si>
  <si>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</si>
  <si>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</si>
  <si>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</si>
  <si>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</si>
  <si>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</si>
  <si>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</si>
  <si>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</si>
  <si>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</si>
  <si>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</si>
  <si>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</si>
  <si>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</si>
  <si>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</si>
  <si>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</si>
  <si>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</si>
  <si>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</si>
  <si>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</si>
  <si>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</si>
  <si>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</si>
  <si>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</si>
  <si>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</si>
  <si>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</si>
  <si>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</si>
  <si>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</si>
  <si>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</si>
  <si>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</si>
  <si>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</si>
  <si>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</si>
  <si>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</si>
  <si>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</si>
  <si>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</si>
  <si>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</si>
  <si>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</si>
  <si>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</si>
  <si>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</si>
  <si>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</si>
  <si>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</si>
  <si>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</si>
  <si>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</si>
  <si>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</si>
  <si>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</si>
  <si>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</si>
  <si>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</si>
  <si>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</si>
  <si>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</si>
  <si>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</si>
  <si>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</si>
  <si>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</si>
  <si>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</si>
  <si>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</si>
  <si>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</si>
  <si>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</si>
  <si>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</si>
  <si>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</si>
  <si>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</si>
  <si>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</si>
  <si>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</si>
  <si>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</si>
  <si>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</si>
  <si>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</si>
  <si>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</si>
  <si>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</si>
  <si>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</si>
  <si>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</si>
  <si>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</si>
  <si>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</si>
  <si>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</si>
  <si>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</si>
  <si>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</si>
  <si>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</si>
  <si>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</si>
  <si>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</si>
  <si>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</si>
  <si>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</si>
  <si>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</si>
  <si>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</si>
  <si>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</si>
  <si>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</si>
  <si>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</si>
  <si>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</si>
  <si>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</si>
  <si>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</si>
  <si>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</si>
  <si>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</si>
  <si>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</si>
  <si>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</si>
  <si>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</si>
  <si>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</si>
  <si>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</si>
  <si>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</si>
  <si>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</si>
  <si>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</si>
  <si>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</si>
  <si>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</si>
  <si>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</si>
  <si>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</si>
  <si>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</si>
  <si>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</si>
  <si>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</si>
  <si>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</si>
  <si>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</si>
  <si>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</si>
  <si>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</si>
  <si>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</si>
  <si>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</si>
  <si>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</si>
  <si>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</si>
  <si>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</si>
  <si>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</si>
  <si>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</si>
  <si>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</si>
  <si>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</si>
  <si>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</si>
  <si>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</si>
  <si>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</si>
  <si>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</si>
  <si>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</si>
  <si>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</si>
  <si>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</si>
  <si>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</si>
  <si>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</si>
  <si>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</si>
  <si>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</si>
  <si>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</si>
  <si>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</si>
  <si>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</si>
  <si>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</si>
  <si>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</si>
  <si>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</si>
  <si>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</si>
  <si>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</si>
  <si>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</si>
  <si>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</si>
  <si>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</si>
  <si>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</si>
  <si>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</si>
  <si>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</si>
  <si>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</si>
  <si>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</si>
  <si>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</si>
  <si>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</si>
  <si>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</si>
  <si>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</si>
  <si>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</si>
  <si>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</si>
  <si>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</si>
  <si>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</si>
  <si>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</si>
  <si>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</si>
  <si>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</si>
  <si>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</si>
  <si>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</si>
  <si>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</si>
  <si>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</si>
  <si>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</si>
  <si>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</si>
  <si>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</si>
  <si>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</si>
  <si>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</si>
  <si>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</si>
  <si>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</si>
  <si>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</si>
  <si>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</si>
  <si>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</si>
  <si>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</si>
  <si>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</si>
  <si>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</si>
  <si>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</si>
  <si>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</si>
  <si>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</si>
  <si>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</si>
  <si>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</si>
  <si>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</si>
  <si>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</si>
  <si>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</si>
  <si>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</si>
  <si>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</si>
  <si>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</si>
  <si>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</si>
  <si>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</si>
  <si>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</si>
  <si>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</si>
  <si>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</si>
  <si>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</si>
  <si>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</si>
  <si>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</si>
  <si>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</si>
  <si>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</si>
  <si>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</si>
  <si>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</si>
  <si>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</si>
  <si>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</si>
  <si>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</si>
  <si>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</si>
  <si>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</si>
  <si>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</si>
  <si>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</si>
  <si>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</si>
  <si>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</si>
  <si>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</si>
  <si>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</si>
  <si>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</si>
  <si>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</si>
  <si>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</si>
  <si>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</si>
  <si>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</si>
  <si>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</si>
  <si>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</si>
  <si>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</si>
  <si>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</si>
  <si>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</si>
  <si>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</si>
  <si>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</si>
  <si>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</si>
  <si>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</si>
  <si>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</si>
  <si>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</si>
  <si>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</si>
  <si>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</si>
  <si>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</si>
  <si>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</si>
  <si>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</si>
  <si>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</si>
  <si>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</si>
  <si>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</si>
  <si>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</si>
  <si>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</si>
  <si>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</si>
  <si>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</si>
  <si>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</si>
  <si>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</si>
  <si>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</si>
  <si>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</si>
  <si>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</si>
  <si>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</si>
  <si>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</si>
  <si>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</si>
  <si>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</si>
  <si>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</si>
  <si>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</si>
  <si>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</si>
  <si>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</si>
  <si>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</si>
  <si>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</si>
  <si>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</si>
  <si>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</si>
  <si>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</si>
  <si>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</si>
  <si>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</si>
  <si>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</si>
  <si>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</si>
  <si>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</si>
  <si>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</si>
  <si>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</si>
  <si>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</si>
  <si>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</si>
  <si>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</si>
  <si>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</si>
  <si>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</si>
  <si>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</si>
  <si>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</si>
  <si>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</si>
  <si>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</si>
  <si>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</si>
  <si>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</si>
  <si>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</si>
  <si>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</si>
  <si>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</si>
  <si>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</si>
  <si>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</si>
  <si>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</si>
  <si>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</si>
  <si>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</si>
  <si>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</si>
  <si>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</si>
  <si>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</si>
  <si>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</si>
  <si>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</si>
  <si>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</si>
  <si>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</si>
  <si>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</si>
  <si>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</si>
  <si>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</si>
  <si>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</si>
  <si>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</si>
  <si>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</si>
  <si>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</si>
  <si>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</si>
  <si>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</si>
  <si>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</si>
  <si>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</si>
  <si>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</si>
  <si>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</si>
  <si>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</si>
  <si>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</si>
  <si>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</si>
  <si>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</si>
  <si>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</si>
  <si>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</si>
  <si>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</si>
  <si>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</si>
  <si>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</si>
  <si>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</si>
  <si>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</si>
  <si>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</si>
  <si>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</si>
  <si>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</si>
  <si>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</si>
  <si>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</si>
  <si>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</si>
  <si>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</si>
  <si>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</si>
  <si>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</si>
  <si>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</si>
  <si>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</si>
  <si>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</si>
  <si>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</si>
  <si>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</si>
  <si>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</si>
  <si>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</si>
  <si>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</si>
  <si>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</si>
  <si>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</si>
  <si>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</si>
  <si>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</si>
  <si>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</si>
  <si>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</si>
  <si>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</si>
  <si>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</si>
  <si>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</si>
  <si>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</si>
  <si>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</si>
  <si>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</si>
  <si>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</si>
  <si>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</si>
  <si>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</si>
  <si>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</si>
  <si>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</si>
  <si>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</si>
  <si>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</si>
  <si>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</si>
  <si>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</si>
  <si>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</si>
  <si>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</si>
  <si>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</si>
  <si>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</si>
  <si>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</si>
  <si>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</si>
  <si>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</si>
  <si>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</si>
  <si>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</si>
  <si>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</si>
  <si>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</si>
  <si>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</si>
  <si>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</si>
  <si>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</si>
  <si>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</si>
  <si>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</si>
  <si>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</si>
  <si>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</si>
  <si>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</si>
  <si>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</si>
  <si>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</si>
  <si>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</si>
  <si>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</si>
  <si>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</si>
  <si>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</si>
  <si>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</si>
  <si>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</si>
  <si>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</si>
  <si>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</si>
  <si>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</si>
  <si>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</si>
  <si>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</si>
  <si>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</si>
  <si>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</si>
  <si>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</si>
  <si>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</si>
  <si>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</si>
  <si>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</si>
  <si>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</si>
  <si>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</si>
  <si>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</si>
  <si>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</si>
  <si>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</si>
  <si>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</si>
  <si>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</si>
  <si>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</si>
  <si>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</si>
  <si>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</si>
  <si>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</si>
  <si>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</si>
  <si>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</si>
  <si>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</si>
  <si>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</si>
  <si>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</si>
  <si>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</si>
  <si>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</si>
  <si>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</si>
  <si>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</si>
  <si>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</si>
  <si>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</si>
  <si>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</si>
  <si>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</si>
  <si>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</si>
  <si>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</si>
  <si>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</si>
  <si>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</si>
  <si>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</si>
  <si>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</si>
  <si>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</si>
  <si>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</si>
  <si>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</si>
  <si>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</si>
  <si>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</si>
  <si>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</si>
  <si>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</si>
  <si>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</si>
  <si>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</si>
  <si>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</si>
  <si>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</si>
  <si>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</si>
  <si>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</si>
  <si>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</si>
  <si>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</si>
  <si>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</si>
  <si>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</si>
  <si>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</si>
  <si>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</si>
  <si>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</si>
  <si>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</si>
  <si>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</si>
  <si>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</si>
  <si>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</si>
  <si>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</si>
  <si>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</si>
  <si>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</si>
  <si>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</si>
  <si>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</si>
  <si>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</si>
  <si>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</si>
  <si>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</si>
  <si>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</si>
  <si>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</si>
  <si>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</si>
  <si>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</si>
  <si>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</si>
  <si>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</si>
  <si>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</si>
  <si>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</si>
  <si>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</si>
  <si>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</si>
  <si>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</si>
  <si>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</si>
  <si>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</si>
  <si>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</si>
  <si>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</si>
  <si>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</si>
  <si>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</si>
  <si>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</si>
  <si>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</si>
  <si>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</si>
  <si>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</si>
  <si>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</si>
  <si>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</si>
  <si>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</si>
  <si>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</si>
  <si>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</si>
  <si>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</si>
  <si>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</si>
  <si>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</si>
  <si>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</si>
  <si>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</si>
  <si>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</si>
  <si>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</si>
  <si>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</si>
  <si>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</si>
  <si>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</si>
  <si>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</si>
  <si>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</si>
  <si>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</si>
  <si>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</si>
  <si>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</si>
  <si>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</si>
  <si>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</si>
  <si>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</si>
  <si>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</si>
  <si>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</si>
  <si>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</si>
  <si>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</si>
  <si>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</si>
  <si>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</si>
  <si>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</si>
  <si>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</si>
  <si>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</si>
  <si>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</si>
  <si>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</si>
  <si>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</si>
  <si>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</si>
  <si>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</si>
  <si>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</si>
  <si>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</si>
  <si>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</si>
  <si>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</si>
  <si>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</si>
  <si>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</si>
  <si>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</si>
  <si>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</si>
  <si>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</si>
  <si>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</si>
  <si>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</si>
  <si>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</si>
  <si>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</si>
  <si>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</si>
  <si>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</si>
  <si>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</si>
  <si>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</si>
  <si>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</si>
  <si>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</si>
  <si>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</si>
  <si>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</si>
  <si>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</si>
  <si>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</si>
  <si>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</si>
  <si>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</si>
  <si>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</si>
  <si>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</si>
  <si>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</si>
  <si>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</si>
  <si>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</si>
  <si>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</si>
  <si>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</si>
  <si>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</si>
  <si>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</si>
  <si>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</si>
  <si>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</si>
  <si>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</si>
  <si>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</si>
  <si>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</si>
  <si>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</si>
  <si>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</si>
  <si>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</si>
  <si>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</si>
  <si>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</si>
  <si>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</si>
  <si>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</si>
  <si>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</si>
  <si>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</si>
  <si>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</si>
  <si>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</si>
  <si>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</si>
  <si>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</si>
  <si>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</si>
  <si>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</si>
  <si>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</si>
  <si>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</si>
  <si>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</si>
  <si>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</si>
  <si>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</si>
  <si>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</si>
  <si>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</si>
  <si>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</si>
  <si>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</si>
  <si>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</si>
  <si>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</si>
  <si>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</si>
  <si>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</si>
  <si>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</si>
  <si>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</si>
  <si>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</si>
  <si>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</si>
  <si>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</si>
  <si>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</si>
  <si>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</si>
  <si>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</si>
  <si>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</si>
  <si>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</si>
  <si>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</si>
  <si>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</si>
  <si>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</si>
  <si>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</si>
  <si>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</si>
  <si>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</si>
  <si>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</si>
  <si>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</si>
  <si>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</si>
  <si>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</si>
  <si>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</si>
  <si>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</si>
  <si>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</si>
  <si>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</si>
  <si>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</si>
  <si>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</si>
  <si>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</si>
  <si>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</si>
  <si>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</si>
  <si>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</si>
  <si>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</si>
  <si>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</si>
  <si>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</si>
  <si>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</si>
  <si>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</si>
  <si>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</si>
  <si>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</si>
  <si>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</si>
  <si>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</si>
  <si>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</si>
  <si>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</si>
  <si>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</si>
  <si>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</si>
  <si>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</si>
  <si>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</si>
  <si>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</si>
  <si>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</si>
  <si>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</si>
  <si>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</si>
  <si>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</si>
  <si>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</si>
  <si>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</si>
  <si>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</si>
  <si>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</si>
  <si>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</si>
  <si>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</si>
  <si>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</si>
  <si>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</si>
  <si>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</si>
  <si>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</si>
  <si>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</si>
  <si>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</si>
  <si>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</si>
  <si>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</si>
  <si>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</si>
  <si>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</si>
  <si>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</si>
  <si>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</si>
  <si>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</si>
  <si>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</si>
  <si>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</si>
  <si>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</si>
  <si>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</si>
  <si>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</si>
  <si>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</si>
  <si>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</si>
  <si>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</si>
  <si>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</si>
  <si>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</si>
  <si>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</si>
  <si>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</si>
  <si>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</si>
  <si>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</si>
  <si>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</si>
  <si>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</si>
  <si>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</si>
  <si>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</si>
  <si>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</si>
  <si>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</si>
  <si>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</si>
  <si>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</si>
  <si>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</si>
  <si>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</si>
  <si>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</si>
  <si>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</si>
  <si>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</si>
  <si>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</si>
  <si>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</si>
  <si>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</si>
  <si>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</si>
  <si>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</si>
  <si>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</si>
  <si>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</si>
  <si>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</si>
  <si>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</si>
  <si>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</si>
  <si>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</si>
  <si>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</si>
  <si>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</si>
  <si>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</si>
  <si>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</si>
  <si>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</si>
  <si>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</si>
  <si>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</si>
  <si>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</si>
  <si>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</si>
  <si>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</si>
  <si>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</si>
  <si>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</si>
  <si>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</si>
  <si>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</si>
  <si>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</si>
  <si>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</si>
  <si>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</si>
  <si>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</si>
  <si>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</si>
  <si>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</si>
  <si>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</si>
  <si>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</si>
  <si>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</si>
  <si>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</si>
  <si>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</si>
  <si>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</si>
  <si>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</si>
  <si>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</si>
  <si>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</si>
  <si>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</si>
  <si>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</si>
  <si>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</si>
  <si>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</si>
  <si>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</si>
  <si>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</si>
  <si>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</si>
  <si>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</si>
  <si>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</si>
  <si>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</si>
  <si>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</si>
  <si>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</si>
  <si>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</si>
  <si>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</si>
  <si>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</si>
  <si>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</si>
  <si>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</si>
  <si>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</si>
  <si>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</si>
  <si>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</si>
  <si>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</si>
  <si>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</si>
  <si>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</si>
  <si>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</si>
  <si>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</si>
  <si>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</si>
  <si>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</si>
  <si>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</si>
  <si>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</si>
  <si>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</si>
  <si>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</si>
  <si>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</si>
  <si>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</si>
  <si>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</si>
  <si>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</si>
  <si>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</si>
  <si>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</si>
  <si>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</si>
  <si>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</si>
  <si>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</si>
  <si>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</si>
  <si>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</si>
  <si>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</si>
  <si>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</si>
  <si>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</si>
  <si>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</si>
  <si>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</si>
  <si>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</si>
  <si>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</si>
  <si>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</si>
  <si>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</si>
  <si>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</si>
  <si>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</si>
  <si>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</si>
  <si>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</si>
  <si>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</si>
  <si>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</si>
  <si>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</si>
  <si>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</si>
  <si>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</si>
  <si>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</si>
  <si>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</si>
  <si>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</si>
  <si>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</si>
  <si>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</si>
  <si>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</si>
  <si>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</si>
  <si>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</si>
  <si>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</si>
  <si>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</si>
  <si>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</si>
  <si>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</si>
  <si>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</si>
  <si>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</si>
  <si>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</si>
  <si>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</si>
  <si>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</si>
  <si>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</si>
  <si>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</si>
  <si>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</si>
  <si>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</si>
  <si>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</si>
  <si>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</si>
  <si>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</si>
  <si>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</si>
  <si>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</si>
  <si>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</si>
  <si>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</si>
  <si>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</si>
  <si>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</si>
  <si>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</si>
  <si>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</si>
  <si>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</si>
  <si>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</si>
  <si>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</si>
  <si>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</si>
  <si>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</si>
  <si>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</si>
  <si>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</si>
  <si>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</si>
  <si>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</si>
  <si>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</si>
  <si>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</si>
  <si>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</si>
  <si>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</si>
  <si>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</si>
  <si>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</si>
  <si>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</si>
  <si>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</si>
  <si>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</si>
  <si>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</si>
  <si>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</si>
  <si>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</si>
  <si>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</si>
  <si>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</si>
  <si>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</si>
  <si>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</si>
  <si>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</si>
  <si>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</si>
  <si>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</si>
  <si>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</si>
  <si>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</si>
  <si>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</si>
  <si>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</si>
  <si>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</si>
  <si>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</si>
  <si>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</si>
  <si>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</si>
  <si>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</si>
  <si>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</si>
  <si>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</si>
  <si>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</si>
  <si>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</si>
  <si>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</si>
  <si>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</si>
  <si>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</si>
  <si>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</si>
  <si>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</si>
  <si>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</si>
  <si>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</si>
  <si>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</si>
  <si>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</si>
  <si>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</si>
  <si>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</si>
  <si>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</si>
  <si>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</si>
  <si>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</si>
  <si>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</si>
  <si>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</si>
  <si>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</si>
  <si>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</si>
  <si>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</si>
  <si>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</si>
  <si>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</si>
  <si>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</si>
  <si>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</si>
  <si>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</si>
  <si>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</si>
  <si>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</si>
  <si>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</si>
  <si>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</si>
  <si>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</si>
  <si>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</si>
  <si>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</si>
  <si>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</si>
  <si>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</si>
  <si>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</si>
  <si>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</si>
  <si>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</si>
  <si>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</si>
  <si>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</si>
  <si>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</si>
  <si>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</si>
  <si>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</si>
  <si>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</si>
  <si>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</si>
  <si>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</si>
  <si>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</si>
  <si>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</si>
  <si>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</si>
  <si>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</si>
  <si>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</si>
  <si>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</si>
  <si>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</si>
  <si>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</si>
  <si>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</si>
  <si>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</si>
  <si>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</si>
  <si>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</si>
  <si>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</si>
  <si>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</si>
  <si>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</si>
  <si>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</si>
  <si>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</si>
  <si>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</si>
  <si>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</si>
  <si>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</si>
  <si>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</si>
  <si>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</si>
  <si>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</si>
  <si>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</si>
  <si>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</si>
  <si>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</si>
  <si>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</si>
  <si>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</si>
  <si>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</si>
  <si>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</si>
  <si>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</si>
  <si>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</si>
  <si>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</si>
  <si>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</si>
  <si>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</si>
  <si>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</si>
  <si>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</si>
  <si>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</si>
  <si>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</si>
  <si>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</si>
  <si>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</si>
  <si>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</si>
  <si>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</si>
  <si>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</si>
  <si>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</si>
  <si>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</si>
  <si>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</si>
  <si>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</si>
  <si>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</si>
  <si>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</si>
  <si>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</si>
  <si>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</si>
  <si>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</si>
  <si>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</si>
  <si>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</si>
  <si>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</si>
  <si>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</si>
  <si>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</si>
  <si>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</si>
  <si>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</si>
  <si>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</si>
  <si>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</si>
  <si>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</si>
  <si>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</si>
  <si>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</si>
  <si>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</si>
  <si>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</si>
  <si>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</si>
  <si>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</si>
  <si>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</si>
  <si>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</si>
  <si>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</si>
  <si>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</si>
  <si>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</si>
  <si>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</si>
  <si>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</si>
  <si>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</si>
  <si>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</si>
  <si>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</si>
  <si>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</si>
  <si>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</si>
  <si>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</si>
  <si>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</si>
  <si>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</si>
  <si>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</si>
  <si>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</si>
  <si>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</si>
  <si>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</si>
  <si>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</si>
  <si>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</si>
  <si>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</si>
  <si>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</si>
  <si>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</si>
  <si>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</si>
  <si>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</si>
  <si>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</si>
  <si>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</si>
  <si>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</si>
  <si>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</si>
  <si>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</si>
  <si>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</si>
  <si>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</si>
  <si>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</si>
  <si>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</si>
  <si>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</si>
  <si>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</si>
  <si>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</si>
  <si>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</si>
  <si>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</si>
  <si>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</si>
  <si>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</si>
  <si>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</si>
  <si>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</si>
  <si>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</si>
  <si>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</si>
  <si>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</si>
  <si>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</si>
  <si>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</si>
  <si>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</si>
  <si>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</si>
  <si>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</si>
  <si>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</si>
  <si>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</si>
  <si>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</si>
  <si>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</si>
  <si>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</si>
  <si>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</si>
  <si>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</si>
  <si>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</si>
  <si>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</si>
  <si>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</si>
  <si>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</si>
  <si>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</si>
  <si>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</si>
  <si>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</si>
  <si>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</si>
  <si>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</si>
  <si>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</si>
  <si>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</si>
  <si>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</si>
  <si>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</si>
  <si>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</si>
  <si>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</si>
  <si>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</si>
  <si>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</si>
  <si>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</si>
  <si>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</si>
  <si>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</si>
  <si>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</si>
  <si>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</si>
  <si>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</si>
  <si>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</si>
  <si>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</si>
  <si>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</si>
  <si>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</si>
  <si>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</si>
  <si>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</si>
  <si>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</si>
  <si>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</si>
  <si>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</si>
  <si>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</si>
  <si>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</si>
  <si>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</si>
  <si>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</si>
  <si>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</si>
  <si>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</si>
  <si>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</si>
  <si>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</si>
  <si>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</si>
  <si>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</si>
  <si>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</si>
  <si>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</si>
  <si>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</si>
  <si>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</si>
  <si>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</si>
  <si>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</si>
  <si>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</si>
  <si>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</si>
  <si>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</si>
  <si>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</si>
  <si>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</si>
  <si>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</si>
  <si>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</si>
  <si>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</si>
  <si>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</si>
  <si>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</si>
  <si>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</si>
  <si>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</si>
  <si>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</si>
  <si>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</si>
  <si>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</si>
  <si>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</si>
  <si>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</si>
  <si>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</si>
  <si>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</si>
  <si>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</si>
  <si>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</si>
  <si>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</si>
  <si>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</si>
  <si>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</si>
  <si>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</si>
  <si>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</si>
  <si>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</si>
  <si>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</si>
  <si>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</si>
  <si>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</si>
  <si>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</si>
  <si>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</si>
  <si>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</si>
  <si>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</si>
  <si>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</si>
  <si>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</si>
  <si>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</si>
  <si>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</si>
  <si>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</si>
  <si>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</si>
  <si>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</si>
  <si>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</si>
  <si>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</si>
  <si>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</si>
  <si>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</si>
  <si>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</si>
  <si>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</si>
  <si>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</si>
  <si>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</si>
  <si>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</si>
  <si>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</si>
  <si>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</si>
  <si>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</si>
  <si>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</si>
  <si>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</si>
  <si>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</si>
  <si>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</si>
  <si>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</si>
  <si>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</si>
  <si>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</si>
  <si>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</si>
  <si>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</si>
  <si>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</si>
  <si>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</si>
  <si>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</si>
  <si>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</si>
  <si>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</si>
  <si>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</si>
  <si>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</si>
  <si>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</si>
  <si>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</si>
  <si>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</si>
  <si>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</si>
  <si>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</si>
  <si>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</si>
  <si>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</si>
  <si>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</si>
  <si>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</si>
  <si>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</si>
  <si>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</si>
  <si>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</si>
  <si>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</si>
  <si>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</si>
  <si>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</si>
  <si>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</si>
  <si>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</si>
  <si>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</si>
  <si>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</si>
  <si>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</si>
  <si>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</si>
  <si>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</si>
  <si>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</si>
  <si>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</si>
  <si>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</si>
  <si>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</si>
  <si>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</si>
  <si>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</si>
  <si>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</si>
  <si>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</si>
  <si>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</si>
  <si>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</si>
  <si>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</si>
  <si>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</si>
  <si>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</si>
  <si>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</si>
  <si>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</si>
  <si>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</si>
  <si>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</si>
  <si>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</si>
  <si>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</si>
  <si>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</si>
  <si>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</si>
  <si>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</si>
  <si>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</si>
  <si>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</si>
  <si>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</si>
  <si>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</si>
  <si>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</si>
  <si>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</si>
  <si>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</si>
  <si>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</si>
  <si>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</si>
  <si>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</si>
  <si>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</si>
  <si>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</si>
  <si>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</si>
  <si>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</si>
  <si>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</si>
  <si>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</si>
  <si>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</si>
  <si>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</si>
  <si>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</si>
  <si>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</si>
  <si>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</si>
  <si>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</si>
  <si>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</si>
  <si>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</si>
  <si>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</si>
  <si>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</si>
  <si>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</si>
  <si>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</si>
  <si>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</si>
  <si>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</si>
  <si>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</si>
  <si>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</si>
  <si>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</si>
  <si>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</si>
  <si>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</si>
  <si>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</si>
  <si>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</si>
  <si>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</si>
  <si>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</si>
  <si>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</si>
  <si>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</si>
  <si>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</si>
  <si>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</si>
  <si>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</si>
  <si>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</si>
  <si>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</si>
  <si>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</si>
  <si>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</si>
  <si>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</si>
  <si>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</si>
  <si>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</si>
  <si>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</si>
  <si>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</si>
  <si>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</si>
  <si>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</si>
  <si>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</si>
  <si>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</si>
  <si>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</si>
  <si>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</si>
  <si>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</si>
  <si>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</si>
  <si>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</si>
  <si>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</si>
  <si>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</si>
  <si>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</si>
  <si>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</si>
  <si>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</si>
  <si>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</si>
  <si>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</si>
  <si>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</si>
  <si>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</si>
  <si>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</si>
  <si>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</si>
  <si>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</si>
  <si>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</si>
  <si>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</si>
  <si>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</si>
  <si>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</si>
  <si>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</si>
  <si>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</si>
  <si>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</si>
  <si>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</si>
  <si>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</si>
  <si>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</si>
  <si>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</si>
  <si>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</si>
  <si>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</si>
  <si>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</si>
  <si>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</si>
  <si>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</si>
  <si>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</si>
  <si>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</si>
  <si>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</si>
  <si>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</si>
  <si>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</si>
  <si>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</si>
  <si>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</si>
  <si>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</si>
  <si>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</si>
  <si>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</si>
  <si>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</si>
  <si>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</si>
  <si>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</si>
  <si>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</si>
  <si>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</si>
  <si>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</si>
  <si>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</si>
  <si>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</si>
  <si>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</si>
  <si>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</si>
  <si>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</si>
  <si>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</si>
  <si>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</si>
  <si>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</si>
  <si>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</si>
  <si>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</si>
  <si>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</si>
  <si>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</si>
  <si>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</si>
  <si>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</si>
  <si>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</si>
  <si>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</si>
  <si>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</si>
  <si>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</si>
  <si>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</si>
  <si>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</si>
  <si>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</si>
  <si>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</si>
  <si>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</si>
  <si>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</si>
  <si>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</si>
  <si>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</si>
  <si>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</si>
  <si>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</si>
  <si>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</si>
  <si>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</si>
  <si>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</si>
  <si>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</si>
  <si>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</si>
  <si>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</si>
  <si>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</si>
  <si>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</si>
  <si>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</si>
  <si>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</si>
  <si>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</si>
  <si>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</si>
  <si>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</si>
  <si>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</si>
  <si>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</si>
  <si>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</si>
  <si>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</si>
  <si>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</si>
  <si>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</si>
  <si>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</si>
  <si>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</si>
  <si>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</si>
  <si>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</si>
  <si>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</si>
  <si>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</si>
  <si>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</si>
  <si>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</si>
  <si>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</si>
  <si>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</si>
  <si>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</si>
  <si>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</si>
  <si>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</si>
  <si>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</si>
  <si>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</si>
  <si>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</si>
  <si>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</si>
  <si>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</si>
  <si>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</si>
  <si>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</si>
  <si>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</si>
  <si>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</si>
  <si>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</si>
  <si>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</si>
  <si>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</si>
  <si>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</si>
  <si>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</si>
  <si>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</si>
  <si>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</si>
  <si>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</si>
  <si>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</si>
  <si>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</si>
  <si>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</si>
  <si>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</si>
  <si>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</si>
  <si>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</si>
  <si>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</si>
  <si>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</si>
  <si>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</si>
  <si>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</si>
  <si>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</si>
  <si>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</si>
  <si>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</si>
  <si>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</si>
  <si>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</si>
  <si>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</si>
  <si>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</si>
  <si>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</si>
  <si>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</si>
  <si>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</si>
  <si>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</si>
  <si>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</si>
  <si>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</si>
  <si>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</si>
  <si>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</si>
  <si>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</si>
  <si>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</si>
  <si>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</si>
  <si>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</si>
  <si>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</si>
  <si>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</si>
  <si>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</si>
  <si>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</si>
  <si>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</si>
  <si>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</si>
  <si>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</si>
  <si>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</si>
  <si>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</si>
  <si>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</si>
  <si>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</si>
  <si>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</si>
  <si>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</si>
  <si>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</si>
  <si>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</si>
  <si>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</si>
  <si>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</si>
  <si>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</si>
  <si>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</si>
  <si>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</si>
  <si>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</si>
  <si>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</si>
  <si>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</si>
  <si>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</si>
  <si>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</si>
  <si>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</si>
  <si>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</si>
  <si>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</si>
  <si>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</si>
  <si>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</si>
  <si>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</si>
  <si>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</si>
  <si>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</si>
  <si>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</si>
  <si>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</si>
  <si>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</si>
  <si>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</si>
  <si>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</si>
  <si>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</si>
  <si>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</si>
  <si>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</si>
  <si>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</si>
  <si>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</si>
  <si>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</si>
  <si>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</si>
  <si>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</si>
  <si>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</si>
  <si>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</si>
  <si>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</si>
  <si>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</si>
  <si>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</si>
  <si>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</si>
  <si>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</si>
  <si>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</si>
  <si>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</si>
  <si>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</si>
  <si>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</si>
  <si>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</si>
  <si>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</si>
  <si>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</si>
  <si>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</si>
  <si>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</si>
  <si>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</si>
  <si>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</si>
  <si>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</si>
  <si>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</si>
  <si>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</si>
  <si>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</si>
  <si>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</si>
  <si>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</si>
  <si>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</si>
  <si>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</si>
  <si>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</si>
  <si>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</si>
  <si>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</si>
  <si>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</si>
  <si>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</si>
  <si>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</si>
  <si>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</si>
  <si>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</si>
  <si>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</si>
  <si>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</si>
  <si>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</si>
  <si>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</si>
  <si>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</si>
  <si>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</si>
  <si>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</si>
  <si>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</si>
  <si>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</si>
  <si>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</si>
  <si>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</si>
  <si>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</si>
  <si>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</si>
  <si>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</si>
  <si>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</si>
  <si>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</si>
  <si>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</si>
  <si>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</si>
  <si>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</si>
  <si>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</si>
  <si>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</si>
  <si>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</si>
  <si>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</si>
  <si>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</si>
  <si>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</si>
  <si>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</si>
  <si>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</si>
  <si>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</si>
  <si>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</si>
  <si>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</si>
  <si>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</si>
  <si>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</si>
  <si>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</si>
  <si>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</si>
  <si>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</si>
  <si>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</si>
  <si>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</si>
  <si>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</si>
  <si>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</si>
  <si>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</si>
  <si>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</si>
  <si>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</si>
  <si>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</si>
  <si>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</si>
  <si>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</si>
  <si>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</si>
  <si>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</si>
  <si>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</si>
  <si>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</si>
  <si>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</si>
  <si>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</si>
  <si>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</si>
  <si>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</si>
  <si>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</si>
  <si>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</si>
  <si>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</si>
  <si>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</si>
  <si>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</si>
  <si>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</si>
  <si>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</si>
  <si>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</si>
  <si>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</si>
  <si>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</si>
  <si>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</si>
  <si>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</si>
  <si>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</si>
  <si>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</si>
  <si>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</si>
  <si>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</si>
  <si>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</si>
  <si>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</si>
  <si>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</si>
  <si>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</si>
  <si>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</si>
  <si>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</si>
  <si>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</si>
  <si>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</si>
  <si>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</si>
  <si>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</si>
  <si>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</si>
  <si>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</si>
  <si>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</si>
  <si>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</si>
  <si>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</si>
  <si>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</si>
  <si>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</si>
  <si>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</si>
  <si>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</si>
  <si>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</si>
  <si>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</si>
  <si>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</si>
  <si>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</si>
  <si>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</si>
  <si>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</si>
  <si>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</si>
  <si>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</si>
  <si>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</si>
  <si>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</si>
  <si>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</si>
  <si>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</si>
  <si>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</si>
  <si>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</si>
  <si>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</si>
  <si>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</si>
  <si>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</si>
  <si>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</si>
  <si>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</si>
  <si>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</si>
  <si>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</si>
  <si>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</si>
  <si>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</si>
  <si>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</si>
  <si>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</si>
  <si>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</si>
  <si>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</si>
  <si>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</si>
  <si>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</si>
  <si>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</si>
  <si>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</si>
  <si>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</si>
  <si>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</si>
  <si>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</si>
  <si>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</si>
  <si>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</si>
  <si>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</si>
  <si>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</si>
  <si>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</si>
  <si>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</si>
  <si>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</si>
  <si>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</si>
  <si>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</si>
  <si>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</si>
  <si>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</si>
  <si>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</si>
  <si>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</si>
  <si>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</si>
  <si>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</si>
  <si>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</si>
  <si>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</si>
  <si>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</si>
  <si>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</si>
  <si>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</si>
  <si>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</si>
  <si>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</si>
  <si>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</si>
  <si>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</si>
  <si>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</si>
  <si>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</si>
  <si>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</si>
  <si>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</si>
  <si>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</si>
  <si>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</si>
  <si>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</si>
  <si>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</si>
  <si>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</si>
  <si>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</si>
  <si>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</si>
  <si>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</si>
  <si>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</si>
  <si>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</si>
  <si>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</si>
  <si>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</si>
  <si>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</si>
  <si>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</si>
  <si>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</si>
  <si>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</si>
  <si>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</si>
  <si>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</si>
  <si>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</si>
  <si>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</si>
  <si>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</si>
  <si>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</si>
  <si>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</si>
  <si>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</si>
  <si>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</si>
  <si>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</si>
  <si>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</si>
  <si>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</si>
  <si>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</si>
  <si>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</si>
  <si>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</si>
  <si>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</si>
  <si>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</si>
  <si>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</si>
  <si>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</si>
  <si>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</si>
  <si>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</si>
  <si>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</si>
  <si>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</si>
  <si>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</si>
  <si>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</si>
  <si>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</si>
  <si>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</si>
  <si>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</si>
  <si>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</si>
  <si>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</si>
  <si>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</si>
  <si>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</si>
  <si>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</si>
  <si>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</si>
  <si>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</si>
  <si>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</si>
  <si>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</si>
  <si>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</si>
  <si>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</si>
  <si>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</si>
  <si>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</si>
  <si>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</si>
  <si>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</si>
  <si>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</si>
  <si>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</si>
  <si>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</si>
  <si>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</si>
  <si>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</si>
  <si>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</si>
  <si>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</si>
  <si>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</si>
  <si>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</si>
  <si>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</si>
  <si>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</si>
  <si>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</si>
  <si>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</si>
  <si>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</si>
  <si>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</si>
  <si>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</si>
  <si>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</si>
  <si>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</si>
  <si>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</si>
  <si>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</si>
  <si>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</si>
  <si>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</si>
  <si>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</si>
  <si>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</si>
  <si>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</si>
  <si>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</si>
  <si>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</si>
  <si>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</si>
  <si>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</si>
  <si>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</si>
  <si>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</si>
  <si>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</si>
  <si>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</si>
  <si>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</si>
  <si>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</si>
  <si>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</si>
  <si>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</si>
  <si>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</si>
  <si>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</si>
  <si>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</si>
  <si>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</si>
  <si>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</si>
  <si>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</si>
  <si>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</si>
  <si>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</si>
  <si>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</si>
  <si>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</si>
  <si>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</si>
  <si>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</si>
  <si>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</si>
  <si>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</si>
  <si>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</si>
  <si>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</si>
  <si>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</si>
  <si>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</si>
  <si>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</si>
  <si>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</si>
  <si>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</si>
  <si>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</si>
  <si>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</si>
  <si>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</si>
  <si>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</si>
  <si>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</si>
  <si>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</si>
  <si>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</si>
  <si>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</si>
  <si>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</si>
  <si>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</si>
  <si>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</si>
  <si>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</si>
  <si>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</si>
  <si>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</si>
  <si>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</si>
  <si>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</si>
  <si>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</si>
  <si>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</si>
  <si>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</si>
  <si>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</si>
  <si>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</si>
  <si>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</si>
  <si>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</si>
  <si>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</si>
  <si>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</si>
  <si>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</si>
  <si>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</si>
  <si>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</si>
  <si>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</si>
  <si>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</si>
  <si>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</si>
  <si>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</si>
  <si>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</si>
  <si>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</si>
  <si>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</si>
  <si>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</si>
  <si>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</si>
  <si>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</si>
  <si>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</si>
  <si>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</si>
  <si>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</si>
  <si>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</si>
  <si>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</si>
  <si>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</si>
  <si>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</si>
  <si>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</si>
  <si>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</si>
  <si>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</si>
  <si>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</si>
  <si>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</si>
  <si>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</si>
  <si>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</si>
  <si>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</si>
  <si>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</si>
  <si>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</si>
  <si>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</si>
  <si>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</si>
  <si>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</si>
  <si>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</si>
  <si>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</si>
  <si>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</si>
  <si>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</si>
  <si>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</si>
  <si>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</si>
  <si>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</si>
  <si>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</si>
  <si>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</si>
  <si>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</si>
  <si>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</si>
  <si>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</si>
  <si>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</si>
  <si>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</si>
  <si>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</si>
  <si>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</si>
  <si>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</si>
  <si>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</si>
  <si>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</si>
  <si>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</si>
  <si>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</si>
  <si>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</si>
  <si>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</si>
  <si>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</si>
  <si>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</si>
  <si>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</si>
  <si>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</si>
  <si>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</si>
  <si>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</si>
  <si>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</si>
  <si>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</si>
  <si>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</si>
  <si>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</si>
  <si>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</si>
  <si>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</si>
  <si>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</si>
  <si>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</si>
  <si>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</si>
  <si>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</si>
  <si>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</si>
  <si>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</si>
  <si>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</si>
  <si>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</si>
  <si>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</si>
  <si>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</si>
  <si>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</si>
  <si>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</si>
  <si>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</si>
  <si>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</si>
  <si>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</si>
  <si>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</si>
  <si>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</si>
  <si>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</si>
  <si>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</si>
  <si>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</si>
  <si>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</si>
  <si>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</si>
  <si>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</si>
  <si>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</si>
  <si>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</si>
  <si>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</si>
  <si>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</si>
  <si>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</si>
  <si>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</si>
  <si>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</si>
  <si>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</si>
  <si>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</si>
  <si>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</si>
  <si>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</si>
  <si>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</si>
  <si>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</si>
  <si>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</si>
  <si>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</si>
  <si>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</si>
  <si>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</si>
  <si>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</si>
  <si>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</si>
  <si>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</si>
  <si>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</si>
  <si>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</si>
  <si>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</si>
  <si>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</si>
  <si>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</si>
  <si>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</si>
  <si>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</si>
  <si>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</si>
  <si>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</si>
  <si>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</si>
  <si>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</si>
  <si>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</si>
  <si>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</si>
  <si>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</si>
  <si>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</si>
  <si>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</si>
  <si>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</si>
  <si>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</si>
  <si>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</si>
  <si>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</si>
  <si>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</si>
  <si>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</si>
  <si>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</si>
  <si>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</si>
  <si>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</si>
  <si>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</si>
  <si>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</si>
  <si>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</si>
  <si>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</si>
  <si>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</si>
  <si>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</si>
  <si>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</si>
  <si>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</si>
  <si>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</si>
  <si>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</si>
  <si>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</si>
  <si>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</si>
  <si>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</si>
  <si>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</si>
  <si>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</si>
  <si>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</si>
  <si>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</si>
  <si>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</si>
  <si>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</si>
  <si>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</si>
  <si>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</si>
  <si>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</si>
  <si>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</si>
  <si>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</si>
  <si>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</si>
  <si>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</si>
  <si>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</si>
  <si>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</si>
  <si>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</si>
  <si>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</si>
  <si>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</si>
  <si>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</si>
  <si>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</si>
  <si>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</si>
  <si>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</si>
  <si>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</si>
  <si>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</si>
  <si>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</si>
  <si>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</si>
  <si>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</si>
  <si>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</si>
  <si>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</si>
  <si>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</si>
  <si>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</si>
  <si>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</si>
  <si>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</si>
  <si>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</si>
  <si>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</si>
  <si>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</si>
  <si>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</si>
  <si>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</si>
  <si>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</si>
  <si>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</si>
  <si>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</si>
  <si>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</si>
  <si>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</si>
  <si>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</si>
  <si>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</si>
  <si>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</si>
  <si>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</si>
  <si>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</si>
  <si>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</si>
  <si>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</si>
  <si>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</si>
  <si>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</si>
  <si>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</si>
  <si>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</si>
  <si>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</si>
  <si>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</si>
  <si>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</si>
  <si>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</si>
  <si>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</si>
  <si>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</si>
  <si>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</si>
  <si>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</si>
  <si>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</si>
  <si>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</si>
  <si>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</si>
  <si>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</si>
  <si>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</si>
  <si>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</si>
  <si>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</si>
  <si>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</si>
  <si>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</si>
  <si>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</si>
  <si>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</si>
  <si>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</si>
  <si>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</si>
  <si>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</si>
  <si>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</si>
  <si>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</si>
  <si>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</si>
  <si>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</si>
  <si>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</si>
  <si>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</si>
  <si>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</si>
  <si>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</si>
  <si>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</si>
  <si>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</si>
  <si>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</si>
  <si>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</si>
  <si>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</si>
  <si>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</si>
  <si>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</si>
  <si>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</si>
  <si>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</si>
  <si>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</si>
  <si>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</si>
  <si>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</si>
  <si>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</si>
  <si>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</si>
  <si>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</si>
  <si>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</si>
  <si>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</si>
  <si>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</si>
  <si>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</si>
  <si>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</si>
  <si>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</si>
  <si>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</si>
  <si>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</si>
  <si>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</si>
  <si>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</si>
  <si>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</si>
  <si>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</si>
  <si>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</si>
  <si>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</si>
  <si>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</si>
  <si>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</si>
  <si>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</si>
  <si>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</si>
  <si>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</si>
  <si>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</si>
  <si>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</si>
  <si>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</si>
  <si>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</si>
  <si>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</si>
  <si>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</si>
  <si>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</si>
  <si>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</si>
  <si>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</si>
  <si>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</si>
  <si>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</si>
  <si>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</si>
  <si>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</si>
  <si>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</si>
  <si>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</si>
  <si>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</si>
  <si>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</si>
  <si>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</si>
  <si>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</si>
  <si>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</si>
  <si>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</si>
  <si>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</si>
  <si>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</si>
  <si>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</si>
  <si>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</si>
  <si>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</si>
  <si>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</si>
  <si>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</si>
  <si>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</si>
  <si>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</si>
  <si>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</si>
  <si>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</si>
  <si>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</si>
  <si>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</si>
  <si>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</si>
  <si>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</si>
  <si>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</si>
  <si>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</si>
  <si>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</si>
  <si>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</si>
  <si>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</si>
  <si>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</si>
  <si>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</si>
  <si>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</si>
  <si>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</si>
  <si>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</si>
  <si>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</si>
  <si>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</si>
  <si>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</si>
  <si>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</si>
  <si>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</si>
  <si>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</si>
  <si>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</si>
  <si>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</si>
  <si>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</si>
  <si>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</si>
  <si>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</si>
  <si>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</si>
  <si>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</si>
  <si>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</si>
  <si>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</si>
  <si>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</si>
  <si>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</si>
  <si>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</si>
  <si>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</si>
  <si>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</si>
  <si>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</si>
  <si>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</si>
  <si>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</si>
  <si>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</si>
  <si>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</si>
  <si>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</si>
  <si>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</si>
  <si>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</si>
  <si>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</si>
  <si>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</si>
  <si>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</si>
  <si>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</si>
  <si>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</si>
  <si>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</si>
  <si>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</si>
  <si>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</si>
  <si>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</si>
  <si>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</si>
  <si>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</si>
  <si>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</si>
  <si>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</si>
  <si>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</si>
  <si>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</si>
  <si>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</si>
  <si>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</si>
  <si>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</si>
  <si>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</si>
  <si>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</si>
  <si>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</si>
  <si>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</si>
  <si>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</si>
  <si>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</si>
  <si>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</si>
  <si>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</si>
  <si>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</si>
  <si>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</si>
  <si>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</si>
  <si>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</si>
  <si>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</si>
  <si>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</si>
  <si>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</si>
  <si>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</si>
  <si>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</si>
  <si>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</si>
  <si>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</si>
  <si>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</si>
  <si>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</si>
  <si>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</si>
  <si>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</si>
  <si>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</si>
  <si>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</si>
  <si>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</si>
  <si>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</si>
  <si>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</si>
  <si>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</si>
  <si>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</si>
  <si>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</si>
  <si>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</si>
  <si>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</si>
  <si>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</si>
  <si>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</si>
  <si>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</si>
  <si>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</si>
  <si>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</si>
  <si>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</si>
  <si>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</si>
  <si>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</si>
  <si>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</si>
  <si>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</si>
  <si>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</si>
  <si>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</si>
  <si>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</si>
  <si>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</si>
  <si>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</si>
  <si>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</si>
  <si>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</si>
  <si>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</si>
  <si>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</si>
  <si>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</si>
  <si>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</si>
  <si>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</si>
  <si>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</si>
  <si>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</si>
  <si>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</si>
  <si>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</si>
  <si>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</si>
  <si>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</si>
  <si>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</si>
  <si>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</si>
  <si>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</si>
  <si>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</si>
  <si>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</si>
  <si>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</si>
  <si>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</si>
  <si>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</si>
  <si>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</si>
  <si>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</si>
  <si>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</si>
  <si>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</si>
  <si>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</si>
  <si>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</si>
  <si>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</si>
  <si>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</si>
  <si>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</si>
  <si>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</si>
  <si>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</si>
  <si>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</si>
  <si>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</si>
  <si>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</si>
  <si>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</si>
  <si>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</si>
  <si>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</si>
  <si>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</si>
  <si>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</si>
  <si>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</si>
  <si>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</si>
  <si>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</si>
  <si>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</si>
  <si>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</si>
  <si>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</si>
  <si>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</si>
  <si>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</si>
  <si>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</si>
  <si>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</si>
  <si>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</si>
  <si>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</si>
  <si>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</si>
  <si>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</si>
  <si>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</si>
  <si>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</si>
  <si>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</si>
  <si>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</si>
  <si>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</si>
  <si>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</si>
  <si>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</si>
  <si>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</si>
  <si>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</si>
  <si>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</si>
  <si>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</si>
  <si>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</si>
  <si>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</si>
  <si>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</si>
  <si>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</si>
  <si>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</si>
  <si>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</si>
  <si>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</si>
  <si>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</si>
  <si>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</si>
  <si>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</si>
  <si>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</si>
  <si>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</si>
  <si>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</si>
  <si>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</si>
  <si>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</si>
  <si>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</si>
  <si>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</si>
  <si>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</si>
  <si>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</si>
  <si>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</si>
  <si>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</si>
  <si>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</si>
  <si>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</si>
  <si>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</si>
  <si>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</si>
  <si>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</si>
  <si>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</si>
  <si>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</si>
  <si>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</si>
  <si>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작업 후 종결메일 보내기 / 출입 신청 하기</t>
    <phoneticPr fontId="2" type="noConversion"/>
  </si>
  <si>
    <t>화기작업/출입서류 전달/Report전달
김제환 책임 010-3520-4948</t>
    <phoneticPr fontId="2" type="noConversion"/>
  </si>
  <si>
    <t>김제환 책임 010-3520-4948
밀폐,화기작업,출입신청하기,Report 전달</t>
    <phoneticPr fontId="2" type="noConversion"/>
  </si>
  <si>
    <t>박해식(반차)</t>
    <phoneticPr fontId="2" type="noConversion"/>
  </si>
  <si>
    <t>3/4 이시맥 기장님 출근 예정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</si>
  <si>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</si>
  <si>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</si>
  <si>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TELESCOPIC BOOM 오일 누유 점검
* 방문 시 점검 후 최병문 차장님과 통화 요청</t>
    <phoneticPr fontId="2" type="noConversion"/>
  </si>
  <si>
    <t>HKS041</t>
    <phoneticPr fontId="2" type="noConversion"/>
  </si>
  <si>
    <t>DAVIT 안착 불가(치수 확인)</t>
    <phoneticPr fontId="2" type="noConversion"/>
  </si>
  <si>
    <t>장현환 책임님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</si>
  <si>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</si>
  <si>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</si>
  <si>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서화두 프로 hwadoo.seo@samsung.com
010-4568-8899
출입신청,드라이브스루(최재호)신청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</si>
</sst>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72" fillId="0" borderId="9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8" fillId="0" borderId="9" xfId="0" applyFont="1" applyFill="1" applyBorder="1" applyAlignment="1">
      <alignment vertical="center" wrapText="1"/>
    </xf>
    <xf numFmtId="0" fontId="72" fillId="0" borderId="14" xfId="0" applyFont="1" applyFill="1" applyBorder="1" applyAlignment="1">
      <alignment vertical="center" wrapText="1"/>
    </xf>
    <xf numFmtId="0" fontId="72" fillId="0" borderId="0" xfId="0" applyFont="1" applyFill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0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3"/>
  <sheetViews>
    <sheetView showGridLines="0" tabSelected="1" topLeftCell="A178" zoomScaleNormal="100" workbookViewId="0">
      <selection activeCell="J187" sqref="J187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 x14ac:dyDescent="0.3">
      <c r="A1" s="531" t="s">
        <v>3348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1"/>
    </row>
    <row r="2" spans="1:17" s="18" customFormat="1" ht="27" customHeight="1" x14ac:dyDescent="0.3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 x14ac:dyDescent="0.3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 x14ac:dyDescent="0.3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 x14ac:dyDescent="0.3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 x14ac:dyDescent="0.3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 x14ac:dyDescent="0.3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 x14ac:dyDescent="0.3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 x14ac:dyDescent="0.3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 x14ac:dyDescent="0.3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5364</v>
      </c>
      <c r="Q10" s="457"/>
    </row>
    <row r="11" spans="1:17" s="18" customFormat="1" ht="33" customHeight="1" x14ac:dyDescent="0.3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 x14ac:dyDescent="0.3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 x14ac:dyDescent="0.3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 x14ac:dyDescent="0.3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 x14ac:dyDescent="0.3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 x14ac:dyDescent="0.3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 x14ac:dyDescent="0.3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 x14ac:dyDescent="0.3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 x14ac:dyDescent="0.3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 x14ac:dyDescent="0.3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 x14ac:dyDescent="0.3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 x14ac:dyDescent="0.3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27"/>
      <c r="Q22" s="528"/>
      <c r="R22" s="528"/>
      <c r="S22" s="528"/>
    </row>
    <row r="23" spans="1:19" s="18" customFormat="1" ht="33" customHeight="1" x14ac:dyDescent="0.3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 x14ac:dyDescent="0.3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 x14ac:dyDescent="0.3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 x14ac:dyDescent="0.3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 x14ac:dyDescent="0.3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27"/>
      <c r="Q27" s="528"/>
      <c r="R27" s="528"/>
      <c r="S27" s="528"/>
    </row>
    <row r="28" spans="1:19" s="18" customFormat="1" ht="33" customHeight="1" x14ac:dyDescent="0.3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 x14ac:dyDescent="0.3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 x14ac:dyDescent="0.3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 x14ac:dyDescent="0.3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 x14ac:dyDescent="0.3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 x14ac:dyDescent="0.3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 x14ac:dyDescent="0.3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 x14ac:dyDescent="0.3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 x14ac:dyDescent="0.3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27"/>
      <c r="Q36" s="528"/>
      <c r="R36" s="528"/>
      <c r="S36" s="528"/>
    </row>
    <row r="37" spans="1:19" s="18" customFormat="1" ht="33" customHeight="1" x14ac:dyDescent="0.3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27"/>
      <c r="Q37" s="528"/>
      <c r="R37" s="528"/>
      <c r="S37" s="528"/>
    </row>
    <row r="38" spans="1:19" s="18" customFormat="1" ht="33" customHeight="1" x14ac:dyDescent="0.3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 x14ac:dyDescent="0.3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 x14ac:dyDescent="0.3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27"/>
      <c r="Q40" s="528"/>
      <c r="R40" s="528"/>
      <c r="S40" s="528"/>
    </row>
    <row r="41" spans="1:19" s="18" customFormat="1" ht="27" customHeight="1" x14ac:dyDescent="0.3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27"/>
      <c r="Q41" s="528"/>
      <c r="R41" s="528"/>
      <c r="S41" s="528"/>
    </row>
    <row r="42" spans="1:19" s="18" customFormat="1" ht="33" customHeight="1" x14ac:dyDescent="0.3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5437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5442</v>
      </c>
      <c r="P42" s="443" t="s">
        <v>4549</v>
      </c>
    </row>
    <row r="43" spans="1:19" s="18" customFormat="1" ht="33" customHeight="1" x14ac:dyDescent="0.3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27" t="s">
        <v>4686</v>
      </c>
      <c r="Q43" s="528"/>
      <c r="R43" s="528"/>
      <c r="S43" s="528"/>
    </row>
    <row r="44" spans="1:19" s="18" customFormat="1" ht="33" customHeight="1" x14ac:dyDescent="0.3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 x14ac:dyDescent="0.3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 x14ac:dyDescent="0.3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5199</v>
      </c>
      <c r="P46" s="475"/>
      <c r="Q46"/>
    </row>
    <row r="47" spans="1:19" s="18" customFormat="1" ht="33" customHeight="1" x14ac:dyDescent="0.3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 x14ac:dyDescent="0.3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 x14ac:dyDescent="0.3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 x14ac:dyDescent="0.3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 x14ac:dyDescent="0.3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 x14ac:dyDescent="0.3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 x14ac:dyDescent="0.3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 x14ac:dyDescent="0.3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5384</v>
      </c>
      <c r="P54" s="450"/>
    </row>
    <row r="55" spans="1:19" s="18" customFormat="1" ht="33" customHeight="1" x14ac:dyDescent="0.3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 x14ac:dyDescent="0.3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 x14ac:dyDescent="0.3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 x14ac:dyDescent="0.3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 x14ac:dyDescent="0.3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 x14ac:dyDescent="0.3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 x14ac:dyDescent="0.3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5415</v>
      </c>
      <c r="P61" s="527"/>
      <c r="Q61" s="528"/>
      <c r="R61" s="528"/>
      <c r="S61" s="528"/>
    </row>
    <row r="62" spans="1:19" s="18" customFormat="1" ht="33" customHeight="1" x14ac:dyDescent="0.3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 x14ac:dyDescent="0.3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 x14ac:dyDescent="0.3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27"/>
      <c r="Q64" s="528"/>
      <c r="R64" s="528"/>
      <c r="S64" s="528"/>
    </row>
    <row r="65" spans="1:19" s="18" customFormat="1" ht="33" customHeight="1" x14ac:dyDescent="0.3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 x14ac:dyDescent="0.3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 x14ac:dyDescent="0.3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5256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27"/>
      <c r="Q67" s="528"/>
      <c r="R67" s="528"/>
      <c r="S67" s="528"/>
    </row>
    <row r="68" spans="1:19" s="18" customFormat="1" ht="33" customHeight="1" x14ac:dyDescent="0.3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 x14ac:dyDescent="0.3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 x14ac:dyDescent="0.3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 x14ac:dyDescent="0.3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 x14ac:dyDescent="0.3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 x14ac:dyDescent="0.3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 x14ac:dyDescent="0.3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27"/>
      <c r="Q74" s="528"/>
      <c r="R74" s="528"/>
      <c r="S74" s="528"/>
    </row>
    <row r="75" spans="1:19" s="18" customFormat="1" ht="33" customHeight="1" x14ac:dyDescent="0.3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 x14ac:dyDescent="0.3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 x14ac:dyDescent="0.3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 x14ac:dyDescent="0.3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 x14ac:dyDescent="0.3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 x14ac:dyDescent="0.3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 x14ac:dyDescent="0.3">
      <c r="A81" s="494"/>
      <c r="B81" s="439">
        <v>46049</v>
      </c>
      <c r="C81" s="4" t="s">
        <v>24</v>
      </c>
      <c r="D81" s="4" t="s">
        <v>5148</v>
      </c>
      <c r="E81" s="207" t="s">
        <v>4764</v>
      </c>
      <c r="F81" s="34">
        <v>222003</v>
      </c>
      <c r="G81" s="17" t="s">
        <v>4856</v>
      </c>
      <c r="H81" s="334" t="s">
        <v>5398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 x14ac:dyDescent="0.3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5397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 x14ac:dyDescent="0.3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27"/>
      <c r="Q83" s="528"/>
      <c r="R83" s="528"/>
      <c r="S83" s="528"/>
    </row>
    <row r="84" spans="1:19" s="18" customFormat="1" ht="33" customHeight="1" x14ac:dyDescent="0.3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5399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 x14ac:dyDescent="0.3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27"/>
      <c r="Q85" s="528"/>
      <c r="R85" s="528"/>
      <c r="S85" s="528"/>
    </row>
    <row r="86" spans="1:19" s="18" customFormat="1" ht="33" customHeight="1" x14ac:dyDescent="0.3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 x14ac:dyDescent="0.3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5409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5410</v>
      </c>
    </row>
    <row r="88" spans="1:19" s="18" customFormat="1" ht="33" customHeight="1" x14ac:dyDescent="0.3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 x14ac:dyDescent="0.3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5410</v>
      </c>
    </row>
    <row r="90" spans="1:19" s="18" customFormat="1" ht="33" customHeight="1" x14ac:dyDescent="0.3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 x14ac:dyDescent="0.3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 x14ac:dyDescent="0.3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 x14ac:dyDescent="0.3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5400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27" t="s">
        <v>4686</v>
      </c>
      <c r="Q93" s="528"/>
      <c r="R93" s="528"/>
      <c r="S93" s="528"/>
    </row>
    <row r="94" spans="1:19" s="18" customFormat="1" ht="33" customHeight="1" x14ac:dyDescent="0.3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 x14ac:dyDescent="0.3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5401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0" t="s">
        <v>5019</v>
      </c>
    </row>
    <row r="96" spans="1:19" s="18" customFormat="1" ht="33" customHeight="1" x14ac:dyDescent="0.3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 x14ac:dyDescent="0.3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 x14ac:dyDescent="0.3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1" t="s">
        <v>5111</v>
      </c>
    </row>
    <row r="99" spans="1:16" s="18" customFormat="1" ht="33" customHeight="1" x14ac:dyDescent="0.3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1" t="s">
        <v>5115</v>
      </c>
      <c r="P99" s="458" t="s">
        <v>5108</v>
      </c>
    </row>
    <row r="100" spans="1:16" s="18" customFormat="1" ht="33" customHeight="1" x14ac:dyDescent="0.3">
      <c r="A100" s="494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5113</v>
      </c>
    </row>
    <row r="101" spans="1:16" s="18" customFormat="1" ht="33" customHeight="1" x14ac:dyDescent="0.3">
      <c r="A101" s="494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5137</v>
      </c>
      <c r="I101" s="34" t="s">
        <v>5135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 x14ac:dyDescent="0.3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 x14ac:dyDescent="0.3">
      <c r="A103" s="494"/>
      <c r="B103" s="439">
        <v>46057</v>
      </c>
      <c r="C103" s="4" t="s">
        <v>21</v>
      </c>
      <c r="D103" s="4" t="s">
        <v>14</v>
      </c>
      <c r="E103" s="34" t="s">
        <v>5138</v>
      </c>
      <c r="F103" s="207">
        <v>222003</v>
      </c>
      <c r="G103" s="17" t="s">
        <v>5139</v>
      </c>
      <c r="H103" s="334" t="s">
        <v>5402</v>
      </c>
      <c r="I103" s="34"/>
      <c r="J103" s="34" t="s">
        <v>5140</v>
      </c>
      <c r="K103" s="133" t="s">
        <v>15</v>
      </c>
      <c r="L103" s="17"/>
      <c r="M103" s="8">
        <v>1</v>
      </c>
      <c r="N103" s="34"/>
      <c r="O103" s="501" t="s">
        <v>5144</v>
      </c>
    </row>
    <row r="104" spans="1:16" s="18" customFormat="1" ht="33" customHeight="1" x14ac:dyDescent="0.3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5150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5153</v>
      </c>
      <c r="O104" s="500" t="s">
        <v>5112</v>
      </c>
    </row>
    <row r="105" spans="1:16" s="18" customFormat="1" ht="33" customHeight="1" x14ac:dyDescent="0.3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5151</v>
      </c>
      <c r="I105" s="34"/>
      <c r="J105" s="34" t="s">
        <v>5146</v>
      </c>
      <c r="K105" s="133" t="s">
        <v>32</v>
      </c>
      <c r="L105" s="17">
        <v>9080</v>
      </c>
      <c r="M105" s="8">
        <v>2</v>
      </c>
      <c r="N105" s="34"/>
      <c r="O105" s="499" t="s">
        <v>5147</v>
      </c>
    </row>
    <row r="106" spans="1:16" s="18" customFormat="1" ht="33" customHeight="1" x14ac:dyDescent="0.3">
      <c r="A106" s="494"/>
      <c r="B106" s="439">
        <v>46058</v>
      </c>
      <c r="C106" s="4" t="s">
        <v>21</v>
      </c>
      <c r="D106" s="4" t="s">
        <v>14</v>
      </c>
      <c r="E106" s="34" t="s">
        <v>5134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 x14ac:dyDescent="0.3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5160</v>
      </c>
      <c r="I107" s="34"/>
      <c r="J107" s="34" t="s">
        <v>5157</v>
      </c>
      <c r="K107" s="133" t="s">
        <v>32</v>
      </c>
      <c r="L107" s="17"/>
      <c r="M107" s="8">
        <v>1</v>
      </c>
      <c r="N107" s="207" t="s">
        <v>5161</v>
      </c>
      <c r="O107" s="500" t="s">
        <v>5159</v>
      </c>
    </row>
    <row r="108" spans="1:16" s="18" customFormat="1" ht="33" customHeight="1" x14ac:dyDescent="0.3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 x14ac:dyDescent="0.3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 x14ac:dyDescent="0.3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 x14ac:dyDescent="0.3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 x14ac:dyDescent="0.3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5204</v>
      </c>
      <c r="K112" s="133" t="s">
        <v>5149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 x14ac:dyDescent="0.3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 x14ac:dyDescent="0.3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5403</v>
      </c>
      <c r="I114" s="34" t="s">
        <v>5155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5154</v>
      </c>
    </row>
    <row r="115" spans="1:16" s="18" customFormat="1" ht="33" customHeight="1" x14ac:dyDescent="0.3">
      <c r="A115" s="494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34" t="s">
        <v>5213</v>
      </c>
      <c r="O115" s="506" t="s">
        <v>5211</v>
      </c>
    </row>
    <row r="116" spans="1:16" s="18" customFormat="1" ht="33" customHeight="1" x14ac:dyDescent="0.3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5216</v>
      </c>
      <c r="G116" s="17" t="s">
        <v>5215</v>
      </c>
      <c r="H116" s="207" t="s">
        <v>5221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 x14ac:dyDescent="0.3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5205</v>
      </c>
    </row>
    <row r="118" spans="1:16" s="18" customFormat="1" ht="33" customHeight="1" x14ac:dyDescent="0.3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5156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5214</v>
      </c>
    </row>
    <row r="119" spans="1:16" s="18" customFormat="1" ht="33" customHeight="1" x14ac:dyDescent="0.3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5202</v>
      </c>
      <c r="O119" s="501" t="s">
        <v>5205</v>
      </c>
    </row>
    <row r="120" spans="1:16" s="18" customFormat="1" ht="33" customHeight="1" x14ac:dyDescent="0.3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 x14ac:dyDescent="0.3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5249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5136</v>
      </c>
      <c r="O121" s="501" t="s">
        <v>5102</v>
      </c>
    </row>
    <row r="122" spans="1:16" s="18" customFormat="1" ht="33" customHeight="1" x14ac:dyDescent="0.3">
      <c r="A122" s="494"/>
      <c r="B122" s="439">
        <v>46066</v>
      </c>
      <c r="C122" s="4" t="s">
        <v>21</v>
      </c>
      <c r="D122" s="4" t="s">
        <v>14</v>
      </c>
      <c r="E122" s="334" t="s">
        <v>5193</v>
      </c>
      <c r="F122" s="34" t="s">
        <v>5408</v>
      </c>
      <c r="G122" s="17" t="s">
        <v>1387</v>
      </c>
      <c r="H122" s="334" t="s">
        <v>5196</v>
      </c>
      <c r="I122" s="34" t="s">
        <v>5217</v>
      </c>
      <c r="J122" s="34" t="s">
        <v>2851</v>
      </c>
      <c r="K122" s="133" t="s">
        <v>32</v>
      </c>
      <c r="L122" s="486" t="s">
        <v>5198</v>
      </c>
      <c r="M122" s="8">
        <v>2</v>
      </c>
      <c r="N122" s="34"/>
      <c r="O122" s="498" t="s">
        <v>5201</v>
      </c>
      <c r="P122" s="458" t="s">
        <v>5229</v>
      </c>
    </row>
    <row r="123" spans="1:16" s="18" customFormat="1" ht="33" customHeight="1" x14ac:dyDescent="0.3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2"/>
    </row>
    <row r="124" spans="1:16" s="18" customFormat="1" ht="33" customHeight="1" x14ac:dyDescent="0.3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 x14ac:dyDescent="0.3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 x14ac:dyDescent="0.3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 x14ac:dyDescent="0.3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 x14ac:dyDescent="0.3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 x14ac:dyDescent="0.3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 x14ac:dyDescent="0.3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 x14ac:dyDescent="0.3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 x14ac:dyDescent="0.3">
      <c r="A132" s="494"/>
      <c r="B132" s="439">
        <v>46072</v>
      </c>
      <c r="C132" s="4" t="s">
        <v>21</v>
      </c>
      <c r="D132" s="4" t="s">
        <v>17</v>
      </c>
      <c r="E132" s="310" t="s">
        <v>5225</v>
      </c>
      <c r="F132" s="34">
        <v>3307</v>
      </c>
      <c r="G132" s="17" t="s">
        <v>813</v>
      </c>
      <c r="H132" s="207" t="s">
        <v>5389</v>
      </c>
      <c r="I132" s="34" t="s">
        <v>5284</v>
      </c>
      <c r="J132" s="34" t="s">
        <v>5227</v>
      </c>
      <c r="K132" s="133"/>
      <c r="L132" s="17"/>
      <c r="M132" s="8">
        <v>2</v>
      </c>
      <c r="N132" s="310" t="s">
        <v>5287</v>
      </c>
      <c r="O132" s="502"/>
    </row>
    <row r="133" spans="1:16" s="18" customFormat="1" ht="33" customHeight="1" x14ac:dyDescent="0.3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5285</v>
      </c>
      <c r="O133" s="502"/>
    </row>
    <row r="134" spans="1:16" s="18" customFormat="1" ht="33" customHeight="1" x14ac:dyDescent="0.3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5404</v>
      </c>
      <c r="I134" s="34" t="s">
        <v>5241</v>
      </c>
      <c r="J134" s="207" t="s">
        <v>5240</v>
      </c>
      <c r="K134" s="133" t="s">
        <v>15</v>
      </c>
      <c r="L134" s="17"/>
      <c r="M134" s="8">
        <v>4</v>
      </c>
      <c r="N134" s="489" t="s">
        <v>5297</v>
      </c>
      <c r="O134" s="500" t="s">
        <v>5345</v>
      </c>
    </row>
    <row r="135" spans="1:16" s="18" customFormat="1" ht="33" customHeight="1" x14ac:dyDescent="0.3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5239</v>
      </c>
      <c r="G135" s="17" t="s">
        <v>23</v>
      </c>
      <c r="H135" s="207" t="s">
        <v>5405</v>
      </c>
      <c r="I135" s="133" t="s">
        <v>5245</v>
      </c>
      <c r="J135" s="207" t="s">
        <v>643</v>
      </c>
      <c r="K135" s="133" t="s">
        <v>15</v>
      </c>
      <c r="L135" s="17"/>
      <c r="M135" s="8">
        <v>3</v>
      </c>
      <c r="N135" s="6" t="s">
        <v>5298</v>
      </c>
      <c r="O135" s="500" t="s">
        <v>5233</v>
      </c>
    </row>
    <row r="136" spans="1:16" s="18" customFormat="1" ht="33" customHeight="1" x14ac:dyDescent="0.3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5242</v>
      </c>
      <c r="G136" s="17" t="s">
        <v>5236</v>
      </c>
      <c r="H136" s="207" t="s">
        <v>5352</v>
      </c>
      <c r="I136" s="34"/>
      <c r="J136" s="207" t="s">
        <v>5306</v>
      </c>
      <c r="K136" s="133" t="s">
        <v>15</v>
      </c>
      <c r="L136" s="17">
        <v>9080</v>
      </c>
      <c r="M136" s="8">
        <v>3</v>
      </c>
      <c r="N136" s="489"/>
      <c r="O136" s="500" t="s">
        <v>5244</v>
      </c>
    </row>
    <row r="137" spans="1:16" s="18" customFormat="1" ht="33" customHeight="1" x14ac:dyDescent="0.3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5336</v>
      </c>
      <c r="G137" s="17" t="s">
        <v>5335</v>
      </c>
      <c r="H137" s="207" t="s">
        <v>5337</v>
      </c>
      <c r="I137" s="34"/>
      <c r="J137" s="207" t="s">
        <v>5306</v>
      </c>
      <c r="K137" s="133" t="s">
        <v>5338</v>
      </c>
      <c r="L137" s="17"/>
      <c r="M137" s="8">
        <v>3</v>
      </c>
      <c r="N137" s="489"/>
      <c r="O137" s="500" t="s">
        <v>5346</v>
      </c>
    </row>
    <row r="138" spans="1:16" s="18" customFormat="1" ht="33" customHeight="1" x14ac:dyDescent="0.3">
      <c r="A138" s="495"/>
      <c r="B138" s="439">
        <v>46074</v>
      </c>
      <c r="C138" s="4" t="s">
        <v>21</v>
      </c>
      <c r="D138" s="4" t="s">
        <v>5270</v>
      </c>
      <c r="E138" s="34" t="s">
        <v>5272</v>
      </c>
      <c r="F138" s="34">
        <v>222003</v>
      </c>
      <c r="G138" s="17" t="s">
        <v>5273</v>
      </c>
      <c r="H138" s="207" t="s">
        <v>5276</v>
      </c>
      <c r="I138" s="207"/>
      <c r="J138" s="207" t="s">
        <v>5288</v>
      </c>
      <c r="K138" s="133" t="s">
        <v>5339</v>
      </c>
      <c r="L138" s="17"/>
      <c r="M138" s="8">
        <v>1</v>
      </c>
      <c r="N138" s="34"/>
      <c r="O138" s="498" t="s">
        <v>5275</v>
      </c>
    </row>
    <row r="139" spans="1:16" s="18" customFormat="1" ht="33" customHeight="1" x14ac:dyDescent="0.3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 x14ac:dyDescent="0.3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5200</v>
      </c>
      <c r="H140" s="207" t="s">
        <v>214</v>
      </c>
      <c r="I140" s="34" t="s">
        <v>5246</v>
      </c>
      <c r="J140" s="207"/>
      <c r="K140" s="133" t="s">
        <v>3353</v>
      </c>
      <c r="L140" s="17"/>
      <c r="M140" s="8">
        <v>1</v>
      </c>
      <c r="N140" s="34" t="s">
        <v>5368</v>
      </c>
      <c r="O140" s="501" t="s">
        <v>3354</v>
      </c>
      <c r="P140" s="458"/>
    </row>
    <row r="141" spans="1:16" s="18" customFormat="1" ht="33" customHeight="1" x14ac:dyDescent="0.3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5351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5282</v>
      </c>
      <c r="P141" s="458"/>
    </row>
    <row r="142" spans="1:16" s="18" customFormat="1" ht="33" customHeight="1" x14ac:dyDescent="0.3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5248</v>
      </c>
      <c r="I142" s="34" t="s">
        <v>5246</v>
      </c>
      <c r="J142" s="207"/>
      <c r="K142" s="133" t="s">
        <v>3353</v>
      </c>
      <c r="L142" s="17"/>
      <c r="M142" s="8">
        <v>1</v>
      </c>
      <c r="N142" s="207" t="s">
        <v>5378</v>
      </c>
      <c r="O142" s="501" t="s">
        <v>3354</v>
      </c>
    </row>
    <row r="143" spans="1:16" s="18" customFormat="1" ht="33" customHeight="1" x14ac:dyDescent="0.3">
      <c r="A143" s="494"/>
      <c r="B143" s="439">
        <v>46077</v>
      </c>
      <c r="C143" s="4" t="s">
        <v>21</v>
      </c>
      <c r="D143" s="4" t="s">
        <v>30</v>
      </c>
      <c r="E143" s="34" t="s">
        <v>5301</v>
      </c>
      <c r="F143" s="34" t="s">
        <v>2840</v>
      </c>
      <c r="G143" s="17" t="s">
        <v>206</v>
      </c>
      <c r="H143" s="207" t="s">
        <v>4714</v>
      </c>
      <c r="I143" s="34"/>
      <c r="J143" s="207" t="s">
        <v>5223</v>
      </c>
      <c r="K143" s="133" t="s">
        <v>32</v>
      </c>
      <c r="L143" s="17"/>
      <c r="M143" s="8">
        <v>1</v>
      </c>
      <c r="N143" s="489"/>
      <c r="O143" s="507" t="s">
        <v>5302</v>
      </c>
    </row>
    <row r="144" spans="1:16" s="18" customFormat="1" ht="33" customHeight="1" x14ac:dyDescent="0.3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5238</v>
      </c>
      <c r="G144" s="467" t="s">
        <v>5024</v>
      </c>
      <c r="H144" s="207" t="s">
        <v>5163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5383</v>
      </c>
    </row>
    <row r="145" spans="1:19" s="18" customFormat="1" ht="33" customHeight="1" x14ac:dyDescent="0.3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5247</v>
      </c>
      <c r="I145" s="34" t="s">
        <v>5246</v>
      </c>
      <c r="J145" s="207"/>
      <c r="K145" s="133" t="s">
        <v>3353</v>
      </c>
      <c r="L145" s="17"/>
      <c r="M145" s="8">
        <v>1</v>
      </c>
      <c r="N145" s="207" t="s">
        <v>5379</v>
      </c>
      <c r="O145" s="501" t="s">
        <v>3354</v>
      </c>
    </row>
    <row r="146" spans="1:19" s="18" customFormat="1" ht="33" customHeight="1" x14ac:dyDescent="0.3">
      <c r="A146" s="494"/>
      <c r="B146" s="439">
        <v>46078</v>
      </c>
      <c r="C146" s="4" t="s">
        <v>5290</v>
      </c>
      <c r="D146" s="4" t="s">
        <v>5291</v>
      </c>
      <c r="E146" s="334" t="s">
        <v>5292</v>
      </c>
      <c r="F146" s="34" t="s">
        <v>5293</v>
      </c>
      <c r="G146" s="17" t="s">
        <v>5294</v>
      </c>
      <c r="H146" s="207" t="s">
        <v>5406</v>
      </c>
      <c r="I146" s="34"/>
      <c r="J146" s="34" t="s">
        <v>5295</v>
      </c>
      <c r="K146" s="133" t="s">
        <v>5296</v>
      </c>
      <c r="L146" s="17"/>
      <c r="M146" s="8">
        <v>1</v>
      </c>
      <c r="N146" s="34"/>
      <c r="O146" s="498" t="s">
        <v>5350</v>
      </c>
    </row>
    <row r="147" spans="1:19" s="18" customFormat="1" ht="33" customHeight="1" x14ac:dyDescent="0.3">
      <c r="A147" s="494"/>
      <c r="B147" s="439">
        <v>46078</v>
      </c>
      <c r="C147" s="4" t="s">
        <v>5365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5366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5367</v>
      </c>
    </row>
    <row r="148" spans="1:19" s="18" customFormat="1" ht="33" customHeight="1" x14ac:dyDescent="0.3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5203</v>
      </c>
      <c r="O148" s="502"/>
    </row>
    <row r="149" spans="1:19" s="18" customFormat="1" ht="33" customHeight="1" x14ac:dyDescent="0.3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 x14ac:dyDescent="0.3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5426</v>
      </c>
      <c r="I150" s="330" t="s">
        <v>90</v>
      </c>
      <c r="J150" s="329" t="s">
        <v>5299</v>
      </c>
      <c r="K150" s="328" t="s">
        <v>15</v>
      </c>
      <c r="L150" s="211" t="s">
        <v>5357</v>
      </c>
      <c r="M150" s="196">
        <v>3</v>
      </c>
      <c r="N150" s="329"/>
      <c r="O150" s="506" t="s">
        <v>5300</v>
      </c>
    </row>
    <row r="151" spans="1:19" s="18" customFormat="1" ht="33" customHeight="1" x14ac:dyDescent="0.3">
      <c r="A151" s="494"/>
      <c r="B151" s="439">
        <v>46080</v>
      </c>
      <c r="C151" s="4" t="s">
        <v>64</v>
      </c>
      <c r="D151" s="4" t="s">
        <v>77</v>
      </c>
      <c r="E151" s="34" t="s">
        <v>5417</v>
      </c>
      <c r="F151" s="34" t="s">
        <v>364</v>
      </c>
      <c r="G151" s="17" t="s">
        <v>3425</v>
      </c>
      <c r="H151" s="207" t="s">
        <v>5418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5416</v>
      </c>
    </row>
    <row r="152" spans="1:19" s="18" customFormat="1" ht="33" customHeight="1" x14ac:dyDescent="0.3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5459</v>
      </c>
      <c r="I152" s="207"/>
      <c r="J152" s="207" t="s">
        <v>5353</v>
      </c>
      <c r="K152" s="133" t="s">
        <v>5354</v>
      </c>
      <c r="L152" s="17"/>
      <c r="M152" s="8">
        <v>2</v>
      </c>
      <c r="N152" s="207"/>
      <c r="O152" s="498" t="s">
        <v>5300</v>
      </c>
    </row>
    <row r="153" spans="1:19" s="18" customFormat="1" ht="33" customHeight="1" x14ac:dyDescent="0.3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5444</v>
      </c>
    </row>
    <row r="154" spans="1:19" s="18" customFormat="1" ht="33" customHeight="1" x14ac:dyDescent="0.3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 x14ac:dyDescent="0.3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5228</v>
      </c>
      <c r="I155" s="34"/>
      <c r="J155" s="34"/>
      <c r="K155" s="133"/>
      <c r="L155" s="17"/>
      <c r="M155" s="8"/>
      <c r="N155" s="34"/>
      <c r="O155" s="501"/>
      <c r="P155" s="525"/>
      <c r="Q155" s="526"/>
      <c r="R155" s="526"/>
      <c r="S155" s="526"/>
    </row>
    <row r="156" spans="1:19" s="18" customFormat="1" ht="33" customHeight="1" x14ac:dyDescent="0.3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5"/>
      <c r="Q156" s="526"/>
      <c r="R156" s="526"/>
      <c r="S156" s="526"/>
    </row>
    <row r="157" spans="1:19" s="18" customFormat="1" ht="33" customHeight="1" x14ac:dyDescent="0.3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5372</v>
      </c>
      <c r="G157" s="17" t="s">
        <v>3425</v>
      </c>
      <c r="H157" s="207" t="s">
        <v>5460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5373</v>
      </c>
      <c r="O157" s="499" t="s">
        <v>5432</v>
      </c>
      <c r="P157" s="525"/>
    </row>
    <row r="158" spans="1:19" s="18" customFormat="1" ht="33" customHeight="1" x14ac:dyDescent="0.3">
      <c r="A158" s="494"/>
      <c r="B158" s="439">
        <v>46084</v>
      </c>
      <c r="C158" s="4" t="s">
        <v>21</v>
      </c>
      <c r="D158" s="4" t="s">
        <v>14</v>
      </c>
      <c r="E158" s="34" t="s">
        <v>5441</v>
      </c>
      <c r="F158" s="207" t="s">
        <v>5436</v>
      </c>
      <c r="G158" s="17" t="s">
        <v>5438</v>
      </c>
      <c r="H158" s="207" t="s">
        <v>5440</v>
      </c>
      <c r="I158" s="34"/>
      <c r="J158" s="207" t="s">
        <v>5439</v>
      </c>
      <c r="K158" s="133" t="s">
        <v>15</v>
      </c>
      <c r="L158" s="17"/>
      <c r="M158" s="8">
        <v>1</v>
      </c>
      <c r="N158" s="34"/>
      <c r="O158" s="499" t="s">
        <v>5443</v>
      </c>
    </row>
    <row r="159" spans="1:19" s="18" customFormat="1" ht="33" customHeight="1" x14ac:dyDescent="0.3">
      <c r="A159" s="494"/>
      <c r="B159" s="439">
        <v>46084</v>
      </c>
      <c r="C159" s="4" t="s">
        <v>21</v>
      </c>
      <c r="D159" s="4" t="s">
        <v>14</v>
      </c>
      <c r="E159" s="207" t="s">
        <v>5435</v>
      </c>
      <c r="F159" s="34" t="s">
        <v>109</v>
      </c>
      <c r="G159" s="17" t="s">
        <v>143</v>
      </c>
      <c r="H159" s="310" t="s">
        <v>5445</v>
      </c>
      <c r="I159" s="34"/>
      <c r="J159" s="34" t="s">
        <v>5455</v>
      </c>
      <c r="K159" s="133" t="s">
        <v>15</v>
      </c>
      <c r="L159" s="17">
        <v>9080</v>
      </c>
      <c r="M159" s="8">
        <v>1</v>
      </c>
      <c r="N159" s="34"/>
      <c r="O159" s="523" t="s">
        <v>5434</v>
      </c>
    </row>
    <row r="160" spans="1:19" s="18" customFormat="1" ht="33" customHeight="1" x14ac:dyDescent="0.3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5502</v>
      </c>
      <c r="I160" s="34"/>
      <c r="J160" s="745" t="s">
        <v>68</v>
      </c>
      <c r="K160" s="133" t="s">
        <v>15</v>
      </c>
      <c r="L160" s="17"/>
      <c r="M160" s="8">
        <v>1</v>
      </c>
      <c r="N160" s="17" t="s">
        <v>5231</v>
      </c>
      <c r="O160" s="746" t="s">
        <v>5499</v>
      </c>
      <c r="P160" s="482" t="s">
        <v>5374</v>
      </c>
    </row>
    <row r="161" spans="1:19" s="18" customFormat="1" ht="33" customHeight="1" x14ac:dyDescent="0.3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5501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5500</v>
      </c>
    </row>
    <row r="162" spans="1:19" s="18" customFormat="1" ht="33" customHeight="1" x14ac:dyDescent="0.3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743" t="s">
        <v>2145</v>
      </c>
      <c r="G162" s="17" t="s">
        <v>23</v>
      </c>
      <c r="H162" s="207" t="s">
        <v>5512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502" t="s">
        <v>5513</v>
      </c>
      <c r="P162" s="458" t="s">
        <v>5507</v>
      </c>
    </row>
    <row r="163" spans="1:19" s="18" customFormat="1" ht="33" customHeight="1" x14ac:dyDescent="0.3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5430</v>
      </c>
      <c r="H163" s="334" t="s">
        <v>5429</v>
      </c>
      <c r="I163" s="34"/>
      <c r="J163" s="34" t="s">
        <v>5428</v>
      </c>
      <c r="K163" s="133" t="s">
        <v>15</v>
      </c>
      <c r="L163" s="17"/>
      <c r="M163" s="8">
        <v>1</v>
      </c>
      <c r="N163" s="34"/>
      <c r="O163" s="501" t="s">
        <v>5431</v>
      </c>
    </row>
    <row r="164" spans="1:19" s="18" customFormat="1" ht="33" customHeight="1" x14ac:dyDescent="0.3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5497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746" t="s">
        <v>5504</v>
      </c>
    </row>
    <row r="165" spans="1:19" s="18" customFormat="1" ht="33" customHeight="1" x14ac:dyDescent="0.3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5421</v>
      </c>
      <c r="G165" s="17" t="s">
        <v>23</v>
      </c>
      <c r="H165" s="207" t="s">
        <v>5412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5496</v>
      </c>
      <c r="O165" s="499" t="s">
        <v>5493</v>
      </c>
    </row>
    <row r="166" spans="1:19" s="18" customFormat="1" ht="33" customHeight="1" x14ac:dyDescent="0.3">
      <c r="A166" s="494"/>
      <c r="B166" s="439">
        <v>46087</v>
      </c>
      <c r="C166" s="4"/>
      <c r="D166" s="4"/>
      <c r="E166" s="34"/>
      <c r="F166" s="34"/>
      <c r="G166" s="17"/>
      <c r="H166" s="207"/>
      <c r="I166" s="207"/>
      <c r="J166" s="207"/>
      <c r="K166" s="133"/>
      <c r="L166" s="17"/>
      <c r="M166" s="8"/>
      <c r="N166" s="34"/>
      <c r="O166" s="502"/>
    </row>
    <row r="167" spans="1:19" s="18" customFormat="1" ht="33" customHeight="1" x14ac:dyDescent="0.3">
      <c r="A167" s="494"/>
      <c r="B167" s="439">
        <v>46088</v>
      </c>
      <c r="C167" s="4"/>
      <c r="D167" s="4"/>
      <c r="E167" s="34"/>
      <c r="F167" s="34"/>
      <c r="G167" s="17"/>
      <c r="H167" s="207"/>
      <c r="I167" s="207"/>
      <c r="J167" s="207"/>
      <c r="K167" s="133"/>
      <c r="L167" s="17"/>
      <c r="M167" s="8"/>
      <c r="N167" s="34"/>
      <c r="O167" s="502"/>
    </row>
    <row r="168" spans="1:19" s="18" customFormat="1" ht="33" customHeight="1" x14ac:dyDescent="0.3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747"/>
      <c r="Q168" s="748"/>
      <c r="R168" s="748"/>
      <c r="S168" s="748"/>
    </row>
    <row r="169" spans="1:19" s="18" customFormat="1" ht="33" customHeight="1" x14ac:dyDescent="0.3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29" t="s">
        <v>5286</v>
      </c>
      <c r="Q169" s="530"/>
      <c r="R169" s="530"/>
      <c r="S169" s="530"/>
    </row>
    <row r="170" spans="1:19" s="18" customFormat="1" ht="33" customHeight="1" x14ac:dyDescent="0.3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5427</v>
      </c>
      <c r="I170" s="34"/>
      <c r="J170" s="207" t="s">
        <v>489</v>
      </c>
      <c r="K170" s="133" t="s">
        <v>15</v>
      </c>
      <c r="L170" s="17">
        <v>9080</v>
      </c>
      <c r="M170" s="8">
        <v>3</v>
      </c>
      <c r="N170" s="489" t="s">
        <v>5231</v>
      </c>
      <c r="O170" s="524" t="s">
        <v>5505</v>
      </c>
      <c r="P170" s="448" t="s">
        <v>5503</v>
      </c>
    </row>
    <row r="171" spans="1:19" s="18" customFormat="1" ht="33" customHeight="1" x14ac:dyDescent="0.3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 x14ac:dyDescent="0.3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5419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5506</v>
      </c>
      <c r="O172" s="521" t="s">
        <v>5411</v>
      </c>
      <c r="P172" s="458" t="s">
        <v>5446</v>
      </c>
    </row>
    <row r="173" spans="1:19" s="18" customFormat="1" ht="33" customHeight="1" x14ac:dyDescent="0.3">
      <c r="A173" s="494"/>
      <c r="B173" s="439">
        <v>46091</v>
      </c>
      <c r="C173" s="4" t="s">
        <v>21</v>
      </c>
      <c r="D173" s="4" t="s">
        <v>14</v>
      </c>
      <c r="E173" s="34" t="s">
        <v>108</v>
      </c>
      <c r="F173" s="17" t="s">
        <v>1978</v>
      </c>
      <c r="G173" s="17" t="s">
        <v>378</v>
      </c>
      <c r="H173" s="334" t="s">
        <v>5427</v>
      </c>
      <c r="I173" s="34"/>
      <c r="J173" s="207" t="s">
        <v>489</v>
      </c>
      <c r="K173" s="133" t="s">
        <v>15</v>
      </c>
      <c r="L173" s="17">
        <v>9080</v>
      </c>
      <c r="M173" s="8">
        <v>3</v>
      </c>
      <c r="N173" s="489"/>
      <c r="O173" s="524" t="s">
        <v>5505</v>
      </c>
    </row>
    <row r="174" spans="1:19" s="18" customFormat="1" ht="33" customHeight="1" x14ac:dyDescent="0.3">
      <c r="A174" s="494"/>
      <c r="B174" s="439">
        <v>46092</v>
      </c>
      <c r="C174" s="4" t="s">
        <v>21</v>
      </c>
      <c r="D174" s="4" t="s">
        <v>17</v>
      </c>
      <c r="E174" s="207" t="s">
        <v>5509</v>
      </c>
      <c r="F174" s="34" t="s">
        <v>5511</v>
      </c>
      <c r="G174" s="17" t="s">
        <v>103</v>
      </c>
      <c r="H174" s="207" t="s">
        <v>5510</v>
      </c>
      <c r="I174" s="34" t="s">
        <v>90</v>
      </c>
      <c r="J174" s="207" t="s">
        <v>688</v>
      </c>
      <c r="K174" s="133" t="s">
        <v>15</v>
      </c>
      <c r="L174" s="17"/>
      <c r="M174" s="8">
        <v>2</v>
      </c>
      <c r="N174" s="489" t="s">
        <v>5458</v>
      </c>
      <c r="O174" s="744" t="s">
        <v>5515</v>
      </c>
      <c r="P174" s="448" t="s">
        <v>5508</v>
      </c>
    </row>
    <row r="175" spans="1:19" s="18" customFormat="1" ht="33" customHeight="1" x14ac:dyDescent="0.3">
      <c r="A175" s="494"/>
      <c r="B175" s="439">
        <v>46092</v>
      </c>
      <c r="C175" s="4"/>
      <c r="D175" s="4"/>
      <c r="E175" s="310"/>
      <c r="F175" s="34"/>
      <c r="G175" s="17"/>
      <c r="H175" s="207"/>
      <c r="I175" s="34"/>
      <c r="J175" s="34"/>
      <c r="K175" s="133"/>
      <c r="L175" s="17"/>
      <c r="M175" s="8"/>
      <c r="N175" s="34"/>
      <c r="O175" s="502"/>
      <c r="P175" s="482" t="s">
        <v>5224</v>
      </c>
    </row>
    <row r="176" spans="1:19" s="18" customFormat="1" ht="33" customHeight="1" x14ac:dyDescent="0.3">
      <c r="A176" s="494"/>
      <c r="B176" s="439">
        <v>46093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</row>
    <row r="177" spans="1:16" s="18" customFormat="1" ht="33" customHeight="1" x14ac:dyDescent="0.3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 x14ac:dyDescent="0.3">
      <c r="A178" s="494"/>
      <c r="B178" s="439">
        <v>46094</v>
      </c>
      <c r="C178" s="4" t="s">
        <v>21</v>
      </c>
      <c r="D178" s="4" t="s">
        <v>17</v>
      </c>
      <c r="E178" s="207" t="s">
        <v>5413</v>
      </c>
      <c r="F178" s="310" t="s">
        <v>5422</v>
      </c>
      <c r="G178" s="522" t="s">
        <v>5414</v>
      </c>
      <c r="H178" s="207" t="s">
        <v>5423</v>
      </c>
      <c r="I178" s="34"/>
      <c r="J178" s="207" t="s">
        <v>643</v>
      </c>
      <c r="K178" s="133" t="s">
        <v>15</v>
      </c>
      <c r="L178" s="17"/>
      <c r="M178" s="8">
        <v>2</v>
      </c>
      <c r="N178" s="489" t="s">
        <v>5231</v>
      </c>
      <c r="O178" s="515" t="s">
        <v>5420</v>
      </c>
      <c r="P178" s="448" t="s">
        <v>5393</v>
      </c>
    </row>
    <row r="179" spans="1:16" s="18" customFormat="1" ht="33" customHeight="1" x14ac:dyDescent="0.3">
      <c r="A179" s="494"/>
      <c r="B179" s="439">
        <v>46094</v>
      </c>
      <c r="C179" s="4"/>
      <c r="D179" s="4"/>
      <c r="E179" s="34"/>
      <c r="F179" s="34"/>
      <c r="G179" s="17"/>
      <c r="H179" s="207"/>
      <c r="I179" s="34"/>
      <c r="J179" s="34"/>
      <c r="K179" s="133"/>
      <c r="L179" s="17"/>
      <c r="M179" s="8"/>
      <c r="N179" s="34"/>
      <c r="O179" s="498"/>
      <c r="P179" s="448" t="s">
        <v>5382</v>
      </c>
    </row>
    <row r="180" spans="1:16" s="18" customFormat="1" ht="33" customHeight="1" x14ac:dyDescent="0.3">
      <c r="A180" s="494"/>
      <c r="B180" s="439">
        <v>46095</v>
      </c>
      <c r="C180" s="197" t="s">
        <v>21</v>
      </c>
      <c r="D180" s="197" t="s">
        <v>14</v>
      </c>
      <c r="E180" s="336" t="s">
        <v>108</v>
      </c>
      <c r="F180" s="336" t="s">
        <v>2987</v>
      </c>
      <c r="G180" s="423" t="s">
        <v>144</v>
      </c>
      <c r="H180" s="255" t="s">
        <v>272</v>
      </c>
      <c r="I180" s="336" t="s">
        <v>90</v>
      </c>
      <c r="J180" s="336" t="s">
        <v>643</v>
      </c>
      <c r="K180" s="256" t="s">
        <v>15</v>
      </c>
      <c r="L180" s="423"/>
      <c r="M180" s="447">
        <v>3</v>
      </c>
      <c r="N180" s="336"/>
      <c r="O180" s="512" t="s">
        <v>5385</v>
      </c>
      <c r="P180" s="482" t="s">
        <v>5106</v>
      </c>
    </row>
    <row r="181" spans="1:16" s="18" customFormat="1" ht="33" customHeight="1" x14ac:dyDescent="0.3">
      <c r="A181" s="495"/>
      <c r="B181" s="439">
        <v>46095</v>
      </c>
      <c r="C181" s="4"/>
      <c r="D181" s="4"/>
      <c r="E181" s="34"/>
      <c r="F181" s="34"/>
      <c r="G181" s="17"/>
      <c r="H181" s="207"/>
      <c r="I181" s="207"/>
      <c r="J181" s="207"/>
      <c r="K181" s="133"/>
      <c r="L181" s="17"/>
      <c r="M181" s="8"/>
      <c r="N181" s="34"/>
      <c r="O181" s="502"/>
    </row>
    <row r="182" spans="1:16" s="18" customFormat="1" ht="33" customHeight="1" x14ac:dyDescent="0.3">
      <c r="A182" s="496" t="s">
        <v>0</v>
      </c>
      <c r="B182" s="346" t="s">
        <v>1</v>
      </c>
      <c r="C182" s="345" t="s">
        <v>2</v>
      </c>
      <c r="D182" s="345" t="s">
        <v>3</v>
      </c>
      <c r="E182" s="345" t="s">
        <v>4</v>
      </c>
      <c r="F182" s="345" t="s">
        <v>5</v>
      </c>
      <c r="G182" s="345" t="s">
        <v>6</v>
      </c>
      <c r="H182" s="347" t="s">
        <v>7</v>
      </c>
      <c r="I182" s="345" t="s">
        <v>8</v>
      </c>
      <c r="J182" s="345" t="s">
        <v>9</v>
      </c>
      <c r="K182" s="348" t="s">
        <v>10</v>
      </c>
      <c r="L182" s="349" t="s">
        <v>11</v>
      </c>
      <c r="M182" s="345" t="s">
        <v>12</v>
      </c>
      <c r="N182" s="352" t="s">
        <v>13</v>
      </c>
      <c r="O182" s="497" t="s">
        <v>63</v>
      </c>
    </row>
    <row r="183" spans="1:16" s="18" customFormat="1" ht="33" customHeight="1" x14ac:dyDescent="0.3">
      <c r="A183" s="493" t="s">
        <v>4878</v>
      </c>
      <c r="B183" s="439">
        <v>46097</v>
      </c>
      <c r="C183" s="218" t="s">
        <v>21</v>
      </c>
      <c r="D183" s="218" t="s">
        <v>14</v>
      </c>
      <c r="E183" s="490" t="s">
        <v>108</v>
      </c>
      <c r="F183" s="337" t="s">
        <v>3367</v>
      </c>
      <c r="G183" s="453" t="s">
        <v>23</v>
      </c>
      <c r="H183" s="490" t="s">
        <v>5303</v>
      </c>
      <c r="I183" s="337"/>
      <c r="J183" s="421" t="s">
        <v>489</v>
      </c>
      <c r="K183" s="358" t="s">
        <v>15</v>
      </c>
      <c r="L183" s="453">
        <v>9080</v>
      </c>
      <c r="M183" s="454">
        <v>2</v>
      </c>
      <c r="N183" s="491" t="s">
        <v>5457</v>
      </c>
      <c r="O183" s="513" t="s">
        <v>5304</v>
      </c>
      <c r="P183" s="482" t="s">
        <v>5433</v>
      </c>
    </row>
    <row r="184" spans="1:16" s="18" customFormat="1" ht="33" customHeight="1" x14ac:dyDescent="0.3">
      <c r="A184" s="494"/>
      <c r="B184" s="439">
        <v>46097</v>
      </c>
      <c r="C184" s="4"/>
      <c r="D184" s="4"/>
      <c r="E184" s="310"/>
      <c r="F184" s="34"/>
      <c r="G184" s="17"/>
      <c r="H184" s="207"/>
      <c r="I184" s="34"/>
      <c r="J184" s="34"/>
      <c r="K184" s="133"/>
      <c r="L184" s="17"/>
      <c r="M184" s="8"/>
      <c r="N184" s="34"/>
      <c r="O184" s="501"/>
    </row>
    <row r="185" spans="1:16" s="18" customFormat="1" ht="33" customHeight="1" x14ac:dyDescent="0.3">
      <c r="A185" s="494"/>
      <c r="B185" s="439">
        <v>46098</v>
      </c>
      <c r="C185" s="4" t="s">
        <v>21</v>
      </c>
      <c r="D185" s="4" t="s">
        <v>14</v>
      </c>
      <c r="E185" s="34" t="s">
        <v>212</v>
      </c>
      <c r="F185" s="34" t="s">
        <v>2942</v>
      </c>
      <c r="G185" s="17" t="s">
        <v>2943</v>
      </c>
      <c r="H185" s="207" t="s">
        <v>5514</v>
      </c>
      <c r="I185" s="34"/>
      <c r="J185" s="207" t="s">
        <v>1882</v>
      </c>
      <c r="K185" s="133" t="s">
        <v>15</v>
      </c>
      <c r="L185" s="17"/>
      <c r="M185" s="8">
        <v>2</v>
      </c>
      <c r="N185" s="489"/>
      <c r="O185" s="499" t="s">
        <v>5516</v>
      </c>
    </row>
    <row r="186" spans="1:16" s="18" customFormat="1" ht="33" customHeight="1" x14ac:dyDescent="0.3">
      <c r="A186" s="494"/>
      <c r="B186" s="439">
        <v>46098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89"/>
      <c r="O186" s="500"/>
    </row>
    <row r="187" spans="1:16" s="18" customFormat="1" ht="33" customHeight="1" x14ac:dyDescent="0.3">
      <c r="A187" s="494"/>
      <c r="B187" s="439">
        <v>46099</v>
      </c>
      <c r="C187" s="4" t="s">
        <v>21</v>
      </c>
      <c r="D187" s="4" t="s">
        <v>14</v>
      </c>
      <c r="E187" s="34" t="s">
        <v>1796</v>
      </c>
      <c r="F187" s="34" t="s">
        <v>2840</v>
      </c>
      <c r="G187" s="17" t="s">
        <v>23</v>
      </c>
      <c r="H187" s="207" t="s">
        <v>5391</v>
      </c>
      <c r="I187" s="34"/>
      <c r="J187" s="207" t="s">
        <v>5392</v>
      </c>
      <c r="K187" s="133" t="s">
        <v>106</v>
      </c>
      <c r="L187" s="17"/>
      <c r="M187" s="8">
        <v>2</v>
      </c>
      <c r="N187" s="337" t="s">
        <v>5231</v>
      </c>
      <c r="O187" s="514" t="s">
        <v>5362</v>
      </c>
      <c r="P187" s="482" t="s">
        <v>5369</v>
      </c>
    </row>
    <row r="188" spans="1:16" s="18" customFormat="1" ht="33" customHeight="1" x14ac:dyDescent="0.3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/>
      <c r="O188" s="502"/>
    </row>
    <row r="189" spans="1:16" s="18" customFormat="1" ht="33" customHeight="1" x14ac:dyDescent="0.3">
      <c r="A189" s="494"/>
      <c r="B189" s="439">
        <v>46100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 x14ac:dyDescent="0.3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 x14ac:dyDescent="0.3">
      <c r="A191" s="494"/>
      <c r="B191" s="439">
        <v>46101</v>
      </c>
      <c r="C191" s="4"/>
      <c r="D191" s="4"/>
      <c r="E191" s="34"/>
      <c r="F191" s="310"/>
      <c r="G191" s="17"/>
      <c r="H191" s="207"/>
      <c r="I191" s="34"/>
      <c r="J191" s="207"/>
      <c r="K191" s="133"/>
      <c r="L191" s="17"/>
      <c r="M191" s="8"/>
      <c r="N191" s="34" t="s">
        <v>5231</v>
      </c>
      <c r="O191" s="499"/>
    </row>
    <row r="192" spans="1:16" s="18" customFormat="1" ht="33" customHeight="1" x14ac:dyDescent="0.3">
      <c r="A192" s="494"/>
      <c r="B192" s="439">
        <v>46101</v>
      </c>
      <c r="C192" s="4"/>
      <c r="D192" s="4"/>
      <c r="E192" s="34"/>
      <c r="F192" s="34"/>
      <c r="G192" s="17"/>
      <c r="H192" s="207"/>
      <c r="I192" s="34"/>
      <c r="J192" s="34"/>
      <c r="K192" s="133"/>
      <c r="L192" s="17"/>
      <c r="M192" s="8"/>
      <c r="N192" s="34"/>
      <c r="O192" s="498"/>
    </row>
    <row r="193" spans="1:16" s="18" customFormat="1" ht="33" customHeight="1" x14ac:dyDescent="0.3">
      <c r="A193" s="494"/>
      <c r="B193" s="439">
        <v>46102</v>
      </c>
      <c r="C193" s="4"/>
      <c r="D193" s="4"/>
      <c r="E193" s="34"/>
      <c r="F193" s="34"/>
      <c r="G193" s="17"/>
      <c r="H193" s="207"/>
      <c r="I193" s="207"/>
      <c r="J193" s="207"/>
      <c r="K193" s="133"/>
      <c r="L193" s="17"/>
      <c r="M193" s="8"/>
      <c r="N193" s="207"/>
      <c r="O193" s="508"/>
    </row>
    <row r="194" spans="1:16" s="18" customFormat="1" ht="33" customHeight="1" x14ac:dyDescent="0.3">
      <c r="A194" s="495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34"/>
      <c r="O194" s="502"/>
    </row>
    <row r="195" spans="1:16" s="18" customFormat="1" ht="33" customHeight="1" x14ac:dyDescent="0.3">
      <c r="A195" s="496" t="s">
        <v>0</v>
      </c>
      <c r="B195" s="346" t="s">
        <v>1</v>
      </c>
      <c r="C195" s="345" t="s">
        <v>2</v>
      </c>
      <c r="D195" s="345" t="s">
        <v>3</v>
      </c>
      <c r="E195" s="345" t="s">
        <v>4</v>
      </c>
      <c r="F195" s="345" t="s">
        <v>5</v>
      </c>
      <c r="G195" s="345" t="s">
        <v>6</v>
      </c>
      <c r="H195" s="347" t="s">
        <v>7</v>
      </c>
      <c r="I195" s="345" t="s">
        <v>8</v>
      </c>
      <c r="J195" s="345" t="s">
        <v>9</v>
      </c>
      <c r="K195" s="348" t="s">
        <v>10</v>
      </c>
      <c r="L195" s="349" t="s">
        <v>11</v>
      </c>
      <c r="M195" s="345" t="s">
        <v>12</v>
      </c>
      <c r="N195" s="352" t="s">
        <v>13</v>
      </c>
      <c r="O195" s="497" t="s">
        <v>63</v>
      </c>
    </row>
    <row r="196" spans="1:16" s="18" customFormat="1" ht="33" customHeight="1" x14ac:dyDescent="0.3">
      <c r="A196" s="493" t="s">
        <v>4879</v>
      </c>
      <c r="B196" s="439">
        <v>46104</v>
      </c>
      <c r="C196" s="4" t="s">
        <v>21</v>
      </c>
      <c r="D196" s="4" t="s">
        <v>2440</v>
      </c>
      <c r="E196" s="34" t="s">
        <v>5358</v>
      </c>
      <c r="F196" s="34" t="s">
        <v>5359</v>
      </c>
      <c r="G196" s="17" t="s">
        <v>5360</v>
      </c>
      <c r="H196" s="207" t="s">
        <v>5390</v>
      </c>
      <c r="I196" s="34"/>
      <c r="J196" s="207" t="s">
        <v>5363</v>
      </c>
      <c r="K196" s="133" t="s">
        <v>5361</v>
      </c>
      <c r="L196" s="17"/>
      <c r="M196" s="8">
        <v>2</v>
      </c>
      <c r="N196" s="34" t="s">
        <v>5231</v>
      </c>
      <c r="O196" s="514" t="s">
        <v>5362</v>
      </c>
      <c r="P196" s="482" t="s">
        <v>5394</v>
      </c>
    </row>
    <row r="197" spans="1:16" s="18" customFormat="1" ht="33" customHeight="1" x14ac:dyDescent="0.3">
      <c r="A197" s="494"/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/>
      <c r="O197" s="501"/>
    </row>
    <row r="198" spans="1:16" s="18" customFormat="1" ht="33" customHeight="1" x14ac:dyDescent="0.3">
      <c r="A198" s="494"/>
      <c r="B198" s="439">
        <v>46105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489"/>
      <c r="O198" s="500"/>
    </row>
    <row r="199" spans="1:16" s="18" customFormat="1" ht="33" customHeight="1" x14ac:dyDescent="0.3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 x14ac:dyDescent="0.3">
      <c r="A200" s="494"/>
      <c r="B200" s="439">
        <v>46106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34" t="s">
        <v>5231</v>
      </c>
      <c r="O200" s="500"/>
    </row>
    <row r="201" spans="1:16" s="18" customFormat="1" ht="33" customHeight="1" x14ac:dyDescent="0.3">
      <c r="A201" s="494"/>
      <c r="B201" s="439">
        <v>46106</v>
      </c>
      <c r="C201" s="4"/>
      <c r="D201" s="4"/>
      <c r="E201" s="310"/>
      <c r="F201" s="34"/>
      <c r="G201" s="17"/>
      <c r="H201" s="207"/>
      <c r="I201" s="34"/>
      <c r="J201" s="34"/>
      <c r="K201" s="133"/>
      <c r="L201" s="17"/>
      <c r="M201" s="8"/>
      <c r="N201" s="34"/>
      <c r="O201" s="502"/>
    </row>
    <row r="202" spans="1:16" s="18" customFormat="1" ht="33" customHeight="1" x14ac:dyDescent="0.3">
      <c r="A202" s="494"/>
      <c r="B202" s="439">
        <v>46107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 x14ac:dyDescent="0.3">
      <c r="A203" s="494"/>
      <c r="B203" s="439">
        <v>46107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 x14ac:dyDescent="0.3">
      <c r="A204" s="494"/>
      <c r="B204" s="439">
        <v>46108</v>
      </c>
      <c r="C204" s="197" t="s">
        <v>21</v>
      </c>
      <c r="D204" s="197" t="s">
        <v>17</v>
      </c>
      <c r="E204" s="336" t="s">
        <v>1797</v>
      </c>
      <c r="F204" s="255" t="s">
        <v>5131</v>
      </c>
      <c r="G204" s="423" t="s">
        <v>23</v>
      </c>
      <c r="H204" s="255" t="s">
        <v>5133</v>
      </c>
      <c r="I204" s="336"/>
      <c r="J204" s="255" t="s">
        <v>489</v>
      </c>
      <c r="K204" s="256" t="s">
        <v>42</v>
      </c>
      <c r="L204" s="423"/>
      <c r="M204" s="447">
        <v>3</v>
      </c>
      <c r="N204" s="336" t="s">
        <v>5462</v>
      </c>
      <c r="O204" s="512" t="s">
        <v>5132</v>
      </c>
      <c r="P204" s="482" t="s">
        <v>5463</v>
      </c>
    </row>
    <row r="205" spans="1:16" s="18" customFormat="1" ht="33" customHeight="1" x14ac:dyDescent="0.3">
      <c r="A205" s="494"/>
      <c r="B205" s="439">
        <v>46108</v>
      </c>
      <c r="C205" s="4"/>
      <c r="D205" s="4"/>
      <c r="E205" s="34"/>
      <c r="F205" s="34"/>
      <c r="G205" s="17"/>
      <c r="H205" s="207"/>
      <c r="I205" s="34"/>
      <c r="J205" s="34"/>
      <c r="K205" s="133"/>
      <c r="L205" s="17"/>
      <c r="M205" s="8"/>
      <c r="N205" s="34"/>
      <c r="O205" s="498"/>
    </row>
    <row r="206" spans="1:16" s="18" customFormat="1" ht="33" customHeight="1" x14ac:dyDescent="0.3">
      <c r="A206" s="494"/>
      <c r="B206" s="439">
        <v>46109</v>
      </c>
      <c r="C206" s="4"/>
      <c r="D206" s="4"/>
      <c r="E206" s="34"/>
      <c r="F206" s="34"/>
      <c r="G206" s="17"/>
      <c r="H206" s="207"/>
      <c r="I206" s="207"/>
      <c r="J206" s="207"/>
      <c r="K206" s="133"/>
      <c r="L206" s="17"/>
      <c r="M206" s="8"/>
      <c r="N206" s="207"/>
      <c r="O206" s="508"/>
    </row>
    <row r="207" spans="1:16" s="18" customFormat="1" ht="33" customHeight="1" x14ac:dyDescent="0.3">
      <c r="A207" s="495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34"/>
      <c r="O207" s="502"/>
    </row>
    <row r="208" spans="1:16" s="18" customFormat="1" ht="33" customHeight="1" x14ac:dyDescent="0.3">
      <c r="A208" s="496" t="s">
        <v>0</v>
      </c>
      <c r="B208" s="346" t="s">
        <v>1</v>
      </c>
      <c r="C208" s="345" t="s">
        <v>2</v>
      </c>
      <c r="D208" s="345" t="s">
        <v>3</v>
      </c>
      <c r="E208" s="345" t="s">
        <v>4</v>
      </c>
      <c r="F208" s="345" t="s">
        <v>5</v>
      </c>
      <c r="G208" s="345" t="s">
        <v>6</v>
      </c>
      <c r="H208" s="347" t="s">
        <v>7</v>
      </c>
      <c r="I208" s="345" t="s">
        <v>8</v>
      </c>
      <c r="J208" s="345" t="s">
        <v>9</v>
      </c>
      <c r="K208" s="348" t="s">
        <v>10</v>
      </c>
      <c r="L208" s="349" t="s">
        <v>11</v>
      </c>
      <c r="M208" s="345" t="s">
        <v>12</v>
      </c>
      <c r="N208" s="352" t="s">
        <v>13</v>
      </c>
      <c r="O208" s="497" t="s">
        <v>63</v>
      </c>
    </row>
    <row r="209" spans="1:16" s="18" customFormat="1" ht="33" customHeight="1" x14ac:dyDescent="0.3">
      <c r="A209" s="493" t="s">
        <v>4880</v>
      </c>
      <c r="B209" s="439">
        <v>46111</v>
      </c>
      <c r="C209" s="197" t="s">
        <v>4891</v>
      </c>
      <c r="D209" s="197" t="s">
        <v>4892</v>
      </c>
      <c r="E209" s="255" t="s">
        <v>4902</v>
      </c>
      <c r="F209" s="483" t="s">
        <v>4903</v>
      </c>
      <c r="G209" s="423" t="s">
        <v>4893</v>
      </c>
      <c r="H209" s="255" t="s">
        <v>4898</v>
      </c>
      <c r="I209" s="336" t="s">
        <v>4894</v>
      </c>
      <c r="J209" s="255"/>
      <c r="K209" s="256" t="s">
        <v>4895</v>
      </c>
      <c r="L209" s="423"/>
      <c r="M209" s="447"/>
      <c r="N209" s="34" t="s">
        <v>5231</v>
      </c>
      <c r="O209" s="512" t="s">
        <v>4896</v>
      </c>
    </row>
    <row r="210" spans="1:16" s="18" customFormat="1" ht="33" customHeight="1" x14ac:dyDescent="0.3">
      <c r="A210" s="494"/>
      <c r="B210" s="439">
        <v>46111</v>
      </c>
      <c r="C210" s="4"/>
      <c r="D210" s="4"/>
      <c r="E210" s="310"/>
      <c r="F210" s="34"/>
      <c r="G210" s="17"/>
      <c r="H210" s="207"/>
      <c r="I210" s="34"/>
      <c r="J210" s="34"/>
      <c r="K210" s="133"/>
      <c r="L210" s="17"/>
      <c r="M210" s="8"/>
      <c r="N210" s="34"/>
      <c r="O210" s="501"/>
    </row>
    <row r="211" spans="1:16" s="18" customFormat="1" ht="33" customHeight="1" x14ac:dyDescent="0.3">
      <c r="A211" s="494"/>
      <c r="B211" s="439">
        <v>46112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489"/>
      <c r="O211" s="500"/>
    </row>
    <row r="212" spans="1:16" s="18" customFormat="1" ht="33" customHeight="1" x14ac:dyDescent="0.3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 x14ac:dyDescent="0.3">
      <c r="A213" s="494"/>
      <c r="B213" s="439">
        <v>46113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34" t="s">
        <v>5231</v>
      </c>
      <c r="O213" s="500"/>
    </row>
    <row r="214" spans="1:16" s="18" customFormat="1" ht="33" customHeight="1" x14ac:dyDescent="0.3">
      <c r="A214" s="494"/>
      <c r="B214" s="439">
        <v>46113</v>
      </c>
      <c r="C214" s="4"/>
      <c r="D214" s="4"/>
      <c r="E214" s="310"/>
      <c r="F214" s="34"/>
      <c r="G214" s="17"/>
      <c r="H214" s="207"/>
      <c r="I214" s="34"/>
      <c r="J214" s="34"/>
      <c r="K214" s="133"/>
      <c r="L214" s="17"/>
      <c r="M214" s="8"/>
      <c r="N214" s="34"/>
      <c r="O214" s="502"/>
    </row>
    <row r="215" spans="1:16" s="18" customFormat="1" ht="33" customHeight="1" x14ac:dyDescent="0.3">
      <c r="A215" s="494"/>
      <c r="B215" s="439">
        <v>46114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 x14ac:dyDescent="0.3">
      <c r="A216" s="494"/>
      <c r="B216" s="439">
        <v>46114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 x14ac:dyDescent="0.3">
      <c r="A217" s="494"/>
      <c r="B217" s="439">
        <v>46115</v>
      </c>
      <c r="C217" s="4"/>
      <c r="D217" s="4"/>
      <c r="E217" s="34"/>
      <c r="F217" s="310"/>
      <c r="G217" s="17"/>
      <c r="H217" s="207"/>
      <c r="I217" s="34"/>
      <c r="J217" s="207"/>
      <c r="K217" s="133"/>
      <c r="L217" s="17"/>
      <c r="M217" s="8"/>
      <c r="N217" s="34" t="s">
        <v>5231</v>
      </c>
      <c r="O217" s="499"/>
    </row>
    <row r="218" spans="1:16" s="18" customFormat="1" ht="33" customHeight="1" x14ac:dyDescent="0.3">
      <c r="A218" s="494"/>
      <c r="B218" s="439">
        <v>46115</v>
      </c>
      <c r="C218" s="4"/>
      <c r="D218" s="4"/>
      <c r="E218" s="34"/>
      <c r="F218" s="34"/>
      <c r="G218" s="17"/>
      <c r="H218" s="207"/>
      <c r="I218" s="34"/>
      <c r="J218" s="34"/>
      <c r="K218" s="133"/>
      <c r="L218" s="17"/>
      <c r="M218" s="8"/>
      <c r="N218" s="34"/>
      <c r="O218" s="498"/>
    </row>
    <row r="219" spans="1:16" s="18" customFormat="1" ht="33" customHeight="1" x14ac:dyDescent="0.3">
      <c r="A219" s="494"/>
      <c r="B219" s="439">
        <v>46116</v>
      </c>
      <c r="C219" s="4"/>
      <c r="D219" s="4"/>
      <c r="E219" s="34"/>
      <c r="F219" s="34"/>
      <c r="G219" s="17"/>
      <c r="H219" s="207"/>
      <c r="I219" s="207"/>
      <c r="J219" s="207"/>
      <c r="K219" s="133"/>
      <c r="L219" s="17"/>
      <c r="M219" s="8"/>
      <c r="N219" s="207"/>
      <c r="O219" s="508"/>
    </row>
    <row r="220" spans="1:16" s="18" customFormat="1" ht="33" customHeight="1" x14ac:dyDescent="0.3">
      <c r="A220" s="495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34"/>
      <c r="O220" s="502"/>
    </row>
    <row r="221" spans="1:16" s="18" customFormat="1" ht="33" customHeight="1" x14ac:dyDescent="0.3">
      <c r="A221" s="496" t="s">
        <v>0</v>
      </c>
      <c r="B221" s="346" t="s">
        <v>1</v>
      </c>
      <c r="C221" s="345" t="s">
        <v>2</v>
      </c>
      <c r="D221" s="345" t="s">
        <v>3</v>
      </c>
      <c r="E221" s="345" t="s">
        <v>4</v>
      </c>
      <c r="F221" s="345" t="s">
        <v>5</v>
      </c>
      <c r="G221" s="345" t="s">
        <v>6</v>
      </c>
      <c r="H221" s="347" t="s">
        <v>7</v>
      </c>
      <c r="I221" s="345" t="s">
        <v>8</v>
      </c>
      <c r="J221" s="345" t="s">
        <v>9</v>
      </c>
      <c r="K221" s="348" t="s">
        <v>10</v>
      </c>
      <c r="L221" s="349" t="s">
        <v>11</v>
      </c>
      <c r="M221" s="345" t="s">
        <v>12</v>
      </c>
      <c r="N221" s="352" t="s">
        <v>13</v>
      </c>
      <c r="O221" s="497" t="s">
        <v>63</v>
      </c>
    </row>
    <row r="222" spans="1:16" s="18" customFormat="1" ht="33" customHeight="1" x14ac:dyDescent="0.3">
      <c r="A222" s="493" t="s">
        <v>4881</v>
      </c>
      <c r="B222" s="439">
        <v>46118</v>
      </c>
      <c r="C222" s="4"/>
      <c r="D222" s="4"/>
      <c r="E222" s="34"/>
      <c r="F222" s="207"/>
      <c r="G222" s="17"/>
      <c r="H222" s="207"/>
      <c r="I222" s="34"/>
      <c r="J222" s="34"/>
      <c r="K222" s="133"/>
      <c r="L222" s="17"/>
      <c r="M222" s="8"/>
      <c r="N222" s="34" t="s">
        <v>5231</v>
      </c>
      <c r="O222" s="501"/>
    </row>
    <row r="223" spans="1:16" s="18" customFormat="1" ht="33" customHeight="1" x14ac:dyDescent="0.3">
      <c r="A223" s="494"/>
      <c r="B223" s="439">
        <v>46118</v>
      </c>
      <c r="C223" s="4"/>
      <c r="D223" s="4"/>
      <c r="E223" s="310"/>
      <c r="F223" s="34"/>
      <c r="G223" s="17"/>
      <c r="H223" s="207"/>
      <c r="I223" s="34"/>
      <c r="J223" s="34"/>
      <c r="K223" s="133"/>
      <c r="L223" s="17"/>
      <c r="M223" s="8"/>
      <c r="N223" s="34"/>
      <c r="O223" s="501"/>
    </row>
    <row r="224" spans="1:16" s="18" customFormat="1" ht="33" customHeight="1" x14ac:dyDescent="0.3">
      <c r="A224" s="494"/>
      <c r="B224" s="439">
        <v>46119</v>
      </c>
      <c r="C224" s="218" t="s">
        <v>21</v>
      </c>
      <c r="D224" s="218" t="s">
        <v>17</v>
      </c>
      <c r="E224" s="461" t="s">
        <v>5375</v>
      </c>
      <c r="F224" s="337" t="s">
        <v>5371</v>
      </c>
      <c r="G224" s="453" t="s">
        <v>5376</v>
      </c>
      <c r="H224" s="421" t="s">
        <v>5377</v>
      </c>
      <c r="I224" s="337" t="s">
        <v>4911</v>
      </c>
      <c r="J224" s="337"/>
      <c r="K224" s="358" t="s">
        <v>42</v>
      </c>
      <c r="L224" s="453"/>
      <c r="M224" s="454">
        <v>2</v>
      </c>
      <c r="N224" s="337"/>
      <c r="O224" s="516" t="s">
        <v>4912</v>
      </c>
      <c r="P224" s="482" t="s">
        <v>4913</v>
      </c>
    </row>
    <row r="225" spans="1:15" s="18" customFormat="1" ht="33" customHeight="1" x14ac:dyDescent="0.3">
      <c r="A225" s="494"/>
      <c r="B225" s="439">
        <v>46119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489"/>
      <c r="O225" s="500"/>
    </row>
    <row r="226" spans="1:15" s="18" customFormat="1" ht="33" customHeight="1" x14ac:dyDescent="0.3">
      <c r="A226" s="494"/>
      <c r="B226" s="439">
        <v>46120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34" t="s">
        <v>5231</v>
      </c>
      <c r="O226" s="500"/>
    </row>
    <row r="227" spans="1:15" s="18" customFormat="1" ht="33" customHeight="1" x14ac:dyDescent="0.3">
      <c r="A227" s="494"/>
      <c r="B227" s="439">
        <v>46120</v>
      </c>
      <c r="C227" s="4"/>
      <c r="D227" s="4"/>
      <c r="E227" s="310"/>
      <c r="F227" s="34"/>
      <c r="G227" s="17"/>
      <c r="H227" s="207"/>
      <c r="I227" s="34"/>
      <c r="J227" s="34"/>
      <c r="K227" s="133"/>
      <c r="L227" s="17"/>
      <c r="M227" s="8"/>
      <c r="N227" s="34"/>
      <c r="O227" s="502"/>
    </row>
    <row r="228" spans="1:15" s="18" customFormat="1" ht="33" customHeight="1" x14ac:dyDescent="0.3">
      <c r="A228" s="494"/>
      <c r="B228" s="439">
        <v>46121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5" s="18" customFormat="1" ht="33" customHeight="1" x14ac:dyDescent="0.3">
      <c r="A229" s="494"/>
      <c r="B229" s="439">
        <v>46121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5" s="18" customFormat="1" ht="33" customHeight="1" x14ac:dyDescent="0.3">
      <c r="A230" s="494"/>
      <c r="B230" s="439">
        <v>46122</v>
      </c>
      <c r="C230" s="4"/>
      <c r="D230" s="4"/>
      <c r="E230" s="34"/>
      <c r="F230" s="310"/>
      <c r="G230" s="17"/>
      <c r="H230" s="207"/>
      <c r="I230" s="34"/>
      <c r="J230" s="207"/>
      <c r="K230" s="133"/>
      <c r="L230" s="17"/>
      <c r="M230" s="8"/>
      <c r="N230" s="34" t="s">
        <v>5231</v>
      </c>
      <c r="O230" s="499"/>
    </row>
    <row r="231" spans="1:15" s="18" customFormat="1" ht="33" customHeight="1" x14ac:dyDescent="0.3">
      <c r="A231" s="494"/>
      <c r="B231" s="439">
        <v>46122</v>
      </c>
      <c r="C231" s="4"/>
      <c r="D231" s="4"/>
      <c r="E231" s="34"/>
      <c r="F231" s="34"/>
      <c r="G231" s="17"/>
      <c r="H231" s="207"/>
      <c r="I231" s="34"/>
      <c r="J231" s="34"/>
      <c r="K231" s="133"/>
      <c r="L231" s="17"/>
      <c r="M231" s="8"/>
      <c r="N231" s="34"/>
      <c r="O231" s="498"/>
    </row>
    <row r="232" spans="1:15" s="18" customFormat="1" ht="33" customHeight="1" x14ac:dyDescent="0.3">
      <c r="A232" s="494"/>
      <c r="B232" s="439">
        <v>46123</v>
      </c>
      <c r="C232" s="4"/>
      <c r="D232" s="4"/>
      <c r="E232" s="34"/>
      <c r="F232" s="34"/>
      <c r="G232" s="17"/>
      <c r="H232" s="207"/>
      <c r="I232" s="207"/>
      <c r="J232" s="207"/>
      <c r="K232" s="133"/>
      <c r="L232" s="17"/>
      <c r="M232" s="8"/>
      <c r="N232" s="207"/>
      <c r="O232" s="508"/>
    </row>
    <row r="233" spans="1:15" s="18" customFormat="1" ht="33" customHeight="1" x14ac:dyDescent="0.3">
      <c r="A233" s="495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34"/>
      <c r="O233" s="502"/>
    </row>
    <row r="234" spans="1:15" s="18" customFormat="1" ht="33" customHeight="1" x14ac:dyDescent="0.3">
      <c r="A234" s="496" t="s">
        <v>0</v>
      </c>
      <c r="B234" s="346" t="s">
        <v>1</v>
      </c>
      <c r="C234" s="345" t="s">
        <v>2</v>
      </c>
      <c r="D234" s="345" t="s">
        <v>3</v>
      </c>
      <c r="E234" s="345" t="s">
        <v>4</v>
      </c>
      <c r="F234" s="345" t="s">
        <v>5</v>
      </c>
      <c r="G234" s="345" t="s">
        <v>6</v>
      </c>
      <c r="H234" s="347" t="s">
        <v>7</v>
      </c>
      <c r="I234" s="345" t="s">
        <v>8</v>
      </c>
      <c r="J234" s="345" t="s">
        <v>9</v>
      </c>
      <c r="K234" s="348" t="s">
        <v>10</v>
      </c>
      <c r="L234" s="349" t="s">
        <v>11</v>
      </c>
      <c r="M234" s="345" t="s">
        <v>12</v>
      </c>
      <c r="N234" s="352" t="s">
        <v>13</v>
      </c>
      <c r="O234" s="497" t="s">
        <v>63</v>
      </c>
    </row>
    <row r="235" spans="1:15" s="18" customFormat="1" ht="33" customHeight="1" x14ac:dyDescent="0.3">
      <c r="A235" s="493" t="s">
        <v>4882</v>
      </c>
      <c r="B235" s="439">
        <v>46125</v>
      </c>
      <c r="C235" s="4"/>
      <c r="D235" s="4"/>
      <c r="E235" s="34"/>
      <c r="F235" s="207"/>
      <c r="G235" s="17"/>
      <c r="H235" s="207"/>
      <c r="I235" s="34"/>
      <c r="J235" s="34"/>
      <c r="K235" s="133"/>
      <c r="L235" s="17"/>
      <c r="M235" s="8"/>
      <c r="N235" s="34" t="s">
        <v>5231</v>
      </c>
      <c r="O235" s="501"/>
    </row>
    <row r="236" spans="1:15" s="18" customFormat="1" ht="33" customHeight="1" x14ac:dyDescent="0.3">
      <c r="A236" s="494"/>
      <c r="B236" s="439">
        <v>46125</v>
      </c>
      <c r="C236" s="4"/>
      <c r="D236" s="4"/>
      <c r="E236" s="310"/>
      <c r="F236" s="34"/>
      <c r="G236" s="17"/>
      <c r="H236" s="207"/>
      <c r="I236" s="34"/>
      <c r="J236" s="34"/>
      <c r="K236" s="133"/>
      <c r="L236" s="17"/>
      <c r="M236" s="8"/>
      <c r="N236" s="34"/>
      <c r="O236" s="501"/>
    </row>
    <row r="237" spans="1:15" s="18" customFormat="1" ht="33" customHeight="1" x14ac:dyDescent="0.3">
      <c r="A237" s="494"/>
      <c r="B237" s="439">
        <v>46126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489"/>
      <c r="O237" s="500"/>
    </row>
    <row r="238" spans="1:15" s="18" customFormat="1" ht="33" customHeight="1" x14ac:dyDescent="0.3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5" s="18" customFormat="1" ht="33" customHeight="1" x14ac:dyDescent="0.3">
      <c r="A239" s="494"/>
      <c r="B239" s="439">
        <v>46127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34" t="s">
        <v>5231</v>
      </c>
      <c r="O239" s="500"/>
    </row>
    <row r="240" spans="1:15" s="18" customFormat="1" ht="33" customHeight="1" x14ac:dyDescent="0.3">
      <c r="A240" s="494"/>
      <c r="B240" s="439">
        <v>46127</v>
      </c>
      <c r="C240" s="4"/>
      <c r="D240" s="4"/>
      <c r="E240" s="310"/>
      <c r="F240" s="34"/>
      <c r="G240" s="17"/>
      <c r="H240" s="207"/>
      <c r="I240" s="34"/>
      <c r="J240" s="34"/>
      <c r="K240" s="133"/>
      <c r="L240" s="17"/>
      <c r="M240" s="8"/>
      <c r="N240" s="34"/>
      <c r="O240" s="502"/>
    </row>
    <row r="241" spans="1:15" s="18" customFormat="1" ht="33" customHeight="1" x14ac:dyDescent="0.3">
      <c r="A241" s="494"/>
      <c r="B241" s="439">
        <v>46128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 x14ac:dyDescent="0.3">
      <c r="A242" s="494"/>
      <c r="B242" s="439">
        <v>46128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 x14ac:dyDescent="0.3">
      <c r="A243" s="494"/>
      <c r="B243" s="439">
        <v>46129</v>
      </c>
      <c r="C243" s="4"/>
      <c r="D243" s="4"/>
      <c r="E243" s="34"/>
      <c r="F243" s="310"/>
      <c r="G243" s="17"/>
      <c r="H243" s="207"/>
      <c r="I243" s="34"/>
      <c r="J243" s="207"/>
      <c r="K243" s="133"/>
      <c r="L243" s="17"/>
      <c r="M243" s="8"/>
      <c r="N243" s="34" t="s">
        <v>5231</v>
      </c>
      <c r="O243" s="499"/>
    </row>
    <row r="244" spans="1:15" s="18" customFormat="1" ht="33" customHeight="1" x14ac:dyDescent="0.3">
      <c r="A244" s="494"/>
      <c r="B244" s="439">
        <v>46129</v>
      </c>
      <c r="C244" s="4"/>
      <c r="D244" s="4"/>
      <c r="E244" s="34"/>
      <c r="F244" s="34"/>
      <c r="G244" s="17"/>
      <c r="H244" s="207"/>
      <c r="I244" s="34"/>
      <c r="J244" s="34"/>
      <c r="K244" s="133"/>
      <c r="L244" s="17"/>
      <c r="M244" s="8"/>
      <c r="N244" s="34"/>
      <c r="O244" s="498"/>
    </row>
    <row r="245" spans="1:15" s="18" customFormat="1" ht="33" customHeight="1" x14ac:dyDescent="0.3">
      <c r="A245" s="494"/>
      <c r="B245" s="439">
        <v>46130</v>
      </c>
      <c r="C245" s="4"/>
      <c r="D245" s="4"/>
      <c r="E245" s="34"/>
      <c r="F245" s="34"/>
      <c r="G245" s="17"/>
      <c r="H245" s="207"/>
      <c r="I245" s="207"/>
      <c r="J245" s="207"/>
      <c r="K245" s="133"/>
      <c r="L245" s="17"/>
      <c r="M245" s="8"/>
      <c r="N245" s="207"/>
      <c r="O245" s="508"/>
    </row>
    <row r="246" spans="1:15" s="18" customFormat="1" ht="33" customHeight="1" x14ac:dyDescent="0.3">
      <c r="A246" s="495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34"/>
      <c r="O246" s="502"/>
    </row>
    <row r="247" spans="1:15" s="18" customFormat="1" ht="33" customHeight="1" x14ac:dyDescent="0.3">
      <c r="A247" s="496" t="s">
        <v>0</v>
      </c>
      <c r="B247" s="346" t="s">
        <v>1</v>
      </c>
      <c r="C247" s="345" t="s">
        <v>2</v>
      </c>
      <c r="D247" s="345" t="s">
        <v>3</v>
      </c>
      <c r="E247" s="345" t="s">
        <v>4</v>
      </c>
      <c r="F247" s="345" t="s">
        <v>5</v>
      </c>
      <c r="G247" s="345" t="s">
        <v>6</v>
      </c>
      <c r="H247" s="347" t="s">
        <v>7</v>
      </c>
      <c r="I247" s="345" t="s">
        <v>8</v>
      </c>
      <c r="J247" s="345" t="s">
        <v>9</v>
      </c>
      <c r="K247" s="348" t="s">
        <v>10</v>
      </c>
      <c r="L247" s="349" t="s">
        <v>11</v>
      </c>
      <c r="M247" s="345" t="s">
        <v>12</v>
      </c>
      <c r="N247" s="352" t="s">
        <v>13</v>
      </c>
      <c r="O247" s="497" t="s">
        <v>63</v>
      </c>
    </row>
    <row r="248" spans="1:15" s="18" customFormat="1" ht="33" customHeight="1" x14ac:dyDescent="0.3">
      <c r="A248" s="493" t="s">
        <v>4883</v>
      </c>
      <c r="B248" s="439">
        <v>46132</v>
      </c>
      <c r="C248" s="4"/>
      <c r="D248" s="4"/>
      <c r="E248" s="34"/>
      <c r="F248" s="207"/>
      <c r="G248" s="17"/>
      <c r="H248" s="207"/>
      <c r="I248" s="34"/>
      <c r="J248" s="34"/>
      <c r="K248" s="133"/>
      <c r="L248" s="17"/>
      <c r="M248" s="8"/>
      <c r="N248" s="34" t="s">
        <v>5231</v>
      </c>
      <c r="O248" s="501"/>
    </row>
    <row r="249" spans="1:15" s="18" customFormat="1" ht="33" customHeight="1" x14ac:dyDescent="0.3">
      <c r="A249" s="494"/>
      <c r="B249" s="439">
        <v>46132</v>
      </c>
      <c r="C249" s="4"/>
      <c r="D249" s="4"/>
      <c r="E249" s="310"/>
      <c r="F249" s="34"/>
      <c r="G249" s="17"/>
      <c r="H249" s="207"/>
      <c r="I249" s="34"/>
      <c r="J249" s="34"/>
      <c r="K249" s="133"/>
      <c r="L249" s="17"/>
      <c r="M249" s="8"/>
      <c r="N249" s="34"/>
      <c r="O249" s="501"/>
    </row>
    <row r="250" spans="1:15" s="18" customFormat="1" ht="33" customHeight="1" x14ac:dyDescent="0.3">
      <c r="A250" s="494"/>
      <c r="B250" s="439">
        <v>46133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489"/>
      <c r="O250" s="500"/>
    </row>
    <row r="251" spans="1:15" s="18" customFormat="1" ht="33" customHeight="1" x14ac:dyDescent="0.3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 x14ac:dyDescent="0.3">
      <c r="A252" s="494"/>
      <c r="B252" s="439">
        <v>46134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34" t="s">
        <v>5231</v>
      </c>
      <c r="O252" s="500"/>
    </row>
    <row r="253" spans="1:15" s="18" customFormat="1" ht="33" customHeight="1" x14ac:dyDescent="0.3">
      <c r="A253" s="494"/>
      <c r="B253" s="439">
        <v>46134</v>
      </c>
      <c r="C253" s="4"/>
      <c r="D253" s="4"/>
      <c r="E253" s="310"/>
      <c r="F253" s="34"/>
      <c r="G253" s="17"/>
      <c r="H253" s="207"/>
      <c r="I253" s="34"/>
      <c r="J253" s="34"/>
      <c r="K253" s="133"/>
      <c r="L253" s="17"/>
      <c r="M253" s="8"/>
      <c r="N253" s="34"/>
      <c r="O253" s="502"/>
    </row>
    <row r="254" spans="1:15" s="18" customFormat="1" ht="33" customHeight="1" x14ac:dyDescent="0.3">
      <c r="A254" s="494"/>
      <c r="B254" s="439">
        <v>46135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 x14ac:dyDescent="0.3">
      <c r="A255" s="494"/>
      <c r="B255" s="439">
        <v>46135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 x14ac:dyDescent="0.3">
      <c r="A256" s="494"/>
      <c r="B256" s="439">
        <v>46136</v>
      </c>
      <c r="C256" s="4"/>
      <c r="D256" s="4"/>
      <c r="E256" s="34"/>
      <c r="F256" s="310"/>
      <c r="G256" s="17"/>
      <c r="H256" s="207"/>
      <c r="I256" s="34"/>
      <c r="J256" s="207"/>
      <c r="K256" s="133"/>
      <c r="L256" s="17"/>
      <c r="M256" s="8"/>
      <c r="N256" s="34" t="s">
        <v>5231</v>
      </c>
      <c r="O256" s="499"/>
    </row>
    <row r="257" spans="1:15" s="18" customFormat="1" ht="33" customHeight="1" x14ac:dyDescent="0.3">
      <c r="A257" s="494"/>
      <c r="B257" s="439">
        <v>46136</v>
      </c>
      <c r="C257" s="4"/>
      <c r="D257" s="4"/>
      <c r="E257" s="34"/>
      <c r="F257" s="34"/>
      <c r="G257" s="17"/>
      <c r="H257" s="207"/>
      <c r="I257" s="34"/>
      <c r="J257" s="34"/>
      <c r="K257" s="133"/>
      <c r="L257" s="17"/>
      <c r="M257" s="8"/>
      <c r="N257" s="34"/>
      <c r="O257" s="498"/>
    </row>
    <row r="258" spans="1:15" s="18" customFormat="1" ht="33" customHeight="1" x14ac:dyDescent="0.3">
      <c r="A258" s="494"/>
      <c r="B258" s="439">
        <v>46137</v>
      </c>
      <c r="C258" s="4"/>
      <c r="D258" s="4"/>
      <c r="E258" s="34"/>
      <c r="F258" s="34"/>
      <c r="G258" s="17"/>
      <c r="H258" s="207"/>
      <c r="I258" s="207"/>
      <c r="J258" s="207"/>
      <c r="K258" s="133"/>
      <c r="L258" s="17"/>
      <c r="M258" s="8"/>
      <c r="N258" s="207"/>
      <c r="O258" s="508"/>
    </row>
    <row r="259" spans="1:15" s="18" customFormat="1" ht="33" customHeight="1" x14ac:dyDescent="0.3">
      <c r="A259" s="495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34"/>
      <c r="O259" s="502"/>
    </row>
    <row r="260" spans="1:15" s="18" customFormat="1" ht="33" customHeight="1" x14ac:dyDescent="0.3">
      <c r="A260" s="496" t="s">
        <v>0</v>
      </c>
      <c r="B260" s="346" t="s">
        <v>1</v>
      </c>
      <c r="C260" s="345" t="s">
        <v>2</v>
      </c>
      <c r="D260" s="345" t="s">
        <v>3</v>
      </c>
      <c r="E260" s="345" t="s">
        <v>4</v>
      </c>
      <c r="F260" s="345" t="s">
        <v>5</v>
      </c>
      <c r="G260" s="345" t="s">
        <v>6</v>
      </c>
      <c r="H260" s="347" t="s">
        <v>7</v>
      </c>
      <c r="I260" s="345" t="s">
        <v>8</v>
      </c>
      <c r="J260" s="345" t="s">
        <v>9</v>
      </c>
      <c r="K260" s="348" t="s">
        <v>10</v>
      </c>
      <c r="L260" s="349" t="s">
        <v>11</v>
      </c>
      <c r="M260" s="345" t="s">
        <v>12</v>
      </c>
      <c r="N260" s="352" t="s">
        <v>13</v>
      </c>
      <c r="O260" s="497" t="s">
        <v>63</v>
      </c>
    </row>
    <row r="261" spans="1:15" s="18" customFormat="1" ht="33" customHeight="1" x14ac:dyDescent="0.3">
      <c r="A261" s="493" t="s">
        <v>4884</v>
      </c>
      <c r="B261" s="439">
        <v>46139</v>
      </c>
      <c r="C261" s="4"/>
      <c r="D261" s="4"/>
      <c r="E261" s="34"/>
      <c r="F261" s="207"/>
      <c r="G261" s="17"/>
      <c r="H261" s="207"/>
      <c r="I261" s="34"/>
      <c r="J261" s="34"/>
      <c r="K261" s="133"/>
      <c r="L261" s="17"/>
      <c r="M261" s="8"/>
      <c r="N261" s="34" t="s">
        <v>5231</v>
      </c>
      <c r="O261" s="501"/>
    </row>
    <row r="262" spans="1:15" s="18" customFormat="1" ht="33" customHeight="1" x14ac:dyDescent="0.3">
      <c r="A262" s="494"/>
      <c r="B262" s="439">
        <v>46139</v>
      </c>
      <c r="C262" s="4"/>
      <c r="D262" s="4"/>
      <c r="E262" s="310"/>
      <c r="F262" s="34"/>
      <c r="G262" s="17"/>
      <c r="H262" s="207"/>
      <c r="I262" s="34"/>
      <c r="J262" s="34"/>
      <c r="K262" s="133"/>
      <c r="L262" s="17"/>
      <c r="M262" s="8"/>
      <c r="N262" s="34"/>
      <c r="O262" s="501"/>
    </row>
    <row r="263" spans="1:15" s="18" customFormat="1" ht="33" customHeight="1" x14ac:dyDescent="0.3">
      <c r="A263" s="494"/>
      <c r="B263" s="439">
        <v>46140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489"/>
      <c r="O263" s="500"/>
    </row>
    <row r="264" spans="1:15" s="18" customFormat="1" ht="33" customHeight="1" x14ac:dyDescent="0.3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 x14ac:dyDescent="0.3">
      <c r="A265" s="494"/>
      <c r="B265" s="439">
        <v>46141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34" t="s">
        <v>5231</v>
      </c>
      <c r="O265" s="500"/>
    </row>
    <row r="266" spans="1:15" s="18" customFormat="1" ht="33" customHeight="1" x14ac:dyDescent="0.3">
      <c r="A266" s="494"/>
      <c r="B266" s="439">
        <v>46141</v>
      </c>
      <c r="C266" s="4"/>
      <c r="D266" s="4"/>
      <c r="E266" s="310"/>
      <c r="F266" s="34"/>
      <c r="G266" s="17"/>
      <c r="H266" s="207"/>
      <c r="I266" s="34"/>
      <c r="J266" s="34"/>
      <c r="K266" s="133"/>
      <c r="L266" s="17"/>
      <c r="M266" s="8"/>
      <c r="N266" s="34"/>
      <c r="O266" s="502"/>
    </row>
    <row r="267" spans="1:15" s="18" customFormat="1" ht="33" customHeight="1" x14ac:dyDescent="0.3">
      <c r="A267" s="494"/>
      <c r="B267" s="439">
        <v>46142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 x14ac:dyDescent="0.3">
      <c r="A268" s="494"/>
      <c r="B268" s="439">
        <v>46142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 x14ac:dyDescent="0.3">
      <c r="A269" s="494"/>
      <c r="B269" s="439">
        <v>46143</v>
      </c>
      <c r="C269" s="4"/>
      <c r="D269" s="4"/>
      <c r="E269" s="34"/>
      <c r="F269" s="310"/>
      <c r="G269" s="17"/>
      <c r="H269" s="207"/>
      <c r="I269" s="34"/>
      <c r="J269" s="207"/>
      <c r="K269" s="133"/>
      <c r="L269" s="17"/>
      <c r="M269" s="8"/>
      <c r="N269" s="34" t="s">
        <v>5231</v>
      </c>
      <c r="O269" s="499"/>
    </row>
    <row r="270" spans="1:15" s="18" customFormat="1" ht="33" customHeight="1" x14ac:dyDescent="0.3">
      <c r="A270" s="494"/>
      <c r="B270" s="439">
        <v>46143</v>
      </c>
      <c r="C270" s="4"/>
      <c r="D270" s="4"/>
      <c r="E270" s="34"/>
      <c r="F270" s="34"/>
      <c r="G270" s="17"/>
      <c r="H270" s="207"/>
      <c r="I270" s="34"/>
      <c r="J270" s="34"/>
      <c r="K270" s="133"/>
      <c r="L270" s="17"/>
      <c r="M270" s="8"/>
      <c r="N270" s="34"/>
      <c r="O270" s="498"/>
    </row>
    <row r="271" spans="1:15" s="18" customFormat="1" ht="33" customHeight="1" x14ac:dyDescent="0.3">
      <c r="A271" s="494"/>
      <c r="B271" s="439">
        <v>46144</v>
      </c>
      <c r="C271" s="4"/>
      <c r="D271" s="4"/>
      <c r="E271" s="34"/>
      <c r="F271" s="34"/>
      <c r="G271" s="17"/>
      <c r="H271" s="207"/>
      <c r="I271" s="207"/>
      <c r="J271" s="207"/>
      <c r="K271" s="133"/>
      <c r="L271" s="17"/>
      <c r="M271" s="8"/>
      <c r="N271" s="207"/>
      <c r="O271" s="508"/>
    </row>
    <row r="272" spans="1:15" s="18" customFormat="1" ht="33" customHeight="1" x14ac:dyDescent="0.3">
      <c r="A272" s="495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34"/>
      <c r="O272" s="502"/>
    </row>
    <row r="273" spans="1:15" s="18" customFormat="1" ht="33" customHeight="1" x14ac:dyDescent="0.3">
      <c r="A273" s="496" t="s">
        <v>0</v>
      </c>
      <c r="B273" s="346" t="s">
        <v>1</v>
      </c>
      <c r="C273" s="345" t="s">
        <v>2</v>
      </c>
      <c r="D273" s="345" t="s">
        <v>3</v>
      </c>
      <c r="E273" s="345" t="s">
        <v>4</v>
      </c>
      <c r="F273" s="345" t="s">
        <v>5</v>
      </c>
      <c r="G273" s="345" t="s">
        <v>6</v>
      </c>
      <c r="H273" s="347" t="s">
        <v>7</v>
      </c>
      <c r="I273" s="345" t="s">
        <v>8</v>
      </c>
      <c r="J273" s="345" t="s">
        <v>9</v>
      </c>
      <c r="K273" s="348" t="s">
        <v>10</v>
      </c>
      <c r="L273" s="349" t="s">
        <v>11</v>
      </c>
      <c r="M273" s="345" t="s">
        <v>12</v>
      </c>
      <c r="N273" s="352" t="s">
        <v>13</v>
      </c>
      <c r="O273" s="497" t="s">
        <v>63</v>
      </c>
    </row>
    <row r="274" spans="1:15" s="18" customFormat="1" ht="33" customHeight="1" x14ac:dyDescent="0.3">
      <c r="A274" s="493" t="s">
        <v>4885</v>
      </c>
      <c r="B274" s="439">
        <v>46146</v>
      </c>
      <c r="C274" s="4"/>
      <c r="D274" s="4"/>
      <c r="E274" s="34"/>
      <c r="F274" s="207"/>
      <c r="G274" s="17"/>
      <c r="H274" s="207"/>
      <c r="I274" s="34"/>
      <c r="J274" s="34"/>
      <c r="K274" s="133"/>
      <c r="L274" s="17"/>
      <c r="M274" s="8"/>
      <c r="N274" s="34" t="s">
        <v>5231</v>
      </c>
      <c r="O274" s="501"/>
    </row>
    <row r="275" spans="1:15" s="18" customFormat="1" ht="33" customHeight="1" x14ac:dyDescent="0.3">
      <c r="A275" s="494"/>
      <c r="B275" s="439">
        <v>46146</v>
      </c>
      <c r="C275" s="4"/>
      <c r="D275" s="4"/>
      <c r="E275" s="310"/>
      <c r="F275" s="34"/>
      <c r="G275" s="17"/>
      <c r="H275" s="207"/>
      <c r="I275" s="34"/>
      <c r="J275" s="34"/>
      <c r="K275" s="133"/>
      <c r="L275" s="17"/>
      <c r="M275" s="8"/>
      <c r="N275" s="34"/>
      <c r="O275" s="501"/>
    </row>
    <row r="276" spans="1:15" s="18" customFormat="1" ht="33" customHeight="1" x14ac:dyDescent="0.3">
      <c r="A276" s="494"/>
      <c r="B276" s="439">
        <v>46147</v>
      </c>
      <c r="C276" s="4"/>
      <c r="D276" s="4"/>
      <c r="E276" s="34"/>
      <c r="F276" s="34"/>
      <c r="G276" s="17"/>
      <c r="H276" s="459" t="s">
        <v>5425</v>
      </c>
      <c r="I276" s="34"/>
      <c r="J276" s="207"/>
      <c r="K276" s="133"/>
      <c r="L276" s="17"/>
      <c r="M276" s="8"/>
      <c r="N276" s="489"/>
      <c r="O276" s="500"/>
    </row>
    <row r="277" spans="1:15" s="18" customFormat="1" ht="33" customHeight="1" x14ac:dyDescent="0.3">
      <c r="A277" s="494"/>
      <c r="B277" s="439">
        <v>46147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 x14ac:dyDescent="0.3">
      <c r="A278" s="494"/>
      <c r="B278" s="439">
        <v>46148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34" t="s">
        <v>5231</v>
      </c>
      <c r="O278" s="500"/>
    </row>
    <row r="279" spans="1:15" s="18" customFormat="1" ht="33" customHeight="1" x14ac:dyDescent="0.3">
      <c r="A279" s="494"/>
      <c r="B279" s="439">
        <v>46148</v>
      </c>
      <c r="C279" s="4"/>
      <c r="D279" s="4"/>
      <c r="E279" s="310"/>
      <c r="F279" s="34"/>
      <c r="G279" s="17"/>
      <c r="H279" s="207"/>
      <c r="I279" s="34"/>
      <c r="J279" s="34"/>
      <c r="K279" s="133"/>
      <c r="L279" s="17"/>
      <c r="M279" s="8"/>
      <c r="N279" s="34"/>
      <c r="O279" s="502"/>
    </row>
    <row r="280" spans="1:15" s="18" customFormat="1" ht="33" customHeight="1" x14ac:dyDescent="0.3">
      <c r="A280" s="494"/>
      <c r="B280" s="439">
        <v>46149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 x14ac:dyDescent="0.3">
      <c r="A281" s="494"/>
      <c r="B281" s="439">
        <v>46149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 x14ac:dyDescent="0.3">
      <c r="A282" s="494"/>
      <c r="B282" s="439">
        <v>46150</v>
      </c>
      <c r="C282" s="4"/>
      <c r="D282" s="4"/>
      <c r="E282" s="34"/>
      <c r="F282" s="310"/>
      <c r="G282" s="17"/>
      <c r="H282" s="207"/>
      <c r="I282" s="34"/>
      <c r="J282" s="207"/>
      <c r="K282" s="133"/>
      <c r="L282" s="17"/>
      <c r="M282" s="8"/>
      <c r="N282" s="34" t="s">
        <v>5231</v>
      </c>
      <c r="O282" s="499"/>
    </row>
    <row r="283" spans="1:15" s="18" customFormat="1" ht="33" customHeight="1" x14ac:dyDescent="0.3">
      <c r="A283" s="494"/>
      <c r="B283" s="439">
        <v>46150</v>
      </c>
      <c r="C283" s="4"/>
      <c r="D283" s="4"/>
      <c r="E283" s="34"/>
      <c r="F283" s="34"/>
      <c r="G283" s="17"/>
      <c r="H283" s="207"/>
      <c r="I283" s="34"/>
      <c r="J283" s="34"/>
      <c r="K283" s="133"/>
      <c r="L283" s="17"/>
      <c r="M283" s="8"/>
      <c r="N283" s="34"/>
      <c r="O283" s="498"/>
    </row>
    <row r="284" spans="1:15" s="18" customFormat="1" ht="33" customHeight="1" x14ac:dyDescent="0.3">
      <c r="A284" s="494"/>
      <c r="B284" s="439">
        <v>46151</v>
      </c>
      <c r="C284" s="4"/>
      <c r="D284" s="4"/>
      <c r="E284" s="34"/>
      <c r="F284" s="34"/>
      <c r="G284" s="17"/>
      <c r="H284" s="207"/>
      <c r="I284" s="207"/>
      <c r="J284" s="207"/>
      <c r="K284" s="133"/>
      <c r="L284" s="17"/>
      <c r="M284" s="8"/>
      <c r="N284" s="207"/>
      <c r="O284" s="508"/>
    </row>
    <row r="285" spans="1:15" s="18" customFormat="1" ht="33" customHeight="1" x14ac:dyDescent="0.3">
      <c r="A285" s="495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34"/>
      <c r="O285" s="502"/>
    </row>
    <row r="286" spans="1:15" s="18" customFormat="1" ht="33" customHeight="1" x14ac:dyDescent="0.3">
      <c r="A286" s="496" t="s">
        <v>0</v>
      </c>
      <c r="B286" s="346" t="s">
        <v>1</v>
      </c>
      <c r="C286" s="345" t="s">
        <v>2</v>
      </c>
      <c r="D286" s="345" t="s">
        <v>3</v>
      </c>
      <c r="E286" s="345" t="s">
        <v>4</v>
      </c>
      <c r="F286" s="345" t="s">
        <v>5</v>
      </c>
      <c r="G286" s="345" t="s">
        <v>6</v>
      </c>
      <c r="H286" s="347" t="s">
        <v>7</v>
      </c>
      <c r="I286" s="345" t="s">
        <v>8</v>
      </c>
      <c r="J286" s="345" t="s">
        <v>9</v>
      </c>
      <c r="K286" s="348" t="s">
        <v>10</v>
      </c>
      <c r="L286" s="349" t="s">
        <v>11</v>
      </c>
      <c r="M286" s="345" t="s">
        <v>12</v>
      </c>
      <c r="N286" s="352" t="s">
        <v>13</v>
      </c>
      <c r="O286" s="497" t="s">
        <v>63</v>
      </c>
    </row>
    <row r="287" spans="1:15" s="18" customFormat="1" ht="33" customHeight="1" x14ac:dyDescent="0.3">
      <c r="A287" s="493" t="s">
        <v>4886</v>
      </c>
      <c r="B287" s="439">
        <v>46153</v>
      </c>
      <c r="C287" s="4"/>
      <c r="D287" s="4"/>
      <c r="E287" s="34"/>
      <c r="F287" s="207"/>
      <c r="G287" s="17"/>
      <c r="H287" s="207"/>
      <c r="I287" s="34"/>
      <c r="J287" s="34"/>
      <c r="K287" s="133"/>
      <c r="L287" s="17"/>
      <c r="M287" s="8"/>
      <c r="N287" s="34" t="s">
        <v>5231</v>
      </c>
      <c r="O287" s="501"/>
    </row>
    <row r="288" spans="1:15" s="18" customFormat="1" ht="33" customHeight="1" x14ac:dyDescent="0.3">
      <c r="A288" s="494"/>
      <c r="B288" s="439">
        <v>46153</v>
      </c>
      <c r="C288" s="4"/>
      <c r="D288" s="4"/>
      <c r="E288" s="310"/>
      <c r="F288" s="34"/>
      <c r="G288" s="17"/>
      <c r="H288" s="207"/>
      <c r="I288" s="34"/>
      <c r="J288" s="34"/>
      <c r="K288" s="133"/>
      <c r="L288" s="17"/>
      <c r="M288" s="8"/>
      <c r="N288" s="34"/>
      <c r="O288" s="501"/>
    </row>
    <row r="289" spans="1:15" s="18" customFormat="1" ht="33" customHeight="1" x14ac:dyDescent="0.3">
      <c r="A289" s="494"/>
      <c r="B289" s="439">
        <v>46154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489"/>
      <c r="O289" s="500"/>
    </row>
    <row r="290" spans="1:15" s="18" customFormat="1" ht="33" customHeight="1" x14ac:dyDescent="0.3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 x14ac:dyDescent="0.3">
      <c r="A291" s="494"/>
      <c r="B291" s="439">
        <v>46155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34" t="s">
        <v>5231</v>
      </c>
      <c r="O291" s="500"/>
    </row>
    <row r="292" spans="1:15" s="18" customFormat="1" ht="33" customHeight="1" x14ac:dyDescent="0.3">
      <c r="A292" s="494"/>
      <c r="B292" s="439">
        <v>46155</v>
      </c>
      <c r="C292" s="4"/>
      <c r="D292" s="4"/>
      <c r="E292" s="310"/>
      <c r="F292" s="34"/>
      <c r="G292" s="17"/>
      <c r="H292" s="207"/>
      <c r="I292" s="34"/>
      <c r="J292" s="34"/>
      <c r="K292" s="133"/>
      <c r="L292" s="17"/>
      <c r="M292" s="8"/>
      <c r="N292" s="34"/>
      <c r="O292" s="502"/>
    </row>
    <row r="293" spans="1:15" s="18" customFormat="1" ht="33" customHeight="1" x14ac:dyDescent="0.3">
      <c r="A293" s="494"/>
      <c r="B293" s="439">
        <v>46156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 x14ac:dyDescent="0.3">
      <c r="A294" s="494"/>
      <c r="B294" s="439">
        <v>46156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 x14ac:dyDescent="0.3">
      <c r="A295" s="494"/>
      <c r="B295" s="439">
        <v>46157</v>
      </c>
      <c r="C295" s="197" t="s">
        <v>4891</v>
      </c>
      <c r="D295" s="197" t="s">
        <v>4892</v>
      </c>
      <c r="E295" s="255" t="s">
        <v>4904</v>
      </c>
      <c r="F295" s="483" t="s">
        <v>4905</v>
      </c>
      <c r="G295" s="423" t="s">
        <v>4893</v>
      </c>
      <c r="H295" s="255" t="s">
        <v>4897</v>
      </c>
      <c r="I295" s="336" t="s">
        <v>4894</v>
      </c>
      <c r="J295" s="255"/>
      <c r="K295" s="256" t="s">
        <v>4895</v>
      </c>
      <c r="L295" s="423"/>
      <c r="M295" s="447"/>
      <c r="N295" s="34" t="s">
        <v>5231</v>
      </c>
      <c r="O295" s="512" t="s">
        <v>4896</v>
      </c>
    </row>
    <row r="296" spans="1:15" s="18" customFormat="1" ht="33" customHeight="1" x14ac:dyDescent="0.3">
      <c r="A296" s="494"/>
      <c r="B296" s="439">
        <v>46157</v>
      </c>
      <c r="C296" s="4"/>
      <c r="D296" s="4"/>
      <c r="E296" s="34"/>
      <c r="F296" s="34"/>
      <c r="G296" s="17"/>
      <c r="H296" s="207"/>
      <c r="I296" s="34"/>
      <c r="J296" s="34"/>
      <c r="K296" s="133"/>
      <c r="L296" s="17"/>
      <c r="M296" s="8"/>
      <c r="N296" s="34"/>
      <c r="O296" s="498"/>
    </row>
    <row r="297" spans="1:15" s="18" customFormat="1" ht="33" customHeight="1" x14ac:dyDescent="0.3">
      <c r="A297" s="494"/>
      <c r="B297" s="439">
        <v>46158</v>
      </c>
      <c r="C297" s="4"/>
      <c r="D297" s="4"/>
      <c r="E297" s="34"/>
      <c r="F297" s="34"/>
      <c r="G297" s="17"/>
      <c r="H297" s="207"/>
      <c r="I297" s="207"/>
      <c r="J297" s="207"/>
      <c r="K297" s="133"/>
      <c r="L297" s="17"/>
      <c r="M297" s="8"/>
      <c r="N297" s="207"/>
      <c r="O297" s="508"/>
    </row>
    <row r="298" spans="1:15" s="18" customFormat="1" ht="33" customHeight="1" x14ac:dyDescent="0.3">
      <c r="A298" s="495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34"/>
      <c r="O298" s="502"/>
    </row>
    <row r="299" spans="1:15" s="18" customFormat="1" ht="33" customHeight="1" x14ac:dyDescent="0.3">
      <c r="A299" s="496" t="s">
        <v>0</v>
      </c>
      <c r="B299" s="346" t="s">
        <v>1</v>
      </c>
      <c r="C299" s="345" t="s">
        <v>2</v>
      </c>
      <c r="D299" s="345" t="s">
        <v>3</v>
      </c>
      <c r="E299" s="345" t="s">
        <v>4</v>
      </c>
      <c r="F299" s="345" t="s">
        <v>5</v>
      </c>
      <c r="G299" s="345" t="s">
        <v>6</v>
      </c>
      <c r="H299" s="347" t="s">
        <v>7</v>
      </c>
      <c r="I299" s="345" t="s">
        <v>8</v>
      </c>
      <c r="J299" s="345" t="s">
        <v>9</v>
      </c>
      <c r="K299" s="348" t="s">
        <v>10</v>
      </c>
      <c r="L299" s="349" t="s">
        <v>11</v>
      </c>
      <c r="M299" s="345" t="s">
        <v>12</v>
      </c>
      <c r="N299" s="352" t="s">
        <v>13</v>
      </c>
      <c r="O299" s="497" t="s">
        <v>63</v>
      </c>
    </row>
    <row r="300" spans="1:15" s="18" customFormat="1" ht="33" customHeight="1" x14ac:dyDescent="0.3">
      <c r="A300" s="493" t="s">
        <v>4887</v>
      </c>
      <c r="B300" s="439">
        <v>46160</v>
      </c>
      <c r="C300" s="4"/>
      <c r="D300" s="4"/>
      <c r="E300" s="34"/>
      <c r="F300" s="207"/>
      <c r="G300" s="17"/>
      <c r="H300" s="207"/>
      <c r="I300" s="34"/>
      <c r="J300" s="34"/>
      <c r="K300" s="133"/>
      <c r="L300" s="17"/>
      <c r="M300" s="8"/>
      <c r="N300" s="34" t="s">
        <v>5231</v>
      </c>
      <c r="O300" s="501"/>
    </row>
    <row r="301" spans="1:15" s="18" customFormat="1" ht="33" customHeight="1" x14ac:dyDescent="0.3">
      <c r="A301" s="494"/>
      <c r="B301" s="439">
        <v>46160</v>
      </c>
      <c r="C301" s="4"/>
      <c r="D301" s="4"/>
      <c r="E301" s="310"/>
      <c r="F301" s="34"/>
      <c r="G301" s="17"/>
      <c r="H301" s="207"/>
      <c r="I301" s="34"/>
      <c r="J301" s="34"/>
      <c r="K301" s="133"/>
      <c r="L301" s="17"/>
      <c r="M301" s="8"/>
      <c r="N301" s="34"/>
      <c r="O301" s="501"/>
    </row>
    <row r="302" spans="1:15" s="18" customFormat="1" ht="33" customHeight="1" x14ac:dyDescent="0.3">
      <c r="A302" s="494"/>
      <c r="B302" s="439">
        <v>46161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489"/>
      <c r="O302" s="500"/>
    </row>
    <row r="303" spans="1:15" s="18" customFormat="1" ht="33" customHeight="1" x14ac:dyDescent="0.3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 x14ac:dyDescent="0.3">
      <c r="A304" s="494"/>
      <c r="B304" s="439">
        <v>46162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34" t="s">
        <v>5231</v>
      </c>
      <c r="O304" s="500"/>
    </row>
    <row r="305" spans="1:15" s="18" customFormat="1" ht="33" customHeight="1" x14ac:dyDescent="0.3">
      <c r="A305" s="494"/>
      <c r="B305" s="439">
        <v>46162</v>
      </c>
      <c r="C305" s="4"/>
      <c r="D305" s="4"/>
      <c r="E305" s="310"/>
      <c r="F305" s="34"/>
      <c r="G305" s="17"/>
      <c r="H305" s="207"/>
      <c r="I305" s="34"/>
      <c r="J305" s="34"/>
      <c r="K305" s="133"/>
      <c r="L305" s="17"/>
      <c r="M305" s="8"/>
      <c r="N305" s="34"/>
      <c r="O305" s="502"/>
    </row>
    <row r="306" spans="1:15" s="18" customFormat="1" ht="33" customHeight="1" x14ac:dyDescent="0.3">
      <c r="A306" s="494"/>
      <c r="B306" s="439">
        <v>46163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 x14ac:dyDescent="0.3">
      <c r="A307" s="494"/>
      <c r="B307" s="439">
        <v>46163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 x14ac:dyDescent="0.3">
      <c r="A308" s="494"/>
      <c r="B308" s="439">
        <v>46164</v>
      </c>
      <c r="C308" s="4"/>
      <c r="D308" s="4"/>
      <c r="E308" s="34"/>
      <c r="F308" s="310"/>
      <c r="G308" s="17"/>
      <c r="H308" s="207"/>
      <c r="I308" s="34"/>
      <c r="J308" s="207"/>
      <c r="K308" s="133"/>
      <c r="L308" s="17"/>
      <c r="M308" s="8"/>
      <c r="N308" s="34" t="s">
        <v>5231</v>
      </c>
      <c r="O308" s="499"/>
    </row>
    <row r="309" spans="1:15" s="18" customFormat="1" ht="33" customHeight="1" x14ac:dyDescent="0.3">
      <c r="A309" s="494"/>
      <c r="B309" s="439">
        <v>46164</v>
      </c>
      <c r="C309" s="4"/>
      <c r="D309" s="4"/>
      <c r="E309" s="34"/>
      <c r="F309" s="34"/>
      <c r="G309" s="17"/>
      <c r="H309" s="207"/>
      <c r="I309" s="34"/>
      <c r="J309" s="34"/>
      <c r="K309" s="133"/>
      <c r="L309" s="17"/>
      <c r="M309" s="8"/>
      <c r="N309" s="34"/>
      <c r="O309" s="498"/>
    </row>
    <row r="310" spans="1:15" s="18" customFormat="1" ht="33" customHeight="1" x14ac:dyDescent="0.3">
      <c r="A310" s="494"/>
      <c r="B310" s="439">
        <v>46165</v>
      </c>
      <c r="C310" s="4"/>
      <c r="D310" s="4"/>
      <c r="E310" s="34"/>
      <c r="F310" s="34"/>
      <c r="G310" s="17"/>
      <c r="H310" s="207"/>
      <c r="I310" s="207"/>
      <c r="J310" s="207"/>
      <c r="K310" s="133"/>
      <c r="L310" s="17"/>
      <c r="M310" s="8"/>
      <c r="N310" s="207"/>
      <c r="O310" s="508"/>
    </row>
    <row r="311" spans="1:15" s="18" customFormat="1" ht="33" customHeight="1" x14ac:dyDescent="0.3">
      <c r="A311" s="495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34"/>
      <c r="O311" s="502"/>
    </row>
    <row r="312" spans="1:15" s="18" customFormat="1" ht="33" customHeight="1" x14ac:dyDescent="0.3">
      <c r="A312" s="496" t="s">
        <v>0</v>
      </c>
      <c r="B312" s="346" t="s">
        <v>1</v>
      </c>
      <c r="C312" s="345" t="s">
        <v>2</v>
      </c>
      <c r="D312" s="345" t="s">
        <v>3</v>
      </c>
      <c r="E312" s="345" t="s">
        <v>4</v>
      </c>
      <c r="F312" s="345" t="s">
        <v>5</v>
      </c>
      <c r="G312" s="345" t="s">
        <v>6</v>
      </c>
      <c r="H312" s="347" t="s">
        <v>7</v>
      </c>
      <c r="I312" s="345" t="s">
        <v>8</v>
      </c>
      <c r="J312" s="345" t="s">
        <v>9</v>
      </c>
      <c r="K312" s="348" t="s">
        <v>10</v>
      </c>
      <c r="L312" s="349" t="s">
        <v>11</v>
      </c>
      <c r="M312" s="345" t="s">
        <v>12</v>
      </c>
      <c r="N312" s="352" t="s">
        <v>13</v>
      </c>
      <c r="O312" s="497" t="s">
        <v>63</v>
      </c>
    </row>
    <row r="313" spans="1:15" s="18" customFormat="1" ht="33" customHeight="1" x14ac:dyDescent="0.3">
      <c r="A313" s="493" t="s">
        <v>4888</v>
      </c>
      <c r="B313" s="439">
        <v>46167</v>
      </c>
      <c r="C313" s="4"/>
      <c r="D313" s="4"/>
      <c r="E313" s="34"/>
      <c r="F313" s="207"/>
      <c r="G313" s="17"/>
      <c r="H313" s="459" t="s">
        <v>5230</v>
      </c>
      <c r="I313" s="34"/>
      <c r="J313" s="34"/>
      <c r="K313" s="133"/>
      <c r="L313" s="17"/>
      <c r="M313" s="8"/>
      <c r="N313" s="34"/>
      <c r="O313" s="501"/>
    </row>
    <row r="314" spans="1:15" s="18" customFormat="1" ht="33" customHeight="1" x14ac:dyDescent="0.3">
      <c r="A314" s="494"/>
      <c r="B314" s="439">
        <v>46167</v>
      </c>
      <c r="C314" s="4"/>
      <c r="D314" s="4"/>
      <c r="E314" s="310"/>
      <c r="F314" s="34"/>
      <c r="G314" s="17"/>
      <c r="H314" s="207"/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 x14ac:dyDescent="0.3">
      <c r="A315" s="494"/>
      <c r="B315" s="439">
        <v>46168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89"/>
      <c r="O315" s="500"/>
    </row>
    <row r="316" spans="1:15" s="18" customFormat="1" ht="33" customHeight="1" x14ac:dyDescent="0.3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 x14ac:dyDescent="0.3">
      <c r="A317" s="494"/>
      <c r="B317" s="439">
        <v>46169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 x14ac:dyDescent="0.3">
      <c r="A318" s="494"/>
      <c r="B318" s="439">
        <v>46169</v>
      </c>
      <c r="C318" s="4"/>
      <c r="D318" s="4"/>
      <c r="E318" s="310"/>
      <c r="F318" s="34"/>
      <c r="G318" s="17"/>
      <c r="H318" s="207"/>
      <c r="I318" s="34"/>
      <c r="J318" s="34"/>
      <c r="K318" s="133"/>
      <c r="L318" s="17"/>
      <c r="M318" s="8"/>
      <c r="N318" s="34"/>
      <c r="O318" s="502"/>
    </row>
    <row r="319" spans="1:15" s="18" customFormat="1" ht="33" customHeight="1" x14ac:dyDescent="0.3">
      <c r="A319" s="494"/>
      <c r="B319" s="439">
        <v>46170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 x14ac:dyDescent="0.3">
      <c r="A320" s="494"/>
      <c r="B320" s="439">
        <v>46170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 x14ac:dyDescent="0.3">
      <c r="A321" s="494"/>
      <c r="B321" s="439">
        <v>46171</v>
      </c>
      <c r="C321" s="4"/>
      <c r="D321" s="4"/>
      <c r="E321" s="34"/>
      <c r="F321" s="310"/>
      <c r="G321" s="17"/>
      <c r="H321" s="207"/>
      <c r="I321" s="34"/>
      <c r="J321" s="207"/>
      <c r="K321" s="133"/>
      <c r="L321" s="17"/>
      <c r="M321" s="8"/>
      <c r="N321" s="34"/>
      <c r="O321" s="499"/>
    </row>
    <row r="322" spans="1:15" s="18" customFormat="1" ht="33" customHeight="1" x14ac:dyDescent="0.3">
      <c r="A322" s="494"/>
      <c r="B322" s="439">
        <v>46171</v>
      </c>
      <c r="C322" s="4"/>
      <c r="D322" s="4"/>
      <c r="E322" s="34"/>
      <c r="F322" s="34"/>
      <c r="G322" s="17"/>
      <c r="H322" s="207"/>
      <c r="I322" s="34"/>
      <c r="J322" s="34"/>
      <c r="K322" s="133"/>
      <c r="L322" s="17"/>
      <c r="M322" s="8"/>
      <c r="N322" s="34"/>
      <c r="O322" s="498"/>
    </row>
    <row r="323" spans="1:15" s="18" customFormat="1" ht="33" customHeight="1" x14ac:dyDescent="0.3">
      <c r="A323" s="494"/>
      <c r="B323" s="439">
        <v>46172</v>
      </c>
      <c r="C323" s="4"/>
      <c r="D323" s="4"/>
      <c r="E323" s="34"/>
      <c r="F323" s="34"/>
      <c r="G323" s="17"/>
      <c r="H323" s="207"/>
      <c r="I323" s="207"/>
      <c r="J323" s="207"/>
      <c r="K323" s="133"/>
      <c r="L323" s="17"/>
      <c r="M323" s="8"/>
      <c r="N323" s="207"/>
      <c r="O323" s="508"/>
    </row>
    <row r="324" spans="1:15" s="18" customFormat="1" ht="33" customHeight="1" x14ac:dyDescent="0.3">
      <c r="A324" s="495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34"/>
      <c r="O324" s="502"/>
    </row>
    <row r="325" spans="1:15" s="18" customFormat="1" ht="33" customHeight="1" x14ac:dyDescent="0.3">
      <c r="A325" s="496" t="s">
        <v>0</v>
      </c>
      <c r="B325" s="346" t="s">
        <v>1</v>
      </c>
      <c r="C325" s="345" t="s">
        <v>2</v>
      </c>
      <c r="D325" s="345" t="s">
        <v>3</v>
      </c>
      <c r="E325" s="345" t="s">
        <v>4</v>
      </c>
      <c r="F325" s="345" t="s">
        <v>5</v>
      </c>
      <c r="G325" s="345" t="s">
        <v>6</v>
      </c>
      <c r="H325" s="347" t="s">
        <v>7</v>
      </c>
      <c r="I325" s="345" t="s">
        <v>8</v>
      </c>
      <c r="J325" s="345" t="s">
        <v>9</v>
      </c>
      <c r="K325" s="348" t="s">
        <v>10</v>
      </c>
      <c r="L325" s="349" t="s">
        <v>11</v>
      </c>
      <c r="M325" s="345" t="s">
        <v>12</v>
      </c>
      <c r="N325" s="352" t="s">
        <v>13</v>
      </c>
      <c r="O325" s="497" t="s">
        <v>63</v>
      </c>
    </row>
    <row r="326" spans="1:15" s="18" customFormat="1" ht="33" customHeight="1" x14ac:dyDescent="0.3">
      <c r="A326" s="493" t="s">
        <v>4889</v>
      </c>
      <c r="B326" s="439">
        <v>46174</v>
      </c>
      <c r="C326" s="4"/>
      <c r="D326" s="4"/>
      <c r="E326" s="34"/>
      <c r="F326" s="207"/>
      <c r="G326" s="17"/>
      <c r="H326" s="207"/>
      <c r="I326" s="34"/>
      <c r="J326" s="34"/>
      <c r="K326" s="133"/>
      <c r="L326" s="17"/>
      <c r="M326" s="8"/>
      <c r="N326" s="34"/>
      <c r="O326" s="501"/>
    </row>
    <row r="327" spans="1:15" s="18" customFormat="1" ht="33" customHeight="1" x14ac:dyDescent="0.3">
      <c r="A327" s="494"/>
      <c r="B327" s="439">
        <v>46174</v>
      </c>
      <c r="C327" s="4"/>
      <c r="D327" s="4"/>
      <c r="E327" s="310"/>
      <c r="F327" s="34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 x14ac:dyDescent="0.3">
      <c r="A328" s="494"/>
      <c r="B328" s="439">
        <v>46175</v>
      </c>
      <c r="C328" s="4"/>
      <c r="D328" s="4"/>
      <c r="E328" s="34"/>
      <c r="F328" s="34"/>
      <c r="G328" s="17"/>
      <c r="H328" s="207"/>
      <c r="I328" s="34"/>
      <c r="J328" s="207"/>
      <c r="K328" s="133"/>
      <c r="L328" s="17"/>
      <c r="M328" s="8"/>
      <c r="N328" s="489"/>
      <c r="O328" s="500"/>
    </row>
    <row r="329" spans="1:15" s="18" customFormat="1" ht="33" customHeight="1" x14ac:dyDescent="0.3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 x14ac:dyDescent="0.3">
      <c r="A330" s="494"/>
      <c r="B330" s="439">
        <v>46176</v>
      </c>
      <c r="C330" s="4"/>
      <c r="D330" s="4"/>
      <c r="E330" s="34"/>
      <c r="F330" s="34"/>
      <c r="G330" s="17"/>
      <c r="H330" s="459" t="s">
        <v>5424</v>
      </c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 x14ac:dyDescent="0.3">
      <c r="A331" s="494"/>
      <c r="B331" s="439">
        <v>46176</v>
      </c>
      <c r="C331" s="4"/>
      <c r="D331" s="4"/>
      <c r="E331" s="310"/>
      <c r="F331" s="34"/>
      <c r="G331" s="17"/>
      <c r="H331" s="207"/>
      <c r="I331" s="34"/>
      <c r="J331" s="34"/>
      <c r="K331" s="133"/>
      <c r="L331" s="17"/>
      <c r="M331" s="8"/>
      <c r="N331" s="34"/>
      <c r="O331" s="502"/>
    </row>
    <row r="332" spans="1:15" s="18" customFormat="1" ht="33" customHeight="1" x14ac:dyDescent="0.3">
      <c r="A332" s="494"/>
      <c r="B332" s="439">
        <v>46177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 x14ac:dyDescent="0.3">
      <c r="A333" s="494"/>
      <c r="B333" s="439">
        <v>46177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 x14ac:dyDescent="0.3">
      <c r="A334" s="494"/>
      <c r="B334" s="439">
        <v>46178</v>
      </c>
      <c r="C334" s="4"/>
      <c r="D334" s="4"/>
      <c r="E334" s="34"/>
      <c r="F334" s="310"/>
      <c r="G334" s="17"/>
      <c r="H334" s="207"/>
      <c r="I334" s="34"/>
      <c r="J334" s="207"/>
      <c r="K334" s="133"/>
      <c r="L334" s="17"/>
      <c r="M334" s="8"/>
      <c r="N334" s="34"/>
      <c r="O334" s="499"/>
    </row>
    <row r="335" spans="1:15" s="18" customFormat="1" ht="33" customHeight="1" x14ac:dyDescent="0.3">
      <c r="A335" s="494"/>
      <c r="B335" s="439">
        <v>46178</v>
      </c>
      <c r="C335" s="4"/>
      <c r="D335" s="4"/>
      <c r="E335" s="34"/>
      <c r="F335" s="34"/>
      <c r="G335" s="17"/>
      <c r="H335" s="207"/>
      <c r="I335" s="34"/>
      <c r="J335" s="34"/>
      <c r="K335" s="133"/>
      <c r="L335" s="17"/>
      <c r="M335" s="8"/>
      <c r="N335" s="34"/>
      <c r="O335" s="498"/>
    </row>
    <row r="336" spans="1:15" s="18" customFormat="1" ht="33" customHeight="1" x14ac:dyDescent="0.3">
      <c r="A336" s="494"/>
      <c r="B336" s="439">
        <v>46179</v>
      </c>
      <c r="C336" s="4"/>
      <c r="D336" s="4"/>
      <c r="E336" s="34"/>
      <c r="F336" s="34"/>
      <c r="G336" s="17"/>
      <c r="H336" s="207"/>
      <c r="I336" s="207"/>
      <c r="J336" s="207"/>
      <c r="K336" s="133"/>
      <c r="L336" s="17"/>
      <c r="M336" s="8"/>
      <c r="N336" s="207"/>
      <c r="O336" s="508"/>
    </row>
    <row r="337" spans="1:15" s="18" customFormat="1" ht="33" customHeight="1" x14ac:dyDescent="0.3">
      <c r="A337" s="495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34"/>
      <c r="O337" s="502"/>
    </row>
    <row r="338" spans="1:15" s="18" customFormat="1" ht="33" customHeight="1" x14ac:dyDescent="0.3">
      <c r="A338" s="496" t="s">
        <v>0</v>
      </c>
      <c r="B338" s="346" t="s">
        <v>1</v>
      </c>
      <c r="C338" s="345" t="s">
        <v>2</v>
      </c>
      <c r="D338" s="345" t="s">
        <v>3</v>
      </c>
      <c r="E338" s="345" t="s">
        <v>4</v>
      </c>
      <c r="F338" s="345" t="s">
        <v>5</v>
      </c>
      <c r="G338" s="345" t="s">
        <v>6</v>
      </c>
      <c r="H338" s="347" t="s">
        <v>7</v>
      </c>
      <c r="I338" s="345" t="s">
        <v>8</v>
      </c>
      <c r="J338" s="345" t="s">
        <v>9</v>
      </c>
      <c r="K338" s="348" t="s">
        <v>10</v>
      </c>
      <c r="L338" s="349" t="s">
        <v>11</v>
      </c>
      <c r="M338" s="345" t="s">
        <v>12</v>
      </c>
      <c r="N338" s="352" t="s">
        <v>13</v>
      </c>
      <c r="O338" s="497" t="s">
        <v>63</v>
      </c>
    </row>
    <row r="339" spans="1:15" s="18" customFormat="1" ht="33" customHeight="1" x14ac:dyDescent="0.3">
      <c r="A339" s="493" t="s">
        <v>4890</v>
      </c>
      <c r="B339" s="439">
        <v>46181</v>
      </c>
      <c r="C339" s="4"/>
      <c r="D339" s="4"/>
      <c r="E339" s="34"/>
      <c r="F339" s="207"/>
      <c r="G339" s="17"/>
      <c r="H339" s="207"/>
      <c r="I339" s="34"/>
      <c r="J339" s="34"/>
      <c r="K339" s="133"/>
      <c r="L339" s="17"/>
      <c r="M339" s="8"/>
      <c r="N339" s="34"/>
      <c r="O339" s="501"/>
    </row>
    <row r="340" spans="1:15" s="18" customFormat="1" ht="33" customHeight="1" x14ac:dyDescent="0.3">
      <c r="A340" s="494"/>
      <c r="B340" s="439">
        <v>46181</v>
      </c>
      <c r="C340" s="4"/>
      <c r="D340" s="4"/>
      <c r="E340" s="310"/>
      <c r="F340" s="34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 x14ac:dyDescent="0.3">
      <c r="A341" s="494"/>
      <c r="B341" s="439">
        <v>46182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89"/>
      <c r="O341" s="500"/>
    </row>
    <row r="342" spans="1:15" s="18" customFormat="1" ht="33" customHeight="1" x14ac:dyDescent="0.3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 x14ac:dyDescent="0.3">
      <c r="A343" s="494"/>
      <c r="B343" s="439">
        <v>46183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 x14ac:dyDescent="0.3">
      <c r="A344" s="494"/>
      <c r="B344" s="439">
        <v>46183</v>
      </c>
      <c r="C344" s="4"/>
      <c r="D344" s="4"/>
      <c r="E344" s="310"/>
      <c r="F344" s="34"/>
      <c r="G344" s="17"/>
      <c r="H344" s="207"/>
      <c r="I344" s="34"/>
      <c r="J344" s="34"/>
      <c r="K344" s="133"/>
      <c r="L344" s="17"/>
      <c r="M344" s="8"/>
      <c r="N344" s="34"/>
      <c r="O344" s="502"/>
    </row>
    <row r="345" spans="1:15" s="18" customFormat="1" ht="33" customHeight="1" x14ac:dyDescent="0.3">
      <c r="A345" s="494"/>
      <c r="B345" s="439">
        <v>46184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 x14ac:dyDescent="0.3">
      <c r="A346" s="494"/>
      <c r="B346" s="439">
        <v>46184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 x14ac:dyDescent="0.3">
      <c r="A347" s="494"/>
      <c r="B347" s="439">
        <v>46185</v>
      </c>
      <c r="C347" s="4"/>
      <c r="D347" s="4"/>
      <c r="E347" s="34"/>
      <c r="F347" s="310"/>
      <c r="G347" s="17"/>
      <c r="H347" s="207"/>
      <c r="I347" s="34"/>
      <c r="J347" s="207"/>
      <c r="K347" s="133"/>
      <c r="L347" s="17"/>
      <c r="M347" s="8"/>
      <c r="N347" s="34"/>
      <c r="O347" s="499"/>
    </row>
    <row r="348" spans="1:15" s="18" customFormat="1" ht="33" customHeight="1" x14ac:dyDescent="0.3">
      <c r="A348" s="494"/>
      <c r="B348" s="439">
        <v>46185</v>
      </c>
      <c r="C348" s="4"/>
      <c r="D348" s="4"/>
      <c r="E348" s="34"/>
      <c r="F348" s="34"/>
      <c r="G348" s="17"/>
      <c r="H348" s="207"/>
      <c r="I348" s="34"/>
      <c r="J348" s="34"/>
      <c r="K348" s="133"/>
      <c r="L348" s="17"/>
      <c r="M348" s="8"/>
      <c r="N348" s="34"/>
      <c r="O348" s="498"/>
    </row>
    <row r="349" spans="1:15" s="18" customFormat="1" ht="33" customHeight="1" x14ac:dyDescent="0.3">
      <c r="A349" s="494"/>
      <c r="B349" s="439">
        <v>46186</v>
      </c>
      <c r="C349" s="4"/>
      <c r="D349" s="4"/>
      <c r="E349" s="34"/>
      <c r="F349" s="34"/>
      <c r="G349" s="17"/>
      <c r="H349" s="207"/>
      <c r="I349" s="207"/>
      <c r="J349" s="207"/>
      <c r="K349" s="133"/>
      <c r="L349" s="17"/>
      <c r="M349" s="8"/>
      <c r="N349" s="207"/>
      <c r="O349" s="508"/>
    </row>
    <row r="350" spans="1:15" x14ac:dyDescent="0.3">
      <c r="A350" s="494"/>
      <c r="B350" s="439">
        <v>46186</v>
      </c>
      <c r="C350" s="10"/>
      <c r="D350" s="10"/>
      <c r="E350" s="356"/>
      <c r="F350" s="356"/>
      <c r="G350" s="7"/>
      <c r="H350" s="169"/>
      <c r="I350" s="169"/>
      <c r="J350" s="169"/>
      <c r="K350" s="353"/>
      <c r="L350" s="7"/>
      <c r="M350" s="492"/>
      <c r="N350" s="356"/>
      <c r="O350" s="517"/>
    </row>
    <row r="354" spans="2:14" x14ac:dyDescent="0.3">
      <c r="B354" s="415"/>
    </row>
    <row r="355" spans="2:14" x14ac:dyDescent="0.3">
      <c r="B355" s="415"/>
    </row>
    <row r="356" spans="2:14" x14ac:dyDescent="0.3">
      <c r="C356" s="4" t="s">
        <v>21</v>
      </c>
      <c r="D356" s="4" t="s">
        <v>14</v>
      </c>
      <c r="E356" s="34" t="s">
        <v>429</v>
      </c>
      <c r="F356" s="207" t="s">
        <v>3157</v>
      </c>
      <c r="G356" s="17" t="s">
        <v>3129</v>
      </c>
      <c r="H356" s="207" t="s">
        <v>3158</v>
      </c>
      <c r="I356" s="34" t="s">
        <v>3159</v>
      </c>
      <c r="J356" s="207" t="s">
        <v>3160</v>
      </c>
      <c r="K356" s="133" t="s">
        <v>15</v>
      </c>
      <c r="L356" s="17">
        <v>9080</v>
      </c>
      <c r="M356" s="8">
        <v>2</v>
      </c>
      <c r="N356" s="81"/>
    </row>
    <row r="359" spans="2:14" ht="27" x14ac:dyDescent="0.3">
      <c r="C359" s="9" t="s">
        <v>29</v>
      </c>
      <c r="D359" s="9" t="s">
        <v>3007</v>
      </c>
      <c r="E359" s="34" t="s">
        <v>3014</v>
      </c>
      <c r="F359" s="207" t="s">
        <v>3012</v>
      </c>
      <c r="G359" s="17" t="s">
        <v>3013</v>
      </c>
      <c r="H359" s="207" t="s">
        <v>3023</v>
      </c>
      <c r="I359" s="34"/>
      <c r="J359" s="34" t="s">
        <v>643</v>
      </c>
      <c r="K359" s="133" t="s">
        <v>42</v>
      </c>
      <c r="L359" s="17" t="s">
        <v>3078</v>
      </c>
      <c r="M359" s="8">
        <v>2</v>
      </c>
    </row>
    <row r="361" spans="2:14" x14ac:dyDescent="0.3">
      <c r="B361" s="415"/>
    </row>
    <row r="362" spans="2:14" x14ac:dyDescent="0.3">
      <c r="C362" s="4" t="s">
        <v>21</v>
      </c>
      <c r="D362" s="4" t="s">
        <v>14</v>
      </c>
      <c r="E362" s="34" t="s">
        <v>3123</v>
      </c>
      <c r="F362" s="34" t="s">
        <v>1654</v>
      </c>
      <c r="G362" s="17" t="s">
        <v>3130</v>
      </c>
      <c r="H362" s="207" t="s">
        <v>1390</v>
      </c>
      <c r="I362" s="34" t="s">
        <v>3131</v>
      </c>
      <c r="J362" s="34" t="s">
        <v>3132</v>
      </c>
      <c r="K362" s="133" t="s">
        <v>3124</v>
      </c>
      <c r="L362" s="17" t="s">
        <v>33</v>
      </c>
      <c r="M362" s="8">
        <v>2</v>
      </c>
    </row>
    <row r="364" spans="2:14" x14ac:dyDescent="0.3">
      <c r="C364" s="4" t="s">
        <v>21</v>
      </c>
      <c r="D364" s="4" t="s">
        <v>14</v>
      </c>
      <c r="E364" s="34" t="s">
        <v>2257</v>
      </c>
      <c r="F364" s="34" t="s">
        <v>1981</v>
      </c>
      <c r="G364" s="17" t="s">
        <v>2184</v>
      </c>
      <c r="H364" s="207" t="s">
        <v>3081</v>
      </c>
      <c r="I364" s="34" t="s">
        <v>90</v>
      </c>
      <c r="J364" s="34" t="s">
        <v>2973</v>
      </c>
      <c r="K364" s="133" t="s">
        <v>15</v>
      </c>
      <c r="L364" s="17" t="s">
        <v>33</v>
      </c>
      <c r="M364" s="8">
        <v>2</v>
      </c>
    </row>
    <row r="368" spans="2:14" x14ac:dyDescent="0.3">
      <c r="B368" s="63"/>
      <c r="C368" s="63" t="s">
        <v>21</v>
      </c>
      <c r="D368" s="63" t="s">
        <v>14</v>
      </c>
      <c r="E368" s="330" t="s">
        <v>108</v>
      </c>
      <c r="F368" s="330" t="s">
        <v>1978</v>
      </c>
      <c r="G368" s="211" t="s">
        <v>144</v>
      </c>
      <c r="H368" s="329" t="s">
        <v>304</v>
      </c>
      <c r="I368" s="330" t="s">
        <v>2830</v>
      </c>
      <c r="J368" s="330"/>
      <c r="K368" s="328" t="s">
        <v>15</v>
      </c>
      <c r="L368" s="211" t="s">
        <v>33</v>
      </c>
      <c r="M368" s="196">
        <v>2</v>
      </c>
    </row>
    <row r="369" spans="2:15" x14ac:dyDescent="0.3">
      <c r="C369" s="4" t="s">
        <v>21</v>
      </c>
      <c r="D369" s="4" t="s">
        <v>14</v>
      </c>
      <c r="E369" s="34" t="s">
        <v>1796</v>
      </c>
      <c r="F369" s="34" t="s">
        <v>2145</v>
      </c>
      <c r="G369" s="17" t="s">
        <v>143</v>
      </c>
      <c r="H369" s="207" t="s">
        <v>3002</v>
      </c>
      <c r="I369" s="34"/>
      <c r="J369" s="34" t="s">
        <v>1318</v>
      </c>
      <c r="K369" s="133" t="s">
        <v>15</v>
      </c>
      <c r="L369" s="17" t="s">
        <v>91</v>
      </c>
      <c r="M369" s="8">
        <v>1</v>
      </c>
    </row>
    <row r="375" spans="2:15" x14ac:dyDescent="0.3"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2892</v>
      </c>
      <c r="I375" s="207" t="s">
        <v>2792</v>
      </c>
      <c r="J375" s="207"/>
      <c r="K375" s="133" t="s">
        <v>15</v>
      </c>
      <c r="L375" s="17" t="s">
        <v>33</v>
      </c>
      <c r="M375" s="8">
        <v>2</v>
      </c>
    </row>
    <row r="377" spans="2:15" x14ac:dyDescent="0.3">
      <c r="B377" s="344">
        <v>45795</v>
      </c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2563</v>
      </c>
      <c r="I377" s="207" t="s">
        <v>90</v>
      </c>
      <c r="J377" s="207" t="s">
        <v>643</v>
      </c>
      <c r="K377" s="133" t="s">
        <v>15</v>
      </c>
      <c r="L377" s="17" t="s">
        <v>33</v>
      </c>
      <c r="M377" s="8">
        <v>3</v>
      </c>
      <c r="N377" s="34"/>
      <c r="O377" s="342" t="s">
        <v>2915</v>
      </c>
    </row>
    <row r="378" spans="2:15" ht="27" x14ac:dyDescent="0.3">
      <c r="C378" s="4" t="s">
        <v>21</v>
      </c>
      <c r="D378" s="4" t="s">
        <v>17</v>
      </c>
      <c r="E378" s="34" t="s">
        <v>78</v>
      </c>
      <c r="F378" s="34">
        <v>7060</v>
      </c>
      <c r="G378" s="17" t="s">
        <v>2877</v>
      </c>
      <c r="H378" s="207" t="s">
        <v>2926</v>
      </c>
      <c r="I378" s="34" t="s">
        <v>90</v>
      </c>
      <c r="J378" s="207" t="s">
        <v>60</v>
      </c>
      <c r="K378" s="133" t="s">
        <v>15</v>
      </c>
      <c r="L378" s="17" t="s">
        <v>33</v>
      </c>
      <c r="M378" s="8">
        <v>2</v>
      </c>
    </row>
    <row r="380" spans="2:15" x14ac:dyDescent="0.3">
      <c r="C380" s="4" t="s">
        <v>21</v>
      </c>
      <c r="D380" s="4" t="s">
        <v>14</v>
      </c>
      <c r="E380" s="34" t="s">
        <v>3125</v>
      </c>
      <c r="F380" s="34" t="s">
        <v>2914</v>
      </c>
      <c r="G380" s="17" t="s">
        <v>83</v>
      </c>
      <c r="H380" s="207" t="s">
        <v>3126</v>
      </c>
      <c r="I380" s="207"/>
      <c r="J380" s="207" t="s">
        <v>3128</v>
      </c>
      <c r="K380" s="133" t="s">
        <v>15</v>
      </c>
      <c r="L380" s="17" t="s">
        <v>3127</v>
      </c>
      <c r="M380" s="8">
        <v>3</v>
      </c>
    </row>
    <row r="383" spans="2:15" x14ac:dyDescent="0.3">
      <c r="C383" s="4" t="s">
        <v>21</v>
      </c>
      <c r="D383" s="4" t="s">
        <v>14</v>
      </c>
      <c r="E383" s="34" t="s">
        <v>429</v>
      </c>
      <c r="F383" s="207" t="s">
        <v>3157</v>
      </c>
      <c r="G383" s="17" t="s">
        <v>3129</v>
      </c>
      <c r="H383" s="207" t="s">
        <v>3158</v>
      </c>
      <c r="I383" s="34" t="s">
        <v>3159</v>
      </c>
      <c r="J383" s="207" t="s">
        <v>3160</v>
      </c>
      <c r="K383" s="133" t="s">
        <v>15</v>
      </c>
      <c r="L383" s="17">
        <v>9080</v>
      </c>
      <c r="M383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03" t="s">
        <v>162</v>
      </c>
      <c r="B1" s="603" t="s">
        <v>163</v>
      </c>
      <c r="C1" s="601" t="s">
        <v>1</v>
      </c>
      <c r="D1" s="601" t="s">
        <v>2</v>
      </c>
      <c r="E1" s="601" t="s">
        <v>3</v>
      </c>
      <c r="F1" s="28" t="s">
        <v>54</v>
      </c>
      <c r="G1" s="601" t="s">
        <v>5</v>
      </c>
      <c r="H1" s="601" t="s">
        <v>6</v>
      </c>
      <c r="I1" s="601" t="s">
        <v>7</v>
      </c>
      <c r="J1" s="601" t="s">
        <v>55</v>
      </c>
      <c r="K1" s="605" t="s">
        <v>485</v>
      </c>
      <c r="L1" s="607" t="s">
        <v>56</v>
      </c>
      <c r="M1" s="599" t="s">
        <v>57</v>
      </c>
      <c r="N1" s="601" t="s">
        <v>58</v>
      </c>
    </row>
    <row r="2" spans="1:14" hidden="1" x14ac:dyDescent="0.3">
      <c r="A2" s="604"/>
      <c r="B2" s="604"/>
      <c r="C2" s="602"/>
      <c r="D2" s="602"/>
      <c r="E2" s="602"/>
      <c r="F2" s="29" t="s">
        <v>59</v>
      </c>
      <c r="G2" s="602"/>
      <c r="H2" s="602"/>
      <c r="I2" s="602"/>
      <c r="J2" s="602"/>
      <c r="K2" s="606"/>
      <c r="L2" s="608"/>
      <c r="M2" s="600"/>
      <c r="N2" s="602"/>
    </row>
    <row r="3" spans="1:14" ht="27" hidden="1" x14ac:dyDescent="0.3">
      <c r="A3" s="59">
        <v>1</v>
      </c>
      <c r="B3" s="563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 x14ac:dyDescent="0.3">
      <c r="A4" s="59">
        <v>1</v>
      </c>
      <c r="B4" s="5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 x14ac:dyDescent="0.3">
      <c r="A5" s="59">
        <v>1</v>
      </c>
      <c r="B5" s="564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 x14ac:dyDescent="0.3">
      <c r="A6" s="59">
        <v>2</v>
      </c>
      <c r="B6" s="584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 x14ac:dyDescent="0.3">
      <c r="A7" s="59">
        <v>2</v>
      </c>
      <c r="B7" s="585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 x14ac:dyDescent="0.3">
      <c r="A8" s="59">
        <v>2</v>
      </c>
      <c r="B8" s="563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 x14ac:dyDescent="0.3">
      <c r="A9" s="59">
        <v>2</v>
      </c>
      <c r="B9" s="578"/>
      <c r="C9" s="609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 x14ac:dyDescent="0.3">
      <c r="A10" s="59">
        <v>2</v>
      </c>
      <c r="B10" s="578"/>
      <c r="C10" s="6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 x14ac:dyDescent="0.3">
      <c r="A11" s="59">
        <v>2</v>
      </c>
      <c r="B11" s="578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 x14ac:dyDescent="0.3">
      <c r="A12" s="59">
        <v>2</v>
      </c>
      <c r="B12" s="578"/>
      <c r="C12" s="609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 x14ac:dyDescent="0.3">
      <c r="A13" s="59">
        <v>2</v>
      </c>
      <c r="B13" s="578"/>
      <c r="C13" s="611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 x14ac:dyDescent="0.3">
      <c r="A14" s="59">
        <v>2</v>
      </c>
      <c r="B14" s="578"/>
      <c r="C14" s="610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 x14ac:dyDescent="0.3">
      <c r="A15" s="59">
        <v>2</v>
      </c>
      <c r="B15" s="578"/>
      <c r="C15" s="609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 x14ac:dyDescent="0.3">
      <c r="A16" s="59">
        <v>2</v>
      </c>
      <c r="B16" s="578"/>
      <c r="C16" s="610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 x14ac:dyDescent="0.3">
      <c r="A17" s="59">
        <v>2</v>
      </c>
      <c r="B17" s="564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 x14ac:dyDescent="0.3">
      <c r="A18" s="59">
        <v>3</v>
      </c>
      <c r="B18" s="584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 x14ac:dyDescent="0.3">
      <c r="A19" s="59">
        <v>3</v>
      </c>
      <c r="B19" s="585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 x14ac:dyDescent="0.3">
      <c r="A20" s="59">
        <v>3</v>
      </c>
      <c r="B20" s="563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 x14ac:dyDescent="0.3">
      <c r="A21" s="59">
        <v>3</v>
      </c>
      <c r="B21" s="564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 x14ac:dyDescent="0.3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4" t="s">
        <v>197</v>
      </c>
    </row>
    <row r="23" spans="1:17" ht="27" hidden="1" x14ac:dyDescent="0.3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5"/>
    </row>
    <row r="24" spans="1:17" ht="27" hidden="1" x14ac:dyDescent="0.3">
      <c r="A24" s="59">
        <v>4</v>
      </c>
      <c r="B24" s="563" t="s">
        <v>21</v>
      </c>
      <c r="C24" s="56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9" t="s">
        <v>85</v>
      </c>
      <c r="K24" s="582" t="s">
        <v>41</v>
      </c>
      <c r="L24" s="6" t="s">
        <v>15</v>
      </c>
      <c r="M24" s="590">
        <v>180000</v>
      </c>
      <c r="N24" s="49" t="s">
        <v>195</v>
      </c>
    </row>
    <row r="25" spans="1:17" ht="27" hidden="1" x14ac:dyDescent="0.3">
      <c r="A25" s="59">
        <v>4</v>
      </c>
      <c r="B25" s="578"/>
      <c r="C25" s="562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0"/>
      <c r="K25" s="583"/>
      <c r="L25" s="6" t="s">
        <v>15</v>
      </c>
      <c r="M25" s="591"/>
      <c r="N25" s="49" t="s">
        <v>195</v>
      </c>
    </row>
    <row r="26" spans="1:17" hidden="1" x14ac:dyDescent="0.3">
      <c r="A26" s="59">
        <v>4</v>
      </c>
      <c r="B26" s="578"/>
      <c r="C26" s="56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9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 x14ac:dyDescent="0.3">
      <c r="A27" s="59">
        <v>4</v>
      </c>
      <c r="B27" s="564"/>
      <c r="C27" s="562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0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 x14ac:dyDescent="0.3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 x14ac:dyDescent="0.3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 x14ac:dyDescent="0.3">
      <c r="A30" s="59">
        <v>6</v>
      </c>
      <c r="B30" s="563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 x14ac:dyDescent="0.3">
      <c r="A31" s="59">
        <v>6</v>
      </c>
      <c r="B31" s="578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 x14ac:dyDescent="0.3">
      <c r="A32" s="59">
        <v>6</v>
      </c>
      <c r="B32" s="578"/>
      <c r="C32" s="56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9">
        <v>6</v>
      </c>
      <c r="B33" s="578"/>
      <c r="C33" s="562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9">
        <v>6</v>
      </c>
      <c r="B34" s="564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 x14ac:dyDescent="0.3">
      <c r="A35" s="59">
        <v>7</v>
      </c>
      <c r="B35" s="563" t="s">
        <v>20</v>
      </c>
      <c r="C35" s="561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 x14ac:dyDescent="0.3">
      <c r="A36" s="59">
        <v>7</v>
      </c>
      <c r="B36" s="564"/>
      <c r="C36" s="562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 x14ac:dyDescent="0.3">
      <c r="A37" s="59">
        <v>8</v>
      </c>
      <c r="B37" s="563" t="s">
        <v>20</v>
      </c>
      <c r="C37" s="561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 x14ac:dyDescent="0.3">
      <c r="A38" s="59">
        <v>8</v>
      </c>
      <c r="B38" s="564"/>
      <c r="C38" s="562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 x14ac:dyDescent="0.3">
      <c r="A39" s="59">
        <v>9</v>
      </c>
      <c r="B39" s="596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 x14ac:dyDescent="0.3">
      <c r="A40" s="59">
        <v>9</v>
      </c>
      <c r="B40" s="597"/>
      <c r="C40" s="56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 x14ac:dyDescent="0.3">
      <c r="A41" s="59">
        <v>9</v>
      </c>
      <c r="B41" s="597"/>
      <c r="C41" s="562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 x14ac:dyDescent="0.3">
      <c r="A42" s="59">
        <v>9</v>
      </c>
      <c r="B42" s="598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 x14ac:dyDescent="0.3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 x14ac:dyDescent="0.3">
      <c r="A44" s="59">
        <v>10</v>
      </c>
      <c r="B44" s="58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 x14ac:dyDescent="0.3">
      <c r="A45" s="59">
        <v>10</v>
      </c>
      <c r="B45" s="587"/>
      <c r="C45" s="58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 x14ac:dyDescent="0.3">
      <c r="A46" s="59">
        <v>10</v>
      </c>
      <c r="B46" s="587"/>
      <c r="C46" s="594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 x14ac:dyDescent="0.3">
      <c r="A47" s="59">
        <v>10</v>
      </c>
      <c r="B47" s="58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 x14ac:dyDescent="0.3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 x14ac:dyDescent="0.3">
      <c r="A49" s="59">
        <v>11</v>
      </c>
      <c r="B49" s="592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 x14ac:dyDescent="0.3">
      <c r="A50" s="59">
        <v>11</v>
      </c>
      <c r="B50" s="595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 x14ac:dyDescent="0.3">
      <c r="A51" s="59">
        <v>11</v>
      </c>
      <c r="B51" s="595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 x14ac:dyDescent="0.3">
      <c r="A52" s="59">
        <v>11</v>
      </c>
      <c r="B52" s="593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 x14ac:dyDescent="0.3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 x14ac:dyDescent="0.3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 x14ac:dyDescent="0.3">
      <c r="A55" s="59">
        <v>13</v>
      </c>
      <c r="B55" s="592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 x14ac:dyDescent="0.3">
      <c r="A56" s="59">
        <v>13</v>
      </c>
      <c r="B56" s="593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 x14ac:dyDescent="0.3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 x14ac:dyDescent="0.3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 x14ac:dyDescent="0.3">
      <c r="A59" s="59">
        <v>15</v>
      </c>
      <c r="B59" s="563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 x14ac:dyDescent="0.3">
      <c r="A60" s="59">
        <v>15</v>
      </c>
      <c r="B60" s="578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 x14ac:dyDescent="0.3">
      <c r="A61" s="59">
        <v>15</v>
      </c>
      <c r="B61" s="564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 x14ac:dyDescent="0.3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 x14ac:dyDescent="0.3">
      <c r="A63" s="59">
        <v>18</v>
      </c>
      <c r="B63" s="58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 x14ac:dyDescent="0.3">
      <c r="A64" s="59">
        <v>18</v>
      </c>
      <c r="B64" s="58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 x14ac:dyDescent="0.3">
      <c r="A65" s="59">
        <v>18</v>
      </c>
      <c r="B65" s="58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 x14ac:dyDescent="0.3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 x14ac:dyDescent="0.3">
      <c r="A67" s="59">
        <v>19</v>
      </c>
      <c r="B67" s="563" t="s">
        <v>64</v>
      </c>
      <c r="C67" s="561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2" t="s">
        <v>437</v>
      </c>
      <c r="L67" s="6" t="s">
        <v>438</v>
      </c>
      <c r="M67" s="590">
        <v>750000</v>
      </c>
      <c r="N67" s="49" t="s">
        <v>448</v>
      </c>
    </row>
    <row r="68" spans="1:15" ht="27" hidden="1" x14ac:dyDescent="0.3">
      <c r="A68" s="59">
        <v>19</v>
      </c>
      <c r="B68" s="578"/>
      <c r="C68" s="589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3"/>
      <c r="L68" s="6" t="s">
        <v>413</v>
      </c>
      <c r="M68" s="591"/>
      <c r="N68" s="49" t="s">
        <v>447</v>
      </c>
    </row>
    <row r="69" spans="1:15" hidden="1" x14ac:dyDescent="0.3">
      <c r="A69" s="59">
        <v>19</v>
      </c>
      <c r="B69" s="578"/>
      <c r="C69" s="562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 x14ac:dyDescent="0.3">
      <c r="A70" s="59">
        <v>19</v>
      </c>
      <c r="B70" s="578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 x14ac:dyDescent="0.3">
      <c r="A71" s="59">
        <v>19</v>
      </c>
      <c r="B71" s="564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 x14ac:dyDescent="0.3">
      <c r="A72" s="59">
        <v>20</v>
      </c>
      <c r="B72" s="563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 x14ac:dyDescent="0.3">
      <c r="A73" s="59">
        <v>20</v>
      </c>
      <c r="B73" s="578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 x14ac:dyDescent="0.3">
      <c r="A74" s="59">
        <v>20</v>
      </c>
      <c r="B74" s="578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 x14ac:dyDescent="0.3">
      <c r="A75" s="59">
        <v>20</v>
      </c>
      <c r="B75" s="578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 x14ac:dyDescent="0.3">
      <c r="A76" s="59">
        <v>20</v>
      </c>
      <c r="B76" s="564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 x14ac:dyDescent="0.3">
      <c r="A77" s="59">
        <v>20</v>
      </c>
      <c r="B77" s="563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 x14ac:dyDescent="0.3">
      <c r="A78" s="59">
        <v>20</v>
      </c>
      <c r="B78" s="578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 x14ac:dyDescent="0.3">
      <c r="A79" s="59">
        <v>20</v>
      </c>
      <c r="B79" s="564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 x14ac:dyDescent="0.3">
      <c r="A80" s="59">
        <v>21</v>
      </c>
      <c r="B80" s="563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 x14ac:dyDescent="0.3">
      <c r="A81" s="59">
        <v>21</v>
      </c>
      <c r="B81" s="564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 x14ac:dyDescent="0.3">
      <c r="A82" s="59">
        <v>22</v>
      </c>
      <c r="B82" s="56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 x14ac:dyDescent="0.3">
      <c r="A83" s="59">
        <v>22</v>
      </c>
      <c r="B83" s="578"/>
      <c r="C83" s="56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 x14ac:dyDescent="0.3">
      <c r="A84" s="59">
        <v>22</v>
      </c>
      <c r="B84" s="578"/>
      <c r="C84" s="562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 x14ac:dyDescent="0.3">
      <c r="A85" s="59">
        <v>22</v>
      </c>
      <c r="B85" s="578"/>
      <c r="C85" s="561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 x14ac:dyDescent="0.3">
      <c r="A86" s="59">
        <v>22</v>
      </c>
      <c r="B86" s="578"/>
      <c r="C86" s="562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 x14ac:dyDescent="0.3">
      <c r="A87" s="59">
        <v>22</v>
      </c>
      <c r="B87" s="57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 x14ac:dyDescent="0.3">
      <c r="A88" s="59">
        <v>22</v>
      </c>
      <c r="B88" s="57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 x14ac:dyDescent="0.3">
      <c r="A89" s="59">
        <v>22</v>
      </c>
      <c r="B89" s="564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 x14ac:dyDescent="0.3">
      <c r="A90" s="59">
        <v>23</v>
      </c>
      <c r="B90" s="563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 x14ac:dyDescent="0.3">
      <c r="A91" s="59">
        <v>23</v>
      </c>
      <c r="B91" s="564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 x14ac:dyDescent="0.3">
      <c r="A92" s="59">
        <v>24</v>
      </c>
      <c r="B92" s="563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 x14ac:dyDescent="0.3">
      <c r="A93" s="59">
        <v>24</v>
      </c>
      <c r="B93" s="578"/>
      <c r="C93" s="561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 x14ac:dyDescent="0.3">
      <c r="A94" s="59">
        <v>24</v>
      </c>
      <c r="B94" s="578"/>
      <c r="C94" s="589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 x14ac:dyDescent="0.3">
      <c r="A95" s="59">
        <v>24</v>
      </c>
      <c r="B95" s="578"/>
      <c r="C95" s="562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 x14ac:dyDescent="0.3">
      <c r="A96" s="59">
        <v>24</v>
      </c>
      <c r="B96" s="578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 x14ac:dyDescent="0.3">
      <c r="A97" s="59">
        <v>24</v>
      </c>
      <c r="B97" s="564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 x14ac:dyDescent="0.3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 x14ac:dyDescent="0.3">
      <c r="A99" s="59">
        <v>25</v>
      </c>
      <c r="B99" s="563" t="s">
        <v>21</v>
      </c>
      <c r="C99" s="561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 x14ac:dyDescent="0.3">
      <c r="A100" s="59">
        <v>25</v>
      </c>
      <c r="B100" s="578"/>
      <c r="C100" s="562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 x14ac:dyDescent="0.3">
      <c r="A101" s="59">
        <v>25</v>
      </c>
      <c r="B101" s="578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 x14ac:dyDescent="0.3">
      <c r="A102" s="59">
        <v>25</v>
      </c>
      <c r="B102" s="578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 x14ac:dyDescent="0.3">
      <c r="A103" s="59">
        <v>25</v>
      </c>
      <c r="B103" s="564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 x14ac:dyDescent="0.3">
      <c r="A104" s="59">
        <v>26</v>
      </c>
      <c r="B104" s="563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 x14ac:dyDescent="0.3">
      <c r="A105" s="59">
        <v>26</v>
      </c>
      <c r="B105" s="578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 x14ac:dyDescent="0.3">
      <c r="A106" s="59">
        <v>26</v>
      </c>
      <c r="B106" s="578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 x14ac:dyDescent="0.3">
      <c r="A107" s="59">
        <v>26</v>
      </c>
      <c r="B107" s="564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 x14ac:dyDescent="0.3">
      <c r="A108" s="59">
        <v>26</v>
      </c>
      <c r="B108" s="563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 x14ac:dyDescent="0.3">
      <c r="A109" s="59">
        <v>26</v>
      </c>
      <c r="B109" s="564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 x14ac:dyDescent="0.3">
      <c r="A110" s="59">
        <v>27</v>
      </c>
      <c r="B110" s="579" t="s">
        <v>660</v>
      </c>
      <c r="C110" s="579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 x14ac:dyDescent="0.3">
      <c r="A111" s="59">
        <v>27</v>
      </c>
      <c r="B111" s="580"/>
      <c r="C111" s="612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 x14ac:dyDescent="0.3">
      <c r="A112" s="59">
        <v>27</v>
      </c>
      <c r="B112" s="580"/>
      <c r="C112" s="613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 x14ac:dyDescent="0.3">
      <c r="A113" s="59">
        <v>27</v>
      </c>
      <c r="B113" s="612"/>
      <c r="C113" s="612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 x14ac:dyDescent="0.3">
      <c r="A114" s="59">
        <v>27</v>
      </c>
      <c r="B114" s="613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 x14ac:dyDescent="0.3">
      <c r="A115" s="59">
        <v>27</v>
      </c>
      <c r="B115" s="580"/>
      <c r="C115" s="579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 x14ac:dyDescent="0.3">
      <c r="A116" s="59">
        <v>27</v>
      </c>
      <c r="B116" s="581"/>
      <c r="C116" s="612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 x14ac:dyDescent="0.3">
      <c r="A117" s="109">
        <v>28</v>
      </c>
      <c r="B117" s="563" t="s">
        <v>20</v>
      </c>
      <c r="C117" s="62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69" t="s">
        <v>169</v>
      </c>
      <c r="K117" s="582" t="s">
        <v>647</v>
      </c>
      <c r="L117" s="61" t="s">
        <v>210</v>
      </c>
      <c r="M117" s="615">
        <f>250000*5</f>
        <v>1250000</v>
      </c>
      <c r="N117" s="563" t="s">
        <v>122</v>
      </c>
    </row>
    <row r="118" spans="1:14" hidden="1" x14ac:dyDescent="0.3">
      <c r="A118" s="109">
        <v>28</v>
      </c>
      <c r="B118" s="578"/>
      <c r="C118" s="589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1"/>
      <c r="L118" s="61" t="s">
        <v>210</v>
      </c>
      <c r="M118" s="617"/>
      <c r="N118" s="578"/>
    </row>
    <row r="119" spans="1:14" hidden="1" x14ac:dyDescent="0.3">
      <c r="A119" s="109">
        <v>28</v>
      </c>
      <c r="B119" s="578"/>
      <c r="C119" s="589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0"/>
      <c r="K119" s="583"/>
      <c r="L119" s="61" t="s">
        <v>210</v>
      </c>
      <c r="M119" s="616"/>
      <c r="N119" s="564"/>
    </row>
    <row r="120" spans="1:14" hidden="1" x14ac:dyDescent="0.3">
      <c r="A120" s="109">
        <v>28</v>
      </c>
      <c r="B120" s="564"/>
      <c r="C120" s="562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 x14ac:dyDescent="0.3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 x14ac:dyDescent="0.3">
      <c r="A122" s="59">
        <v>29</v>
      </c>
      <c r="B122" s="579" t="s">
        <v>308</v>
      </c>
      <c r="C122" s="579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 x14ac:dyDescent="0.3">
      <c r="A123" s="59">
        <v>29</v>
      </c>
      <c r="B123" s="580"/>
      <c r="C123" s="580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79" t="s">
        <v>666</v>
      </c>
      <c r="K123" s="586" t="s">
        <v>709</v>
      </c>
      <c r="L123" s="118" t="s">
        <v>325</v>
      </c>
      <c r="M123" s="579" t="s">
        <v>710</v>
      </c>
      <c r="N123" s="118"/>
    </row>
    <row r="124" spans="1:14" hidden="1" x14ac:dyDescent="0.3">
      <c r="A124" s="59">
        <v>29</v>
      </c>
      <c r="B124" s="580"/>
      <c r="C124" s="580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0"/>
      <c r="K124" s="587"/>
      <c r="L124" s="118" t="s">
        <v>325</v>
      </c>
      <c r="M124" s="580"/>
      <c r="N124" s="118"/>
    </row>
    <row r="125" spans="1:14" hidden="1" x14ac:dyDescent="0.3">
      <c r="A125" s="59">
        <v>29</v>
      </c>
      <c r="B125" s="580"/>
      <c r="C125" s="580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1"/>
      <c r="K125" s="588"/>
      <c r="L125" s="118" t="s">
        <v>325</v>
      </c>
      <c r="M125" s="581"/>
      <c r="N125" s="118"/>
    </row>
    <row r="126" spans="1:14" hidden="1" x14ac:dyDescent="0.3">
      <c r="A126" s="59">
        <v>29</v>
      </c>
      <c r="B126" s="581"/>
      <c r="C126" s="581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 x14ac:dyDescent="0.3">
      <c r="A127" s="59">
        <v>29</v>
      </c>
      <c r="B127" s="579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 x14ac:dyDescent="0.3">
      <c r="A128" s="59">
        <v>29</v>
      </c>
      <c r="B128" s="580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 x14ac:dyDescent="0.3">
      <c r="A129" s="59">
        <v>29</v>
      </c>
      <c r="B129" s="580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 x14ac:dyDescent="0.3">
      <c r="A130" s="59">
        <v>29</v>
      </c>
      <c r="B130" s="580"/>
      <c r="C130" s="579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 x14ac:dyDescent="0.3">
      <c r="A131" s="59">
        <v>29</v>
      </c>
      <c r="B131" s="580"/>
      <c r="C131" s="581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 x14ac:dyDescent="0.3">
      <c r="A132" s="59">
        <v>29</v>
      </c>
      <c r="B132" s="580"/>
      <c r="C132" s="579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 x14ac:dyDescent="0.3">
      <c r="A133" s="59">
        <v>29</v>
      </c>
      <c r="B133" s="580"/>
      <c r="C133" s="581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 x14ac:dyDescent="0.3">
      <c r="A134" s="59">
        <v>29</v>
      </c>
      <c r="B134" s="581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 x14ac:dyDescent="0.3">
      <c r="A135" s="59">
        <v>30</v>
      </c>
      <c r="B135" s="563" t="s">
        <v>620</v>
      </c>
      <c r="C135" s="561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 x14ac:dyDescent="0.3">
      <c r="A136" s="59">
        <v>30</v>
      </c>
      <c r="B136" s="578"/>
      <c r="C136" s="589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 x14ac:dyDescent="0.3">
      <c r="A137" s="59">
        <v>30</v>
      </c>
      <c r="B137" s="578"/>
      <c r="C137" s="589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 x14ac:dyDescent="0.3">
      <c r="A138" s="59">
        <v>30</v>
      </c>
      <c r="B138" s="564"/>
      <c r="C138" s="562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 x14ac:dyDescent="0.3">
      <c r="A139" s="59">
        <v>30</v>
      </c>
      <c r="B139" s="563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 x14ac:dyDescent="0.3">
      <c r="A140" s="59">
        <v>30</v>
      </c>
      <c r="B140" s="578"/>
      <c r="C140" s="561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 x14ac:dyDescent="0.3">
      <c r="A141" s="59">
        <v>30</v>
      </c>
      <c r="B141" s="578"/>
      <c r="C141" s="562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3" t="s">
        <v>737</v>
      </c>
    </row>
    <row r="142" spans="1:14" hidden="1" x14ac:dyDescent="0.3">
      <c r="A142" s="59">
        <v>30</v>
      </c>
      <c r="B142" s="564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4"/>
    </row>
    <row r="143" spans="1:14" ht="40.5" hidden="1" x14ac:dyDescent="0.3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 x14ac:dyDescent="0.3">
      <c r="A144" s="59">
        <v>31</v>
      </c>
      <c r="B144" s="563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 x14ac:dyDescent="0.3">
      <c r="A145" s="59">
        <v>31</v>
      </c>
      <c r="B145" s="564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 x14ac:dyDescent="0.3">
      <c r="A146" s="59">
        <v>32</v>
      </c>
      <c r="B146" s="563" t="s">
        <v>20</v>
      </c>
      <c r="C146" s="561" t="s">
        <v>871</v>
      </c>
      <c r="D146" s="582" t="s">
        <v>19</v>
      </c>
      <c r="E146" s="618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 x14ac:dyDescent="0.3">
      <c r="A147" s="59">
        <v>32</v>
      </c>
      <c r="B147" s="564"/>
      <c r="C147" s="562"/>
      <c r="D147" s="583"/>
      <c r="E147" s="619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 x14ac:dyDescent="0.3">
      <c r="A148" s="59">
        <v>33</v>
      </c>
      <c r="B148" s="563" t="s">
        <v>124</v>
      </c>
      <c r="C148" s="561" t="s">
        <v>784</v>
      </c>
      <c r="D148" s="582" t="s">
        <v>19</v>
      </c>
      <c r="E148" s="618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 x14ac:dyDescent="0.3">
      <c r="A149" s="59">
        <v>33</v>
      </c>
      <c r="B149" s="564"/>
      <c r="C149" s="562"/>
      <c r="D149" s="583"/>
      <c r="E149" s="619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 x14ac:dyDescent="0.3">
      <c r="A150" s="59">
        <v>33</v>
      </c>
      <c r="B150" s="563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 x14ac:dyDescent="0.3">
      <c r="A151" s="59">
        <v>33</v>
      </c>
      <c r="B151" s="578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 x14ac:dyDescent="0.3">
      <c r="A152" s="59">
        <v>33</v>
      </c>
      <c r="B152" s="564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 x14ac:dyDescent="0.3">
      <c r="A153" s="59">
        <v>34</v>
      </c>
      <c r="B153" s="563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3" t="s">
        <v>248</v>
      </c>
    </row>
    <row r="154" spans="1:14" ht="27" hidden="1" x14ac:dyDescent="0.3">
      <c r="A154" s="59">
        <v>34</v>
      </c>
      <c r="B154" s="578"/>
      <c r="C154" s="56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78"/>
    </row>
    <row r="155" spans="1:14" ht="27" hidden="1" x14ac:dyDescent="0.3">
      <c r="A155" s="59">
        <v>34</v>
      </c>
      <c r="B155" s="578"/>
      <c r="C155" s="562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4"/>
    </row>
    <row r="156" spans="1:14" ht="27" hidden="1" x14ac:dyDescent="0.3">
      <c r="A156" s="59">
        <v>34</v>
      </c>
      <c r="B156" s="578"/>
      <c r="C156" s="56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3" t="s">
        <v>827</v>
      </c>
    </row>
    <row r="157" spans="1:14" ht="27" hidden="1" x14ac:dyDescent="0.3">
      <c r="A157" s="59">
        <v>34</v>
      </c>
      <c r="B157" s="578"/>
      <c r="C157" s="562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78"/>
    </row>
    <row r="158" spans="1:14" ht="27" hidden="1" x14ac:dyDescent="0.3">
      <c r="A158" s="59">
        <v>34</v>
      </c>
      <c r="B158" s="578"/>
      <c r="C158" s="56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78"/>
    </row>
    <row r="159" spans="1:14" ht="27" hidden="1" x14ac:dyDescent="0.3">
      <c r="A159" s="59">
        <v>34</v>
      </c>
      <c r="B159" s="578"/>
      <c r="C159" s="562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78"/>
    </row>
    <row r="160" spans="1:14" ht="27" hidden="1" x14ac:dyDescent="0.3">
      <c r="A160" s="59">
        <v>34</v>
      </c>
      <c r="B160" s="578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78"/>
    </row>
    <row r="161" spans="1:15" ht="27" hidden="1" x14ac:dyDescent="0.3">
      <c r="A161" s="59">
        <v>34</v>
      </c>
      <c r="B161" s="578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4"/>
    </row>
    <row r="162" spans="1:15" ht="27" hidden="1" x14ac:dyDescent="0.3">
      <c r="A162" s="59">
        <v>34</v>
      </c>
      <c r="B162" s="564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 x14ac:dyDescent="0.3">
      <c r="A163" s="59">
        <v>34</v>
      </c>
      <c r="B163" s="563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 x14ac:dyDescent="0.3">
      <c r="A164" s="59">
        <v>34</v>
      </c>
      <c r="B164" s="578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 x14ac:dyDescent="0.3">
      <c r="A165" s="59">
        <v>34</v>
      </c>
      <c r="B165" s="578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 x14ac:dyDescent="0.3">
      <c r="A166" s="59">
        <v>34</v>
      </c>
      <c r="B166" s="564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 x14ac:dyDescent="0.3">
      <c r="A167" s="59">
        <v>35</v>
      </c>
      <c r="B167" s="542" t="s">
        <v>851</v>
      </c>
      <c r="C167" s="558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 x14ac:dyDescent="0.3">
      <c r="A168" s="59">
        <v>35</v>
      </c>
      <c r="B168" s="543"/>
      <c r="C168" s="559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 x14ac:dyDescent="0.3">
      <c r="A169" s="59">
        <v>35</v>
      </c>
      <c r="B169" s="543"/>
      <c r="C169" s="559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 x14ac:dyDescent="0.3">
      <c r="A170" s="59">
        <v>35</v>
      </c>
      <c r="B170" s="544"/>
      <c r="C170" s="560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 x14ac:dyDescent="0.3">
      <c r="A171" s="59">
        <v>35</v>
      </c>
      <c r="B171" s="54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 x14ac:dyDescent="0.3">
      <c r="A172" s="59">
        <v>35</v>
      </c>
      <c r="B172" s="54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 x14ac:dyDescent="0.3">
      <c r="A173" s="59">
        <v>35</v>
      </c>
      <c r="B173" s="54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 x14ac:dyDescent="0.3">
      <c r="A174" s="59">
        <v>35</v>
      </c>
      <c r="B174" s="54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 x14ac:dyDescent="0.3">
      <c r="A175" s="59">
        <v>35</v>
      </c>
      <c r="B175" s="54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 x14ac:dyDescent="0.3">
      <c r="A176" s="59">
        <v>36</v>
      </c>
      <c r="B176" s="54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 x14ac:dyDescent="0.3">
      <c r="A177" s="59">
        <v>36</v>
      </c>
      <c r="B177" s="54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 x14ac:dyDescent="0.3">
      <c r="A178" s="59">
        <v>36</v>
      </c>
      <c r="B178" s="543"/>
      <c r="C178" s="558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 x14ac:dyDescent="0.3">
      <c r="A179" s="59">
        <v>36</v>
      </c>
      <c r="B179" s="544"/>
      <c r="C179" s="56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 x14ac:dyDescent="0.3">
      <c r="A180" s="59">
        <v>36</v>
      </c>
      <c r="B180" s="54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 x14ac:dyDescent="0.3">
      <c r="A181" s="59">
        <v>36</v>
      </c>
      <c r="B181" s="543"/>
      <c r="C181" s="561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69" t="s">
        <v>840</v>
      </c>
      <c r="K181" s="582" t="s">
        <v>987</v>
      </c>
      <c r="L181" s="6" t="s">
        <v>912</v>
      </c>
      <c r="M181" s="615">
        <f>180000+200000+200000</f>
        <v>580000</v>
      </c>
      <c r="N181" s="49" t="s">
        <v>808</v>
      </c>
    </row>
    <row r="182" spans="1:14" hidden="1" x14ac:dyDescent="0.3">
      <c r="A182" s="59">
        <v>36</v>
      </c>
      <c r="B182" s="543"/>
      <c r="C182" s="589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0"/>
      <c r="K182" s="583"/>
      <c r="L182" s="6" t="s">
        <v>913</v>
      </c>
      <c r="M182" s="616"/>
      <c r="N182" s="49" t="s">
        <v>808</v>
      </c>
    </row>
    <row r="183" spans="1:14" hidden="1" x14ac:dyDescent="0.3">
      <c r="A183" s="59">
        <v>36</v>
      </c>
      <c r="B183" s="543"/>
      <c r="C183" s="562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 x14ac:dyDescent="0.3">
      <c r="A184" s="59">
        <v>36</v>
      </c>
      <c r="B184" s="54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 x14ac:dyDescent="0.3">
      <c r="A185" s="59">
        <v>37</v>
      </c>
      <c r="B185" s="54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 x14ac:dyDescent="0.3">
      <c r="A186" s="59">
        <v>37</v>
      </c>
      <c r="B186" s="54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 x14ac:dyDescent="0.3">
      <c r="A187" s="59">
        <v>37</v>
      </c>
      <c r="B187" s="543"/>
      <c r="C187" s="558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 x14ac:dyDescent="0.3">
      <c r="A188" s="59">
        <v>37</v>
      </c>
      <c r="B188" s="544"/>
      <c r="C188" s="560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 x14ac:dyDescent="0.3">
      <c r="A189" s="59">
        <v>37</v>
      </c>
      <c r="B189" s="54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 x14ac:dyDescent="0.3">
      <c r="A190" s="59">
        <v>37</v>
      </c>
      <c r="B190" s="54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 x14ac:dyDescent="0.3">
      <c r="A191" s="59">
        <v>37</v>
      </c>
      <c r="B191" s="54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 x14ac:dyDescent="0.3">
      <c r="A192" s="59">
        <v>38</v>
      </c>
      <c r="B192" s="542" t="s">
        <v>941</v>
      </c>
      <c r="C192" s="558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 x14ac:dyDescent="0.3">
      <c r="A193" s="59">
        <v>38</v>
      </c>
      <c r="B193" s="543"/>
      <c r="C193" s="5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 x14ac:dyDescent="0.3">
      <c r="A194" s="59">
        <v>38</v>
      </c>
      <c r="B194" s="54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 x14ac:dyDescent="0.3">
      <c r="A195" s="59">
        <v>38</v>
      </c>
      <c r="B195" s="54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 x14ac:dyDescent="0.3">
      <c r="A196" s="59">
        <v>38</v>
      </c>
      <c r="B196" s="543"/>
      <c r="C196" s="561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 x14ac:dyDescent="0.3">
      <c r="A197" s="59">
        <v>38</v>
      </c>
      <c r="B197" s="543"/>
      <c r="C197" s="562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 x14ac:dyDescent="0.3">
      <c r="A198" s="59">
        <v>38</v>
      </c>
      <c r="B198" s="543"/>
      <c r="C198" s="561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 x14ac:dyDescent="0.3">
      <c r="A199" s="59">
        <v>38</v>
      </c>
      <c r="B199" s="544"/>
      <c r="C199" s="562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 x14ac:dyDescent="0.3">
      <c r="A200" s="59">
        <v>39</v>
      </c>
      <c r="B200" s="542" t="s">
        <v>20</v>
      </c>
      <c r="C200" s="558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 x14ac:dyDescent="0.3">
      <c r="A201" s="59">
        <v>39</v>
      </c>
      <c r="B201" s="543"/>
      <c r="C201" s="5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 x14ac:dyDescent="0.3">
      <c r="A202" s="59">
        <v>39</v>
      </c>
      <c r="B202" s="543"/>
      <c r="C202" s="558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 x14ac:dyDescent="0.3">
      <c r="A203" s="59">
        <v>39</v>
      </c>
      <c r="B203" s="544"/>
      <c r="C203" s="560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 x14ac:dyDescent="0.3">
      <c r="A204" s="59">
        <v>39</v>
      </c>
      <c r="B204" s="54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 x14ac:dyDescent="0.3">
      <c r="A205" s="59">
        <v>39</v>
      </c>
      <c r="B205" s="54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 x14ac:dyDescent="0.3">
      <c r="A206" s="59">
        <v>39</v>
      </c>
      <c r="B206" s="54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 x14ac:dyDescent="0.3">
      <c r="A207" s="59">
        <v>41</v>
      </c>
      <c r="B207" s="542" t="s">
        <v>20</v>
      </c>
      <c r="C207" s="558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 x14ac:dyDescent="0.3">
      <c r="A208" s="59">
        <v>41</v>
      </c>
      <c r="B208" s="543"/>
      <c r="C208" s="5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 x14ac:dyDescent="0.3">
      <c r="A209" s="59">
        <v>41</v>
      </c>
      <c r="B209" s="54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 x14ac:dyDescent="0.3">
      <c r="A210" s="59">
        <v>41</v>
      </c>
      <c r="B210" s="54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 x14ac:dyDescent="0.3">
      <c r="A211" s="59">
        <v>41</v>
      </c>
      <c r="B211" s="54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 x14ac:dyDescent="0.3">
      <c r="A212" s="59">
        <v>42</v>
      </c>
      <c r="B212" s="54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 x14ac:dyDescent="0.3">
      <c r="A213" s="59">
        <v>42</v>
      </c>
      <c r="B213" s="54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 x14ac:dyDescent="0.3">
      <c r="A214" s="59">
        <v>42</v>
      </c>
      <c r="B214" s="54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 x14ac:dyDescent="0.3">
      <c r="A215" s="59">
        <v>42</v>
      </c>
      <c r="B215" s="54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 x14ac:dyDescent="0.3">
      <c r="A216" s="59">
        <v>42</v>
      </c>
      <c r="B216" s="54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 x14ac:dyDescent="0.3">
      <c r="A217" s="59">
        <v>42</v>
      </c>
      <c r="B217" s="54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 x14ac:dyDescent="0.3">
      <c r="A218" s="59">
        <v>43</v>
      </c>
      <c r="B218" s="542" t="s">
        <v>20</v>
      </c>
      <c r="C218" s="558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 x14ac:dyDescent="0.3">
      <c r="A219" s="59">
        <v>43</v>
      </c>
      <c r="B219" s="543"/>
      <c r="C219" s="5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 x14ac:dyDescent="0.3">
      <c r="A220" s="59">
        <v>43</v>
      </c>
      <c r="B220" s="54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 x14ac:dyDescent="0.3">
      <c r="A221" s="59">
        <v>43</v>
      </c>
      <c r="B221" s="54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 x14ac:dyDescent="0.3">
      <c r="A222" s="59">
        <v>43</v>
      </c>
      <c r="B222" s="54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 x14ac:dyDescent="0.3">
      <c r="A223" s="59">
        <v>43</v>
      </c>
      <c r="B223" s="54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 x14ac:dyDescent="0.3">
      <c r="A224" s="59">
        <v>44</v>
      </c>
      <c r="B224" s="54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 x14ac:dyDescent="0.3">
      <c r="A225" s="59">
        <v>44</v>
      </c>
      <c r="B225" s="54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3" t="s">
        <v>248</v>
      </c>
    </row>
    <row r="226" spans="1:14" hidden="1" x14ac:dyDescent="0.3">
      <c r="A226" s="59">
        <v>44</v>
      </c>
      <c r="B226" s="54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78"/>
    </row>
    <row r="227" spans="1:14" hidden="1" x14ac:dyDescent="0.3">
      <c r="A227" s="59">
        <v>44</v>
      </c>
      <c r="B227" s="54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4"/>
    </row>
    <row r="228" spans="1:14" hidden="1" x14ac:dyDescent="0.3">
      <c r="A228" s="59">
        <v>44</v>
      </c>
      <c r="B228" s="54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 x14ac:dyDescent="0.3">
      <c r="A229" s="59">
        <v>44</v>
      </c>
      <c r="B229" s="54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 x14ac:dyDescent="0.3">
      <c r="A230" s="59">
        <v>45</v>
      </c>
      <c r="B230" s="54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 x14ac:dyDescent="0.3">
      <c r="A231" s="59">
        <v>45</v>
      </c>
      <c r="B231" s="54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 x14ac:dyDescent="0.3">
      <c r="A232" s="59">
        <v>45</v>
      </c>
      <c r="B232" s="54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 x14ac:dyDescent="0.3">
      <c r="A233" s="59">
        <v>45</v>
      </c>
      <c r="B233" s="54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 x14ac:dyDescent="0.3">
      <c r="A234" s="59">
        <v>45</v>
      </c>
      <c r="B234" s="54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 x14ac:dyDescent="0.3">
      <c r="A235" s="59">
        <v>45</v>
      </c>
      <c r="B235" s="54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 x14ac:dyDescent="0.3">
      <c r="A236" s="59">
        <v>46</v>
      </c>
      <c r="B236" s="54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 x14ac:dyDescent="0.3">
      <c r="A237" s="59">
        <v>46</v>
      </c>
      <c r="B237" s="54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 x14ac:dyDescent="0.3">
      <c r="A238" s="59">
        <v>46</v>
      </c>
      <c r="B238" s="54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 x14ac:dyDescent="0.3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 x14ac:dyDescent="0.3">
      <c r="A240" s="59">
        <v>46</v>
      </c>
      <c r="B240" s="54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 x14ac:dyDescent="0.3">
      <c r="A241" s="59">
        <v>46</v>
      </c>
      <c r="B241" s="54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 x14ac:dyDescent="0.3">
      <c r="A242" s="59">
        <v>46</v>
      </c>
      <c r="B242" s="54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 x14ac:dyDescent="0.3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 x14ac:dyDescent="0.3">
      <c r="A244" s="59">
        <v>47</v>
      </c>
      <c r="B244" s="54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 x14ac:dyDescent="0.3">
      <c r="A245" s="59">
        <v>47</v>
      </c>
      <c r="B245" s="54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 x14ac:dyDescent="0.3">
      <c r="A246" s="59">
        <v>47</v>
      </c>
      <c r="B246" s="54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 x14ac:dyDescent="0.3">
      <c r="A247" s="59">
        <v>47</v>
      </c>
      <c r="B247" s="54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 x14ac:dyDescent="0.3">
      <c r="A248" s="59">
        <v>48</v>
      </c>
      <c r="B248" s="54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 x14ac:dyDescent="0.3">
      <c r="A249" s="59">
        <v>48</v>
      </c>
      <c r="B249" s="543"/>
      <c r="C249" s="558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3" t="s">
        <v>248</v>
      </c>
    </row>
    <row r="250" spans="1:14" hidden="1" x14ac:dyDescent="0.3">
      <c r="A250" s="59">
        <v>48</v>
      </c>
      <c r="B250" s="544"/>
      <c r="C250" s="5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4"/>
    </row>
    <row r="251" spans="1:14" hidden="1" x14ac:dyDescent="0.3">
      <c r="A251" s="59">
        <v>48</v>
      </c>
      <c r="B251" s="54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 x14ac:dyDescent="0.3">
      <c r="A252" s="59">
        <v>48</v>
      </c>
      <c r="B252" s="54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 x14ac:dyDescent="0.3">
      <c r="A253" s="59">
        <v>48</v>
      </c>
      <c r="B253" s="54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 x14ac:dyDescent="0.3">
      <c r="A254" s="59">
        <v>48</v>
      </c>
      <c r="B254" s="54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 x14ac:dyDescent="0.3">
      <c r="A255" s="59">
        <v>49</v>
      </c>
      <c r="B255" s="54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 x14ac:dyDescent="0.3">
      <c r="A256" s="59">
        <v>49</v>
      </c>
      <c r="B256" s="543"/>
      <c r="C256" s="558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3" t="s">
        <v>248</v>
      </c>
    </row>
    <row r="257" spans="1:14" hidden="1" x14ac:dyDescent="0.3">
      <c r="A257" s="59">
        <v>49</v>
      </c>
      <c r="B257" s="544"/>
      <c r="C257" s="5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4"/>
    </row>
    <row r="258" spans="1:14" ht="40.5" hidden="1" x14ac:dyDescent="0.3">
      <c r="A258" s="59">
        <v>49</v>
      </c>
      <c r="B258" s="54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 x14ac:dyDescent="0.3">
      <c r="A259" s="59">
        <v>49</v>
      </c>
      <c r="B259" s="54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 x14ac:dyDescent="0.3">
      <c r="A260" s="59">
        <v>49</v>
      </c>
      <c r="B260" s="551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 x14ac:dyDescent="0.3">
      <c r="A261" s="59">
        <v>49</v>
      </c>
      <c r="B261" s="552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9" t="s">
        <v>1105</v>
      </c>
    </row>
    <row r="262" spans="1:14" ht="25.5" hidden="1" x14ac:dyDescent="0.3">
      <c r="A262" s="140">
        <v>49</v>
      </c>
      <c r="B262" s="553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0"/>
    </row>
    <row r="263" spans="1:14" ht="16.5" hidden="1" customHeight="1" x14ac:dyDescent="0.3">
      <c r="A263" s="59">
        <v>50</v>
      </c>
      <c r="B263" s="542" t="s">
        <v>20</v>
      </c>
      <c r="C263" s="558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 x14ac:dyDescent="0.3">
      <c r="A264" s="59">
        <v>50</v>
      </c>
      <c r="B264" s="543"/>
      <c r="C264" s="559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 x14ac:dyDescent="0.3">
      <c r="A265" s="59">
        <v>50</v>
      </c>
      <c r="B265" s="543"/>
      <c r="C265" s="559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 x14ac:dyDescent="0.3">
      <c r="A266" s="59">
        <v>50</v>
      </c>
      <c r="B266" s="543"/>
      <c r="C266" s="559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 x14ac:dyDescent="0.3">
      <c r="A267" s="59">
        <v>50</v>
      </c>
      <c r="B267" s="544"/>
      <c r="C267" s="5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 x14ac:dyDescent="0.3">
      <c r="A268" s="59">
        <v>51</v>
      </c>
      <c r="B268" s="551" t="s">
        <v>660</v>
      </c>
      <c r="C268" s="54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 x14ac:dyDescent="0.3">
      <c r="A269" s="59">
        <v>51</v>
      </c>
      <c r="B269" s="552"/>
      <c r="C269" s="614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 x14ac:dyDescent="0.3">
      <c r="A270" s="59">
        <v>51</v>
      </c>
      <c r="B270" s="553"/>
      <c r="C270" s="55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 x14ac:dyDescent="0.3">
      <c r="A271" s="59">
        <v>52</v>
      </c>
      <c r="B271" s="542" t="s">
        <v>20</v>
      </c>
      <c r="C271" s="558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 x14ac:dyDescent="0.3">
      <c r="A272" s="59">
        <v>52</v>
      </c>
      <c r="B272" s="543"/>
      <c r="C272" s="5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 x14ac:dyDescent="0.3">
      <c r="A273" s="59">
        <v>52</v>
      </c>
      <c r="B273" s="543"/>
      <c r="C273" s="5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 x14ac:dyDescent="0.3">
      <c r="A274" s="59">
        <v>52</v>
      </c>
      <c r="B274" s="54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 x14ac:dyDescent="0.3">
      <c r="A275" s="59">
        <v>52</v>
      </c>
      <c r="B275" s="543"/>
      <c r="C275" s="558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 x14ac:dyDescent="0.3">
      <c r="A276" s="59">
        <v>52</v>
      </c>
      <c r="B276" s="543"/>
      <c r="C276" s="560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 x14ac:dyDescent="0.3">
      <c r="A277" s="59">
        <v>52</v>
      </c>
      <c r="B277" s="54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 x14ac:dyDescent="0.3">
      <c r="A278" s="573" t="s">
        <v>1199</v>
      </c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5"/>
    </row>
    <row r="279" spans="1:15" ht="16.5" hidden="1" customHeight="1" x14ac:dyDescent="0.3">
      <c r="A279" s="59">
        <v>1</v>
      </c>
      <c r="B279" s="542" t="s">
        <v>20</v>
      </c>
      <c r="C279" s="558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 x14ac:dyDescent="0.3">
      <c r="A280" s="59">
        <v>1</v>
      </c>
      <c r="B280" s="544"/>
      <c r="C280" s="5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 x14ac:dyDescent="0.3">
      <c r="A281" s="59">
        <v>1</v>
      </c>
      <c r="B281" s="542" t="s">
        <v>64</v>
      </c>
      <c r="C281" s="558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 x14ac:dyDescent="0.3">
      <c r="A282" s="59">
        <v>1</v>
      </c>
      <c r="B282" s="543"/>
      <c r="C282" s="560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 x14ac:dyDescent="0.3">
      <c r="A283" s="59">
        <v>1</v>
      </c>
      <c r="B283" s="543"/>
      <c r="C283" s="558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69" t="s">
        <v>1177</v>
      </c>
      <c r="K283" s="571" t="s">
        <v>1191</v>
      </c>
      <c r="L283" s="6" t="s">
        <v>1179</v>
      </c>
      <c r="M283" s="103">
        <v>500000</v>
      </c>
      <c r="N283" s="49" t="s">
        <v>1194</v>
      </c>
    </row>
    <row r="284" spans="1:15" hidden="1" x14ac:dyDescent="0.3">
      <c r="A284" s="59">
        <v>1</v>
      </c>
      <c r="B284" s="543"/>
      <c r="C284" s="560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0"/>
      <c r="K284" s="572"/>
      <c r="L284" s="6" t="s">
        <v>1178</v>
      </c>
      <c r="M284" s="103">
        <v>500000</v>
      </c>
      <c r="N284" s="49" t="s">
        <v>1194</v>
      </c>
    </row>
    <row r="285" spans="1:15" hidden="1" x14ac:dyDescent="0.3">
      <c r="A285" s="59">
        <v>1</v>
      </c>
      <c r="B285" s="54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 x14ac:dyDescent="0.3">
      <c r="A286" s="59">
        <v>1</v>
      </c>
      <c r="B286" s="54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 x14ac:dyDescent="0.3">
      <c r="A287" s="59">
        <v>2</v>
      </c>
      <c r="B287" s="576" t="s">
        <v>124</v>
      </c>
      <c r="C287" s="54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 x14ac:dyDescent="0.3">
      <c r="A288" s="59">
        <v>2</v>
      </c>
      <c r="B288" s="577"/>
      <c r="C288" s="55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 x14ac:dyDescent="0.3">
      <c r="A289" s="59">
        <v>2</v>
      </c>
      <c r="B289" s="551" t="s">
        <v>64</v>
      </c>
      <c r="C289" s="54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 x14ac:dyDescent="0.3">
      <c r="A290" s="59">
        <v>2</v>
      </c>
      <c r="B290" s="552"/>
      <c r="C290" s="567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 x14ac:dyDescent="0.3">
      <c r="A291" s="59">
        <v>2</v>
      </c>
      <c r="B291" s="552"/>
      <c r="C291" s="56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9" t="s">
        <v>640</v>
      </c>
      <c r="K291" s="565" t="s">
        <v>673</v>
      </c>
      <c r="L291" s="156" t="s">
        <v>310</v>
      </c>
      <c r="M291" s="549" t="s">
        <v>674</v>
      </c>
      <c r="N291" s="156" t="s">
        <v>725</v>
      </c>
    </row>
    <row r="292" spans="1:15" hidden="1" x14ac:dyDescent="0.3">
      <c r="A292" s="59">
        <v>2</v>
      </c>
      <c r="B292" s="552"/>
      <c r="C292" s="567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0"/>
      <c r="K292" s="566"/>
      <c r="L292" s="156" t="s">
        <v>310</v>
      </c>
      <c r="M292" s="550"/>
      <c r="N292" s="156" t="s">
        <v>725</v>
      </c>
    </row>
    <row r="293" spans="1:15" hidden="1" x14ac:dyDescent="0.3">
      <c r="A293" s="59">
        <v>2</v>
      </c>
      <c r="B293" s="552"/>
      <c r="C293" s="56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 x14ac:dyDescent="0.3">
      <c r="A294" s="59">
        <v>2</v>
      </c>
      <c r="B294" s="552"/>
      <c r="C294" s="55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 x14ac:dyDescent="0.3">
      <c r="A295" s="59">
        <v>2</v>
      </c>
      <c r="B295" s="553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 x14ac:dyDescent="0.3">
      <c r="A296" s="59">
        <v>3</v>
      </c>
      <c r="B296" s="542" t="s">
        <v>20</v>
      </c>
      <c r="C296" s="558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 x14ac:dyDescent="0.3">
      <c r="A297" s="59">
        <v>3</v>
      </c>
      <c r="B297" s="543"/>
      <c r="C297" s="559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 x14ac:dyDescent="0.3">
      <c r="A298" s="59">
        <v>3</v>
      </c>
      <c r="B298" s="544"/>
      <c r="C298" s="560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 x14ac:dyDescent="0.3">
      <c r="A299" s="59">
        <v>3</v>
      </c>
      <c r="B299" s="54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 x14ac:dyDescent="0.3">
      <c r="A300" s="59">
        <v>3</v>
      </c>
      <c r="B300" s="54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 x14ac:dyDescent="0.3">
      <c r="A301" s="59">
        <v>3</v>
      </c>
      <c r="B301" s="54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 x14ac:dyDescent="0.3">
      <c r="A302" s="59">
        <v>4</v>
      </c>
      <c r="B302" s="542" t="s">
        <v>20</v>
      </c>
      <c r="C302" s="558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 x14ac:dyDescent="0.3">
      <c r="A303" s="59">
        <v>4</v>
      </c>
      <c r="B303" s="543"/>
      <c r="C303" s="559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 x14ac:dyDescent="0.3">
      <c r="A304" s="59">
        <v>4</v>
      </c>
      <c r="B304" s="543"/>
      <c r="C304" s="559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 x14ac:dyDescent="0.3">
      <c r="A305" s="59">
        <v>4</v>
      </c>
      <c r="B305" s="543"/>
      <c r="C305" s="559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 x14ac:dyDescent="0.3">
      <c r="A306" s="59">
        <v>4</v>
      </c>
      <c r="B306" s="544"/>
      <c r="C306" s="560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 x14ac:dyDescent="0.3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 x14ac:dyDescent="0.3">
      <c r="A308" s="59">
        <v>5</v>
      </c>
      <c r="B308" s="542" t="s">
        <v>20</v>
      </c>
      <c r="C308" s="558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 x14ac:dyDescent="0.3">
      <c r="A309" s="59">
        <v>5</v>
      </c>
      <c r="B309" s="544"/>
      <c r="C309" s="560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 x14ac:dyDescent="0.3">
      <c r="A310" s="59">
        <v>5</v>
      </c>
      <c r="B310" s="54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 x14ac:dyDescent="0.3">
      <c r="A311" s="59">
        <v>5</v>
      </c>
      <c r="B311" s="54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 x14ac:dyDescent="0.3">
      <c r="A312" s="59">
        <v>5</v>
      </c>
      <c r="B312" s="54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 x14ac:dyDescent="0.3">
      <c r="A313" s="59">
        <v>6</v>
      </c>
      <c r="B313" s="551" t="s">
        <v>308</v>
      </c>
      <c r="C313" s="54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 x14ac:dyDescent="0.3">
      <c r="A314" s="59">
        <v>6</v>
      </c>
      <c r="B314" s="553"/>
      <c r="C314" s="55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 x14ac:dyDescent="0.3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 x14ac:dyDescent="0.3">
      <c r="A316" s="59">
        <v>7</v>
      </c>
      <c r="B316" s="542" t="s">
        <v>20</v>
      </c>
      <c r="C316" s="558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 x14ac:dyDescent="0.3">
      <c r="A317" s="59">
        <v>7</v>
      </c>
      <c r="B317" s="543"/>
      <c r="C317" s="559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 x14ac:dyDescent="0.3">
      <c r="A318" s="59">
        <v>7</v>
      </c>
      <c r="B318" s="544"/>
      <c r="C318" s="560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 x14ac:dyDescent="0.3">
      <c r="A319" s="59">
        <v>7</v>
      </c>
      <c r="B319" s="54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 x14ac:dyDescent="0.3">
      <c r="A320" s="59">
        <v>7</v>
      </c>
      <c r="B320" s="54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 x14ac:dyDescent="0.3">
      <c r="A321" s="59">
        <v>7</v>
      </c>
      <c r="B321" s="54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 x14ac:dyDescent="0.3">
      <c r="A322" s="59">
        <v>8</v>
      </c>
      <c r="B322" s="542" t="s">
        <v>20</v>
      </c>
      <c r="C322" s="558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 x14ac:dyDescent="0.3">
      <c r="A323" s="59">
        <v>8</v>
      </c>
      <c r="B323" s="544"/>
      <c r="C323" s="560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 x14ac:dyDescent="0.3">
      <c r="A324" s="59">
        <v>8</v>
      </c>
      <c r="B324" s="54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 x14ac:dyDescent="0.3">
      <c r="A325" s="59">
        <v>8</v>
      </c>
      <c r="B325" s="54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 x14ac:dyDescent="0.3">
      <c r="A326" s="59">
        <v>8</v>
      </c>
      <c r="B326" s="54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 x14ac:dyDescent="0.3">
      <c r="A327" s="59">
        <v>8</v>
      </c>
      <c r="B327" s="54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 x14ac:dyDescent="0.3">
      <c r="A328" s="59">
        <v>8</v>
      </c>
      <c r="B328" s="54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 x14ac:dyDescent="0.3">
      <c r="A329" s="59">
        <v>9</v>
      </c>
      <c r="B329" s="542" t="s">
        <v>20</v>
      </c>
      <c r="C329" s="558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 x14ac:dyDescent="0.3">
      <c r="A330" s="59">
        <v>9</v>
      </c>
      <c r="B330" s="543"/>
      <c r="C330" s="559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 x14ac:dyDescent="0.3">
      <c r="A331" s="59">
        <v>9</v>
      </c>
      <c r="B331" s="544"/>
      <c r="C331" s="560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 x14ac:dyDescent="0.3">
      <c r="A332" s="59">
        <v>9</v>
      </c>
      <c r="B332" s="54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 x14ac:dyDescent="0.3">
      <c r="A333" s="59">
        <v>9</v>
      </c>
      <c r="B333" s="54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 x14ac:dyDescent="0.3">
      <c r="A334" s="59">
        <v>10</v>
      </c>
      <c r="B334" s="542" t="s">
        <v>20</v>
      </c>
      <c r="C334" s="558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 x14ac:dyDescent="0.3">
      <c r="A335" s="59">
        <v>10</v>
      </c>
      <c r="B335" s="543"/>
      <c r="C335" s="559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 x14ac:dyDescent="0.3">
      <c r="A336" s="59">
        <v>10</v>
      </c>
      <c r="B336" s="543"/>
      <c r="C336" s="559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 x14ac:dyDescent="0.3">
      <c r="A337" s="59">
        <v>10</v>
      </c>
      <c r="B337" s="544"/>
      <c r="C337" s="560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 x14ac:dyDescent="0.3">
      <c r="A338" s="59">
        <v>10</v>
      </c>
      <c r="B338" s="54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 x14ac:dyDescent="0.3">
      <c r="A339" s="59">
        <v>10</v>
      </c>
      <c r="B339" s="54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 x14ac:dyDescent="0.3">
      <c r="A340" s="59">
        <v>10</v>
      </c>
      <c r="B340" s="54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 x14ac:dyDescent="0.3">
      <c r="A341" s="59">
        <v>10</v>
      </c>
      <c r="B341" s="54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 x14ac:dyDescent="0.3">
      <c r="A342" s="59">
        <v>11</v>
      </c>
      <c r="B342" s="542" t="s">
        <v>20</v>
      </c>
      <c r="C342" s="558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 x14ac:dyDescent="0.3">
      <c r="A343" s="59">
        <v>11</v>
      </c>
      <c r="B343" s="543"/>
      <c r="C343" s="560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 x14ac:dyDescent="0.3">
      <c r="A344" s="59">
        <v>11</v>
      </c>
      <c r="B344" s="54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 x14ac:dyDescent="0.3">
      <c r="A345" s="59">
        <v>11</v>
      </c>
      <c r="B345" s="54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 x14ac:dyDescent="0.3">
      <c r="A346" s="59">
        <v>11</v>
      </c>
      <c r="B346" s="54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 x14ac:dyDescent="0.3">
      <c r="A347" s="59">
        <v>11</v>
      </c>
      <c r="B347" s="54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 x14ac:dyDescent="0.3">
      <c r="A348" s="59">
        <v>11</v>
      </c>
      <c r="B348" s="54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 x14ac:dyDescent="0.3">
      <c r="A349" s="59">
        <v>11</v>
      </c>
      <c r="B349" s="543"/>
      <c r="C349" s="56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 x14ac:dyDescent="0.3">
      <c r="A350" s="59">
        <v>11</v>
      </c>
      <c r="B350" s="544"/>
      <c r="C350" s="562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 x14ac:dyDescent="0.3">
      <c r="A351" s="59">
        <v>12</v>
      </c>
      <c r="B351" s="551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 x14ac:dyDescent="0.3">
      <c r="A352" s="59">
        <v>12</v>
      </c>
      <c r="B352" s="552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 x14ac:dyDescent="0.3">
      <c r="A353" s="59">
        <v>12</v>
      </c>
      <c r="B353" s="552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 x14ac:dyDescent="0.3">
      <c r="A354" s="59">
        <v>12</v>
      </c>
      <c r="B354" s="552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 x14ac:dyDescent="0.3">
      <c r="A355" s="59">
        <v>12</v>
      </c>
      <c r="B355" s="553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 x14ac:dyDescent="0.3">
      <c r="A356" s="59">
        <v>12</v>
      </c>
      <c r="B356" s="551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 x14ac:dyDescent="0.3">
      <c r="A357" s="59">
        <v>12</v>
      </c>
      <c r="B357" s="552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 x14ac:dyDescent="0.3">
      <c r="A358" s="59">
        <v>12</v>
      </c>
      <c r="B358" s="552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 x14ac:dyDescent="0.3">
      <c r="A359" s="59">
        <v>12</v>
      </c>
      <c r="B359" s="553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 x14ac:dyDescent="0.3">
      <c r="A360" s="59">
        <v>13</v>
      </c>
      <c r="B360" s="54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 x14ac:dyDescent="0.3">
      <c r="A361" s="59">
        <v>13</v>
      </c>
      <c r="B361" s="54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 x14ac:dyDescent="0.3">
      <c r="A362" s="59">
        <v>13</v>
      </c>
      <c r="B362" s="54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 x14ac:dyDescent="0.3">
      <c r="A363" s="59">
        <v>13</v>
      </c>
      <c r="B363" s="54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 x14ac:dyDescent="0.3">
      <c r="A364" s="59">
        <v>13</v>
      </c>
      <c r="B364" s="54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 x14ac:dyDescent="0.3">
      <c r="A365" s="59">
        <v>13</v>
      </c>
      <c r="B365" s="54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 x14ac:dyDescent="0.3">
      <c r="A366" s="59">
        <v>13</v>
      </c>
      <c r="B366" s="54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 x14ac:dyDescent="0.3">
      <c r="A367" s="59">
        <v>13</v>
      </c>
      <c r="B367" s="54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 x14ac:dyDescent="0.3">
      <c r="A368" s="59">
        <v>13</v>
      </c>
      <c r="B368" s="54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 x14ac:dyDescent="0.3">
      <c r="A369" s="59">
        <v>14</v>
      </c>
      <c r="B369" s="54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 x14ac:dyDescent="0.3">
      <c r="A370" s="59">
        <v>14</v>
      </c>
      <c r="B370" s="54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 x14ac:dyDescent="0.3">
      <c r="A371" s="59">
        <v>14</v>
      </c>
      <c r="B371" s="54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 x14ac:dyDescent="0.3">
      <c r="A372" s="59">
        <v>14</v>
      </c>
      <c r="B372" s="54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 x14ac:dyDescent="0.3">
      <c r="A373" s="59">
        <v>14</v>
      </c>
      <c r="B373" s="54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 x14ac:dyDescent="0.3">
      <c r="A374" s="59">
        <v>14</v>
      </c>
      <c r="B374" s="54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 x14ac:dyDescent="0.3">
      <c r="A375" s="213" t="s">
        <v>1544</v>
      </c>
      <c r="B375" s="551" t="s">
        <v>308</v>
      </c>
      <c r="C375" s="136" t="s">
        <v>1536</v>
      </c>
      <c r="D375" s="549" t="s">
        <v>307</v>
      </c>
      <c r="E375" s="549" t="s">
        <v>323</v>
      </c>
      <c r="F375" s="549" t="s">
        <v>308</v>
      </c>
      <c r="G375" s="554">
        <v>4266</v>
      </c>
      <c r="H375" s="549" t="s">
        <v>642</v>
      </c>
      <c r="I375" s="554" t="s">
        <v>1538</v>
      </c>
      <c r="J375" s="549" t="s">
        <v>1539</v>
      </c>
      <c r="K375" s="556" t="s">
        <v>694</v>
      </c>
      <c r="L375" s="549" t="s">
        <v>325</v>
      </c>
      <c r="M375" s="549" t="s">
        <v>1540</v>
      </c>
      <c r="N375" s="549" t="s">
        <v>427</v>
      </c>
    </row>
    <row r="376" spans="1:19" hidden="1" x14ac:dyDescent="0.3">
      <c r="A376" s="213" t="s">
        <v>1544</v>
      </c>
      <c r="B376" s="552"/>
      <c r="C376" s="137" t="s">
        <v>1537</v>
      </c>
      <c r="D376" s="550"/>
      <c r="E376" s="550"/>
      <c r="F376" s="550"/>
      <c r="G376" s="555"/>
      <c r="H376" s="550"/>
      <c r="I376" s="555"/>
      <c r="J376" s="550"/>
      <c r="K376" s="557"/>
      <c r="L376" s="550"/>
      <c r="M376" s="550"/>
      <c r="N376" s="550"/>
    </row>
    <row r="377" spans="1:19" hidden="1" x14ac:dyDescent="0.3">
      <c r="A377" s="213" t="s">
        <v>1544</v>
      </c>
      <c r="B377" s="552"/>
      <c r="C377" s="136" t="s">
        <v>1541</v>
      </c>
      <c r="D377" s="549" t="s">
        <v>307</v>
      </c>
      <c r="E377" s="549" t="s">
        <v>323</v>
      </c>
      <c r="F377" s="549" t="s">
        <v>308</v>
      </c>
      <c r="G377" s="554">
        <v>3306</v>
      </c>
      <c r="H377" s="549" t="s">
        <v>1156</v>
      </c>
      <c r="I377" s="554" t="s">
        <v>1543</v>
      </c>
      <c r="J377" s="549" t="s">
        <v>1539</v>
      </c>
      <c r="K377" s="556" t="s">
        <v>694</v>
      </c>
      <c r="L377" s="549" t="s">
        <v>325</v>
      </c>
      <c r="M377" s="549" t="s">
        <v>1540</v>
      </c>
      <c r="N377" s="549" t="s">
        <v>427</v>
      </c>
    </row>
    <row r="378" spans="1:19" hidden="1" x14ac:dyDescent="0.3">
      <c r="A378" s="213" t="s">
        <v>1544</v>
      </c>
      <c r="B378" s="553"/>
      <c r="C378" s="137" t="s">
        <v>1542</v>
      </c>
      <c r="D378" s="550"/>
      <c r="E378" s="550"/>
      <c r="F378" s="550"/>
      <c r="G378" s="555"/>
      <c r="H378" s="550"/>
      <c r="I378" s="555"/>
      <c r="J378" s="550"/>
      <c r="K378" s="557"/>
      <c r="L378" s="550"/>
      <c r="M378" s="550"/>
      <c r="N378" s="550"/>
    </row>
    <row r="379" spans="1:19" ht="27" hidden="1" customHeight="1" x14ac:dyDescent="0.3">
      <c r="A379" s="131">
        <v>15</v>
      </c>
      <c r="B379" s="54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 x14ac:dyDescent="0.3">
      <c r="A380" s="131">
        <v>15</v>
      </c>
      <c r="B380" s="54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 x14ac:dyDescent="0.3">
      <c r="A381" s="131">
        <v>15</v>
      </c>
      <c r="B381" s="54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 x14ac:dyDescent="0.3">
      <c r="A382" s="131">
        <v>15</v>
      </c>
      <c r="B382" s="54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 x14ac:dyDescent="0.3">
      <c r="A383" s="131">
        <v>15</v>
      </c>
      <c r="B383" s="54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 x14ac:dyDescent="0.3">
      <c r="A384" s="131">
        <v>15</v>
      </c>
      <c r="B384" s="54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 x14ac:dyDescent="0.3">
      <c r="A385" s="131">
        <v>16</v>
      </c>
      <c r="B385" s="54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 x14ac:dyDescent="0.3">
      <c r="A386" s="131">
        <v>16</v>
      </c>
      <c r="B386" s="54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 x14ac:dyDescent="0.3">
      <c r="A387" s="131">
        <v>16</v>
      </c>
      <c r="B387" s="54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 x14ac:dyDescent="0.3">
      <c r="A388" s="131">
        <v>16</v>
      </c>
      <c r="B388" s="54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 x14ac:dyDescent="0.3">
      <c r="A389" s="131">
        <v>16</v>
      </c>
      <c r="B389" s="54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 x14ac:dyDescent="0.3">
      <c r="A390" s="131">
        <v>16</v>
      </c>
      <c r="B390" s="54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 x14ac:dyDescent="0.3">
      <c r="A391" s="131">
        <v>16</v>
      </c>
      <c r="B391" s="54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 x14ac:dyDescent="0.3">
      <c r="A392" s="131">
        <v>16</v>
      </c>
      <c r="B392" s="54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 x14ac:dyDescent="0.3">
      <c r="A393" s="131">
        <v>17</v>
      </c>
      <c r="B393" s="54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 x14ac:dyDescent="0.3">
      <c r="A394" s="131">
        <v>17</v>
      </c>
      <c r="B394" s="54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 x14ac:dyDescent="0.3">
      <c r="A395" s="131">
        <v>17</v>
      </c>
      <c r="B395" s="54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 x14ac:dyDescent="0.3">
      <c r="A396" s="131">
        <v>17</v>
      </c>
      <c r="B396" s="54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 x14ac:dyDescent="0.3">
      <c r="A397" s="131">
        <v>17</v>
      </c>
      <c r="B397" s="54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 x14ac:dyDescent="0.3">
      <c r="A398" s="131">
        <v>17</v>
      </c>
      <c r="B398" s="54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 x14ac:dyDescent="0.3">
      <c r="A399" s="131">
        <v>17</v>
      </c>
      <c r="B399" s="54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 x14ac:dyDescent="0.3">
      <c r="A400" s="131">
        <v>17</v>
      </c>
      <c r="B400" s="54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 x14ac:dyDescent="0.3">
      <c r="A401" s="131">
        <v>17</v>
      </c>
      <c r="B401" s="54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 x14ac:dyDescent="0.3">
      <c r="A402" s="131">
        <v>17</v>
      </c>
      <c r="B402" s="54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 x14ac:dyDescent="0.3">
      <c r="A403" s="131">
        <v>18</v>
      </c>
      <c r="B403" s="533" t="s">
        <v>1791</v>
      </c>
      <c r="C403" s="242" t="s">
        <v>1757</v>
      </c>
      <c r="D403" s="545" t="s">
        <v>307</v>
      </c>
      <c r="E403" s="545" t="s">
        <v>323</v>
      </c>
      <c r="F403" s="545" t="s">
        <v>308</v>
      </c>
      <c r="G403" s="547">
        <v>3306</v>
      </c>
      <c r="H403" s="545" t="s">
        <v>1156</v>
      </c>
      <c r="I403" s="547" t="s">
        <v>1758</v>
      </c>
      <c r="J403" s="545" t="s">
        <v>666</v>
      </c>
      <c r="K403" s="623" t="s">
        <v>1291</v>
      </c>
      <c r="L403" s="545" t="s">
        <v>325</v>
      </c>
      <c r="M403" s="545" t="s">
        <v>1759</v>
      </c>
      <c r="N403" s="545" t="s">
        <v>667</v>
      </c>
    </row>
    <row r="404" spans="1:14" hidden="1" x14ac:dyDescent="0.3">
      <c r="A404" s="131">
        <v>18</v>
      </c>
      <c r="B404" s="534"/>
      <c r="C404" s="242" t="s">
        <v>1760</v>
      </c>
      <c r="D404" s="546"/>
      <c r="E404" s="546"/>
      <c r="F404" s="546"/>
      <c r="G404" s="548"/>
      <c r="H404" s="546"/>
      <c r="I404" s="548"/>
      <c r="J404" s="546"/>
      <c r="K404" s="624"/>
      <c r="L404" s="546"/>
      <c r="M404" s="546"/>
      <c r="N404" s="546"/>
    </row>
    <row r="405" spans="1:14" ht="22.5" hidden="1" x14ac:dyDescent="0.3">
      <c r="A405" s="131">
        <v>18</v>
      </c>
      <c r="B405" s="53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 x14ac:dyDescent="0.3">
      <c r="A406" s="131">
        <v>18</v>
      </c>
      <c r="B406" s="534"/>
      <c r="C406" s="242" t="s">
        <v>1764</v>
      </c>
      <c r="D406" s="545" t="s">
        <v>307</v>
      </c>
      <c r="E406" s="545" t="s">
        <v>323</v>
      </c>
      <c r="F406" s="545" t="s">
        <v>308</v>
      </c>
      <c r="G406" s="547" t="s">
        <v>1765</v>
      </c>
      <c r="H406" s="545" t="s">
        <v>349</v>
      </c>
      <c r="I406" s="547" t="s">
        <v>1157</v>
      </c>
      <c r="J406" s="545" t="s">
        <v>666</v>
      </c>
      <c r="K406" s="545" t="s">
        <v>1766</v>
      </c>
      <c r="L406" s="545" t="s">
        <v>325</v>
      </c>
      <c r="M406" s="545" t="s">
        <v>1767</v>
      </c>
      <c r="N406" s="545" t="s">
        <v>667</v>
      </c>
    </row>
    <row r="407" spans="1:14" hidden="1" x14ac:dyDescent="0.3">
      <c r="A407" s="131">
        <v>18</v>
      </c>
      <c r="B407" s="534"/>
      <c r="C407" s="242" t="s">
        <v>1768</v>
      </c>
      <c r="D407" s="546"/>
      <c r="E407" s="546"/>
      <c r="F407" s="546"/>
      <c r="G407" s="548"/>
      <c r="H407" s="546"/>
      <c r="I407" s="548"/>
      <c r="J407" s="546"/>
      <c r="K407" s="546"/>
      <c r="L407" s="546"/>
      <c r="M407" s="546"/>
      <c r="N407" s="546"/>
    </row>
    <row r="408" spans="1:14" ht="16.5" hidden="1" customHeight="1" x14ac:dyDescent="0.3">
      <c r="A408" s="131">
        <v>18</v>
      </c>
      <c r="B408" s="534"/>
      <c r="C408" s="244" t="s">
        <v>1769</v>
      </c>
      <c r="D408" s="545" t="s">
        <v>307</v>
      </c>
      <c r="E408" s="545" t="s">
        <v>323</v>
      </c>
      <c r="F408" s="545" t="s">
        <v>308</v>
      </c>
      <c r="G408" s="547" t="s">
        <v>1770</v>
      </c>
      <c r="H408" s="545" t="s">
        <v>330</v>
      </c>
      <c r="I408" s="547" t="s">
        <v>1771</v>
      </c>
      <c r="J408" s="545" t="s">
        <v>666</v>
      </c>
      <c r="K408" s="545" t="s">
        <v>1772</v>
      </c>
      <c r="L408" s="545" t="s">
        <v>325</v>
      </c>
      <c r="M408" s="545" t="s">
        <v>1773</v>
      </c>
      <c r="N408" s="545" t="s">
        <v>1774</v>
      </c>
    </row>
    <row r="409" spans="1:14" hidden="1" x14ac:dyDescent="0.3">
      <c r="A409" s="131">
        <v>18</v>
      </c>
      <c r="B409" s="535"/>
      <c r="C409" s="242" t="s">
        <v>1775</v>
      </c>
      <c r="D409" s="546"/>
      <c r="E409" s="546"/>
      <c r="F409" s="546"/>
      <c r="G409" s="548"/>
      <c r="H409" s="546"/>
      <c r="I409" s="548"/>
      <c r="J409" s="546"/>
      <c r="K409" s="546"/>
      <c r="L409" s="546"/>
      <c r="M409" s="546"/>
      <c r="N409" s="546"/>
    </row>
    <row r="410" spans="1:14" ht="16.5" hidden="1" customHeight="1" x14ac:dyDescent="0.3">
      <c r="A410" s="131">
        <v>18</v>
      </c>
      <c r="B410" s="533" t="s">
        <v>254</v>
      </c>
      <c r="C410" s="625" t="s">
        <v>1776</v>
      </c>
      <c r="D410" s="545" t="s">
        <v>312</v>
      </c>
      <c r="E410" s="545" t="s">
        <v>321</v>
      </c>
      <c r="F410" s="545" t="s">
        <v>711</v>
      </c>
      <c r="G410" s="545" t="s">
        <v>1777</v>
      </c>
      <c r="H410" s="625" t="s">
        <v>1778</v>
      </c>
      <c r="I410" s="243" t="s">
        <v>1779</v>
      </c>
      <c r="J410" s="545"/>
      <c r="K410" s="627" t="s">
        <v>1780</v>
      </c>
      <c r="L410" s="545" t="s">
        <v>310</v>
      </c>
      <c r="M410" s="545" t="s">
        <v>1773</v>
      </c>
      <c r="N410" s="545" t="s">
        <v>1781</v>
      </c>
    </row>
    <row r="411" spans="1:14" hidden="1" x14ac:dyDescent="0.3">
      <c r="A411" s="131">
        <v>18</v>
      </c>
      <c r="B411" s="534"/>
      <c r="C411" s="626"/>
      <c r="D411" s="546"/>
      <c r="E411" s="546"/>
      <c r="F411" s="546"/>
      <c r="G411" s="546"/>
      <c r="H411" s="626"/>
      <c r="I411" s="243" t="s">
        <v>1782</v>
      </c>
      <c r="J411" s="546"/>
      <c r="K411" s="628"/>
      <c r="L411" s="546"/>
      <c r="M411" s="546"/>
      <c r="N411" s="546"/>
    </row>
    <row r="412" spans="1:14" ht="22.5" hidden="1" x14ac:dyDescent="0.3">
      <c r="A412" s="131">
        <v>18</v>
      </c>
      <c r="B412" s="53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 x14ac:dyDescent="0.3">
      <c r="A413" s="131">
        <v>18</v>
      </c>
      <c r="B413" s="534"/>
      <c r="C413" s="625" t="s">
        <v>1785</v>
      </c>
      <c r="D413" s="625" t="s">
        <v>702</v>
      </c>
      <c r="E413" s="545" t="s">
        <v>677</v>
      </c>
      <c r="F413" s="625" t="s">
        <v>1786</v>
      </c>
      <c r="G413" s="625" t="s">
        <v>1787</v>
      </c>
      <c r="H413" s="625" t="s">
        <v>664</v>
      </c>
      <c r="I413" s="243" t="s">
        <v>1788</v>
      </c>
      <c r="J413" s="545" t="s">
        <v>640</v>
      </c>
      <c r="K413" s="545" t="s">
        <v>733</v>
      </c>
      <c r="L413" s="545" t="s">
        <v>310</v>
      </c>
      <c r="M413" s="545" t="s">
        <v>1789</v>
      </c>
      <c r="N413" s="545" t="s">
        <v>1790</v>
      </c>
    </row>
    <row r="414" spans="1:14" hidden="1" x14ac:dyDescent="0.3">
      <c r="A414" s="131">
        <v>18</v>
      </c>
      <c r="B414" s="535"/>
      <c r="C414" s="626"/>
      <c r="D414" s="626"/>
      <c r="E414" s="546"/>
      <c r="F414" s="626"/>
      <c r="G414" s="626"/>
      <c r="H414" s="626"/>
      <c r="I414" s="27"/>
      <c r="J414" s="546"/>
      <c r="K414" s="546"/>
      <c r="L414" s="546"/>
      <c r="M414" s="546"/>
      <c r="N414" s="546"/>
    </row>
    <row r="415" spans="1:14" ht="16.5" hidden="1" customHeight="1" x14ac:dyDescent="0.3">
      <c r="A415" s="131">
        <v>19</v>
      </c>
      <c r="B415" s="533" t="s">
        <v>20</v>
      </c>
      <c r="C415" s="156" t="s">
        <v>1803</v>
      </c>
      <c r="D415" s="549" t="s">
        <v>307</v>
      </c>
      <c r="E415" s="549" t="s">
        <v>323</v>
      </c>
      <c r="F415" s="549" t="s">
        <v>308</v>
      </c>
      <c r="G415" s="554" t="s">
        <v>1805</v>
      </c>
      <c r="H415" s="549" t="s">
        <v>1806</v>
      </c>
      <c r="I415" s="554" t="s">
        <v>1801</v>
      </c>
      <c r="J415" s="549" t="s">
        <v>666</v>
      </c>
      <c r="K415" s="156" t="s">
        <v>1525</v>
      </c>
      <c r="L415" s="549" t="s">
        <v>325</v>
      </c>
      <c r="M415" s="549" t="s">
        <v>1808</v>
      </c>
      <c r="N415" s="549" t="s">
        <v>667</v>
      </c>
    </row>
    <row r="416" spans="1:14" hidden="1" x14ac:dyDescent="0.3">
      <c r="A416" s="131">
        <v>19</v>
      </c>
      <c r="B416" s="534"/>
      <c r="C416" s="156" t="s">
        <v>1804</v>
      </c>
      <c r="D416" s="550"/>
      <c r="E416" s="550"/>
      <c r="F416" s="550"/>
      <c r="G416" s="555"/>
      <c r="H416" s="550"/>
      <c r="I416" s="555"/>
      <c r="J416" s="550"/>
      <c r="K416" s="156" t="s">
        <v>1807</v>
      </c>
      <c r="L416" s="550"/>
      <c r="M416" s="550"/>
      <c r="N416" s="550"/>
    </row>
    <row r="417" spans="1:14" hidden="1" x14ac:dyDescent="0.3">
      <c r="A417" s="131">
        <v>19</v>
      </c>
      <c r="B417" s="534"/>
      <c r="C417" s="156" t="s">
        <v>1809</v>
      </c>
      <c r="D417" s="549" t="s">
        <v>307</v>
      </c>
      <c r="E417" s="549" t="s">
        <v>323</v>
      </c>
      <c r="F417" s="549" t="s">
        <v>308</v>
      </c>
      <c r="G417" s="554" t="s">
        <v>1810</v>
      </c>
      <c r="H417" s="549" t="s">
        <v>1811</v>
      </c>
      <c r="I417" s="554" t="s">
        <v>1812</v>
      </c>
      <c r="J417" s="549" t="s">
        <v>666</v>
      </c>
      <c r="K417" s="565" t="s">
        <v>1158</v>
      </c>
      <c r="L417" s="549" t="s">
        <v>325</v>
      </c>
      <c r="M417" s="549" t="s">
        <v>1813</v>
      </c>
      <c r="N417" s="549" t="s">
        <v>667</v>
      </c>
    </row>
    <row r="418" spans="1:14" hidden="1" x14ac:dyDescent="0.3">
      <c r="A418" s="131">
        <v>19</v>
      </c>
      <c r="B418" s="535"/>
      <c r="C418" s="156" t="s">
        <v>1804</v>
      </c>
      <c r="D418" s="550"/>
      <c r="E418" s="550"/>
      <c r="F418" s="550"/>
      <c r="G418" s="555"/>
      <c r="H418" s="550"/>
      <c r="I418" s="555"/>
      <c r="J418" s="550"/>
      <c r="K418" s="566"/>
      <c r="L418" s="550"/>
      <c r="M418" s="550"/>
      <c r="N418" s="550"/>
    </row>
    <row r="419" spans="1:14" ht="16.5" hidden="1" customHeight="1" x14ac:dyDescent="0.3">
      <c r="A419" s="131">
        <v>19</v>
      </c>
      <c r="B419" s="533" t="s">
        <v>21</v>
      </c>
      <c r="C419" s="579" t="s">
        <v>1814</v>
      </c>
      <c r="D419" s="579" t="s">
        <v>702</v>
      </c>
      <c r="E419" s="549" t="s">
        <v>677</v>
      </c>
      <c r="F419" s="579" t="s">
        <v>1815</v>
      </c>
      <c r="G419" s="579" t="s">
        <v>1816</v>
      </c>
      <c r="H419" s="579" t="s">
        <v>664</v>
      </c>
      <c r="I419" s="554" t="s">
        <v>1817</v>
      </c>
      <c r="J419" s="549"/>
      <c r="K419" s="629" t="s">
        <v>1818</v>
      </c>
      <c r="L419" s="549" t="s">
        <v>310</v>
      </c>
      <c r="M419" s="549" t="s">
        <v>1819</v>
      </c>
      <c r="N419" s="157" t="s">
        <v>1820</v>
      </c>
    </row>
    <row r="420" spans="1:14" hidden="1" x14ac:dyDescent="0.3">
      <c r="A420" s="131">
        <v>19</v>
      </c>
      <c r="B420" s="534"/>
      <c r="C420" s="581"/>
      <c r="D420" s="581"/>
      <c r="E420" s="550"/>
      <c r="F420" s="581"/>
      <c r="G420" s="581"/>
      <c r="H420" s="581"/>
      <c r="I420" s="555"/>
      <c r="J420" s="550"/>
      <c r="K420" s="630"/>
      <c r="L420" s="550"/>
      <c r="M420" s="550"/>
      <c r="N420" s="157" t="s">
        <v>1821</v>
      </c>
    </row>
    <row r="421" spans="1:14" hidden="1" x14ac:dyDescent="0.3">
      <c r="A421" s="131">
        <v>19</v>
      </c>
      <c r="B421" s="534"/>
      <c r="C421" s="631" t="s">
        <v>1822</v>
      </c>
      <c r="D421" s="579" t="s">
        <v>702</v>
      </c>
      <c r="E421" s="549" t="s">
        <v>321</v>
      </c>
      <c r="F421" s="549" t="s">
        <v>338</v>
      </c>
      <c r="G421" s="579" t="s">
        <v>355</v>
      </c>
      <c r="H421" s="579" t="s">
        <v>1823</v>
      </c>
      <c r="I421" s="554" t="s">
        <v>1824</v>
      </c>
      <c r="J421" s="549" t="s">
        <v>640</v>
      </c>
      <c r="K421" s="633" t="s">
        <v>694</v>
      </c>
      <c r="L421" s="549" t="s">
        <v>310</v>
      </c>
      <c r="M421" s="549" t="s">
        <v>1825</v>
      </c>
      <c r="N421" s="156" t="s">
        <v>1826</v>
      </c>
    </row>
    <row r="422" spans="1:14" hidden="1" x14ac:dyDescent="0.3">
      <c r="A422" s="131">
        <v>19</v>
      </c>
      <c r="B422" s="534"/>
      <c r="C422" s="632"/>
      <c r="D422" s="581"/>
      <c r="E422" s="550"/>
      <c r="F422" s="550"/>
      <c r="G422" s="581"/>
      <c r="H422" s="581"/>
      <c r="I422" s="555"/>
      <c r="J422" s="550"/>
      <c r="K422" s="634"/>
      <c r="L422" s="550"/>
      <c r="M422" s="550"/>
      <c r="N422" s="156" t="s">
        <v>1827</v>
      </c>
    </row>
    <row r="423" spans="1:14" hidden="1" x14ac:dyDescent="0.3">
      <c r="A423" s="131">
        <v>19</v>
      </c>
      <c r="B423" s="53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 x14ac:dyDescent="0.3">
      <c r="A424" s="131">
        <v>19</v>
      </c>
      <c r="B424" s="534"/>
      <c r="C424" s="579" t="s">
        <v>1829</v>
      </c>
      <c r="D424" s="579" t="s">
        <v>702</v>
      </c>
      <c r="E424" s="549" t="s">
        <v>321</v>
      </c>
      <c r="F424" s="549" t="s">
        <v>711</v>
      </c>
      <c r="G424" s="549" t="s">
        <v>1777</v>
      </c>
      <c r="H424" s="579" t="s">
        <v>1830</v>
      </c>
      <c r="I424" s="157" t="s">
        <v>1831</v>
      </c>
      <c r="J424" s="549" t="s">
        <v>640</v>
      </c>
      <c r="K424" s="549" t="s">
        <v>694</v>
      </c>
      <c r="L424" s="549" t="s">
        <v>310</v>
      </c>
      <c r="M424" s="549" t="s">
        <v>1540</v>
      </c>
      <c r="N424" s="554" t="s">
        <v>1833</v>
      </c>
    </row>
    <row r="425" spans="1:14" hidden="1" x14ac:dyDescent="0.3">
      <c r="A425" s="131">
        <v>19</v>
      </c>
      <c r="B425" s="534"/>
      <c r="C425" s="581"/>
      <c r="D425" s="581"/>
      <c r="E425" s="550"/>
      <c r="F425" s="550"/>
      <c r="G425" s="550"/>
      <c r="H425" s="581"/>
      <c r="I425" s="157" t="s">
        <v>1832</v>
      </c>
      <c r="J425" s="550"/>
      <c r="K425" s="550"/>
      <c r="L425" s="550"/>
      <c r="M425" s="550"/>
      <c r="N425" s="555"/>
    </row>
    <row r="426" spans="1:14" hidden="1" x14ac:dyDescent="0.3">
      <c r="A426" s="131">
        <v>19</v>
      </c>
      <c r="B426" s="53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 x14ac:dyDescent="0.3">
      <c r="A427" s="131">
        <v>20</v>
      </c>
      <c r="B427" s="53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 x14ac:dyDescent="0.3">
      <c r="A428" s="131">
        <v>20</v>
      </c>
      <c r="B428" s="53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 x14ac:dyDescent="0.3">
      <c r="A429" s="131">
        <v>20</v>
      </c>
      <c r="B429" s="53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 x14ac:dyDescent="0.3">
      <c r="A430" s="131">
        <v>20</v>
      </c>
      <c r="B430" s="53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 x14ac:dyDescent="0.3">
      <c r="A431" s="131">
        <v>20</v>
      </c>
      <c r="B431" s="53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 x14ac:dyDescent="0.3">
      <c r="A432" s="131">
        <v>20</v>
      </c>
      <c r="B432" s="53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 x14ac:dyDescent="0.3">
      <c r="A433" s="248">
        <v>20</v>
      </c>
      <c r="B433" s="53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 x14ac:dyDescent="0.3">
      <c r="A434" s="131">
        <v>21</v>
      </c>
      <c r="B434" s="53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 x14ac:dyDescent="0.3">
      <c r="A435" s="131">
        <v>21</v>
      </c>
      <c r="B435" s="53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 x14ac:dyDescent="0.3">
      <c r="A436" s="131">
        <v>21</v>
      </c>
      <c r="B436" s="53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 x14ac:dyDescent="0.3">
      <c r="A437" s="131">
        <v>21</v>
      </c>
      <c r="B437" s="53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 x14ac:dyDescent="0.3">
      <c r="A438" s="131">
        <v>21</v>
      </c>
      <c r="B438" s="53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 x14ac:dyDescent="0.3">
      <c r="A439" s="131">
        <v>21</v>
      </c>
      <c r="B439" s="53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 x14ac:dyDescent="0.3">
      <c r="A440" s="131">
        <v>21</v>
      </c>
      <c r="B440" s="53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 x14ac:dyDescent="0.3">
      <c r="A441" s="131">
        <v>21</v>
      </c>
      <c r="B441" s="53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 x14ac:dyDescent="0.3">
      <c r="A442" s="131">
        <v>21</v>
      </c>
      <c r="B442" s="53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 x14ac:dyDescent="0.3">
      <c r="A443" s="131">
        <v>21</v>
      </c>
      <c r="B443" s="53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 x14ac:dyDescent="0.3">
      <c r="A444" s="131">
        <v>22</v>
      </c>
      <c r="B444" s="53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 x14ac:dyDescent="0.3">
      <c r="A445" s="131">
        <v>22</v>
      </c>
      <c r="B445" s="53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 x14ac:dyDescent="0.3">
      <c r="A446" s="131">
        <v>22</v>
      </c>
      <c r="B446" s="53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 x14ac:dyDescent="0.3">
      <c r="A447" s="131">
        <v>22</v>
      </c>
      <c r="B447" s="53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 x14ac:dyDescent="0.3">
      <c r="A448" s="131">
        <v>22</v>
      </c>
      <c r="B448" s="53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 x14ac:dyDescent="0.3">
      <c r="A449" s="131">
        <v>22</v>
      </c>
      <c r="B449" s="53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 x14ac:dyDescent="0.3">
      <c r="A450" s="131">
        <v>22</v>
      </c>
      <c r="B450" s="53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 x14ac:dyDescent="0.3">
      <c r="A451" s="131">
        <v>22</v>
      </c>
      <c r="B451" s="53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 x14ac:dyDescent="0.3">
      <c r="A452" s="131">
        <v>23</v>
      </c>
      <c r="B452" s="533" t="s">
        <v>2088</v>
      </c>
      <c r="C452" s="260" t="s">
        <v>1915</v>
      </c>
      <c r="D452" s="536" t="s">
        <v>307</v>
      </c>
      <c r="E452" s="536" t="s">
        <v>323</v>
      </c>
      <c r="F452" s="536" t="s">
        <v>308</v>
      </c>
      <c r="G452" s="536">
        <v>3306</v>
      </c>
      <c r="H452" s="536" t="s">
        <v>1156</v>
      </c>
      <c r="I452" s="536" t="s">
        <v>1916</v>
      </c>
      <c r="J452" s="536" t="s">
        <v>1113</v>
      </c>
      <c r="K452" s="536" t="s">
        <v>694</v>
      </c>
      <c r="L452" s="536" t="s">
        <v>325</v>
      </c>
      <c r="M452" s="536" t="s">
        <v>1917</v>
      </c>
      <c r="N452" s="536" t="s">
        <v>667</v>
      </c>
    </row>
    <row r="453" spans="1:14" hidden="1" x14ac:dyDescent="0.3">
      <c r="A453" s="131">
        <v>23</v>
      </c>
      <c r="B453" s="534"/>
      <c r="C453" s="260" t="s">
        <v>1918</v>
      </c>
      <c r="D453" s="537"/>
      <c r="E453" s="537"/>
      <c r="F453" s="537"/>
      <c r="G453" s="537"/>
      <c r="H453" s="537"/>
      <c r="I453" s="537"/>
      <c r="J453" s="537"/>
      <c r="K453" s="537"/>
      <c r="L453" s="537"/>
      <c r="M453" s="537"/>
      <c r="N453" s="537"/>
    </row>
    <row r="454" spans="1:14" hidden="1" x14ac:dyDescent="0.3">
      <c r="A454" s="131">
        <v>23</v>
      </c>
      <c r="B454" s="534"/>
      <c r="C454" s="260" t="s">
        <v>1919</v>
      </c>
      <c r="D454" s="536" t="s">
        <v>307</v>
      </c>
      <c r="E454" s="536" t="s">
        <v>323</v>
      </c>
      <c r="F454" s="536" t="s">
        <v>308</v>
      </c>
      <c r="G454" s="538" t="s">
        <v>1423</v>
      </c>
      <c r="H454" s="536" t="s">
        <v>1920</v>
      </c>
      <c r="I454" s="538" t="s">
        <v>1157</v>
      </c>
      <c r="J454" s="536" t="s">
        <v>666</v>
      </c>
      <c r="K454" s="635" t="s">
        <v>1772</v>
      </c>
      <c r="L454" s="536" t="s">
        <v>325</v>
      </c>
      <c r="M454" s="536" t="s">
        <v>1540</v>
      </c>
      <c r="N454" s="536" t="s">
        <v>667</v>
      </c>
    </row>
    <row r="455" spans="1:14" hidden="1" x14ac:dyDescent="0.3">
      <c r="A455" s="131">
        <v>23</v>
      </c>
      <c r="B455" s="534"/>
      <c r="C455" s="260" t="s">
        <v>1918</v>
      </c>
      <c r="D455" s="537"/>
      <c r="E455" s="537"/>
      <c r="F455" s="537"/>
      <c r="G455" s="539"/>
      <c r="H455" s="537"/>
      <c r="I455" s="539"/>
      <c r="J455" s="537"/>
      <c r="K455" s="636"/>
      <c r="L455" s="537"/>
      <c r="M455" s="537"/>
      <c r="N455" s="537"/>
    </row>
    <row r="456" spans="1:14" hidden="1" x14ac:dyDescent="0.3">
      <c r="A456" s="131">
        <v>23</v>
      </c>
      <c r="B456" s="53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 x14ac:dyDescent="0.3">
      <c r="A457" s="131">
        <v>23</v>
      </c>
      <c r="B457" s="534"/>
      <c r="C457" s="260" t="s">
        <v>1926</v>
      </c>
      <c r="D457" s="536" t="s">
        <v>307</v>
      </c>
      <c r="E457" s="536" t="s">
        <v>323</v>
      </c>
      <c r="F457" s="536" t="s">
        <v>308</v>
      </c>
      <c r="G457" s="538">
        <v>4267</v>
      </c>
      <c r="H457" s="536" t="s">
        <v>642</v>
      </c>
      <c r="I457" s="538" t="s">
        <v>1157</v>
      </c>
      <c r="J457" s="536" t="s">
        <v>666</v>
      </c>
      <c r="K457" s="635" t="s">
        <v>1772</v>
      </c>
      <c r="L457" s="536" t="s">
        <v>325</v>
      </c>
      <c r="M457" s="536" t="s">
        <v>1540</v>
      </c>
      <c r="N457" s="536" t="s">
        <v>667</v>
      </c>
    </row>
    <row r="458" spans="1:14" hidden="1" x14ac:dyDescent="0.3">
      <c r="A458" s="131">
        <v>23</v>
      </c>
      <c r="B458" s="534"/>
      <c r="C458" s="260" t="s">
        <v>1927</v>
      </c>
      <c r="D458" s="537"/>
      <c r="E458" s="537"/>
      <c r="F458" s="537"/>
      <c r="G458" s="539"/>
      <c r="H458" s="537"/>
      <c r="I458" s="539"/>
      <c r="J458" s="537"/>
      <c r="K458" s="636"/>
      <c r="L458" s="537"/>
      <c r="M458" s="537"/>
      <c r="N458" s="537"/>
    </row>
    <row r="459" spans="1:14" hidden="1" x14ac:dyDescent="0.3">
      <c r="A459" s="131">
        <v>23</v>
      </c>
      <c r="B459" s="534"/>
      <c r="C459" s="260" t="s">
        <v>1926</v>
      </c>
      <c r="D459" s="536" t="s">
        <v>307</v>
      </c>
      <c r="E459" s="536" t="s">
        <v>323</v>
      </c>
      <c r="F459" s="536" t="s">
        <v>308</v>
      </c>
      <c r="G459" s="538" t="s">
        <v>1928</v>
      </c>
      <c r="H459" s="536" t="s">
        <v>664</v>
      </c>
      <c r="I459" s="538" t="s">
        <v>1929</v>
      </c>
      <c r="J459" s="536" t="s">
        <v>351</v>
      </c>
      <c r="K459" s="637" t="s">
        <v>1925</v>
      </c>
      <c r="L459" s="536" t="s">
        <v>325</v>
      </c>
      <c r="M459" s="536" t="s">
        <v>1540</v>
      </c>
      <c r="N459" s="536" t="s">
        <v>427</v>
      </c>
    </row>
    <row r="460" spans="1:14" hidden="1" x14ac:dyDescent="0.3">
      <c r="A460" s="131">
        <v>23</v>
      </c>
      <c r="B460" s="535"/>
      <c r="C460" s="261" t="s">
        <v>1927</v>
      </c>
      <c r="D460" s="537"/>
      <c r="E460" s="537"/>
      <c r="F460" s="537"/>
      <c r="G460" s="539"/>
      <c r="H460" s="537"/>
      <c r="I460" s="539"/>
      <c r="J460" s="537"/>
      <c r="K460" s="638"/>
      <c r="L460" s="537"/>
      <c r="M460" s="537"/>
      <c r="N460" s="537"/>
    </row>
    <row r="461" spans="1:14" hidden="1" x14ac:dyDescent="0.3">
      <c r="A461" s="131">
        <v>23</v>
      </c>
      <c r="B461" s="53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 x14ac:dyDescent="0.3">
      <c r="A462" s="131">
        <v>23</v>
      </c>
      <c r="B462" s="534"/>
      <c r="C462" s="536" t="s">
        <v>1930</v>
      </c>
      <c r="D462" s="536" t="s">
        <v>312</v>
      </c>
      <c r="E462" s="536" t="s">
        <v>677</v>
      </c>
      <c r="F462" s="536" t="s">
        <v>1935</v>
      </c>
      <c r="G462" s="536" t="s">
        <v>1936</v>
      </c>
      <c r="H462" s="540" t="s">
        <v>349</v>
      </c>
      <c r="I462" s="259" t="s">
        <v>1937</v>
      </c>
      <c r="J462" s="536"/>
      <c r="K462" s="538" t="s">
        <v>1933</v>
      </c>
      <c r="L462" s="536" t="s">
        <v>310</v>
      </c>
      <c r="M462" s="536" t="s">
        <v>1837</v>
      </c>
      <c r="N462" s="538" t="s">
        <v>1934</v>
      </c>
    </row>
    <row r="463" spans="1:14" hidden="1" x14ac:dyDescent="0.3">
      <c r="A463" s="131">
        <v>23</v>
      </c>
      <c r="B463" s="534"/>
      <c r="C463" s="537"/>
      <c r="D463" s="537"/>
      <c r="E463" s="537"/>
      <c r="F463" s="537"/>
      <c r="G463" s="537"/>
      <c r="H463" s="541"/>
      <c r="I463" s="259" t="s">
        <v>1938</v>
      </c>
      <c r="J463" s="537"/>
      <c r="K463" s="539"/>
      <c r="L463" s="537"/>
      <c r="M463" s="537"/>
      <c r="N463" s="539"/>
    </row>
    <row r="464" spans="1:14" ht="24" hidden="1" x14ac:dyDescent="0.3">
      <c r="A464" s="131">
        <v>23</v>
      </c>
      <c r="B464" s="53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 x14ac:dyDescent="0.3">
      <c r="A465" s="131">
        <v>23</v>
      </c>
      <c r="B465" s="53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 x14ac:dyDescent="0.3">
      <c r="A466" s="131">
        <v>24</v>
      </c>
      <c r="B466" s="53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 x14ac:dyDescent="0.3">
      <c r="A467" s="131">
        <v>24</v>
      </c>
      <c r="B467" s="53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 x14ac:dyDescent="0.3">
      <c r="A468" s="131">
        <v>24</v>
      </c>
      <c r="B468" s="53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 x14ac:dyDescent="0.3">
      <c r="A469" s="131">
        <v>24</v>
      </c>
      <c r="B469" s="53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 x14ac:dyDescent="0.3">
      <c r="A470" s="131">
        <v>24</v>
      </c>
      <c r="B470" s="53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 x14ac:dyDescent="0.3">
      <c r="A471" s="131">
        <v>24</v>
      </c>
      <c r="B471" s="53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 x14ac:dyDescent="0.3">
      <c r="A472" s="131">
        <v>24</v>
      </c>
      <c r="B472" s="53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 x14ac:dyDescent="0.3">
      <c r="A473" s="131">
        <v>24</v>
      </c>
      <c r="B473" s="53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 x14ac:dyDescent="0.3">
      <c r="A474" s="131">
        <v>24</v>
      </c>
      <c r="B474" s="53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 x14ac:dyDescent="0.3">
      <c r="A475" s="131">
        <v>25</v>
      </c>
      <c r="B475" s="53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 x14ac:dyDescent="0.3">
      <c r="A476" s="131">
        <v>25</v>
      </c>
      <c r="B476" s="53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 x14ac:dyDescent="0.3">
      <c r="A477" s="131">
        <v>25</v>
      </c>
      <c r="B477" s="53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 x14ac:dyDescent="0.3">
      <c r="A478" s="131">
        <v>25</v>
      </c>
      <c r="B478" s="53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 x14ac:dyDescent="0.3">
      <c r="A479" s="131">
        <v>25</v>
      </c>
      <c r="B479" s="53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 x14ac:dyDescent="0.3">
      <c r="A480" s="131">
        <v>25</v>
      </c>
      <c r="B480" s="53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 x14ac:dyDescent="0.3">
      <c r="A481" s="248">
        <v>25</v>
      </c>
      <c r="B481" s="53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 x14ac:dyDescent="0.3">
      <c r="A482" s="131">
        <v>26</v>
      </c>
      <c r="B482" s="53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 x14ac:dyDescent="0.3">
      <c r="A483" s="131">
        <v>26</v>
      </c>
      <c r="B483" s="53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 x14ac:dyDescent="0.3">
      <c r="A484" s="131">
        <v>26</v>
      </c>
      <c r="B484" s="53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 x14ac:dyDescent="0.3">
      <c r="A485" s="131">
        <v>26</v>
      </c>
      <c r="B485" s="53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 x14ac:dyDescent="0.3">
      <c r="A486" s="131">
        <v>26</v>
      </c>
      <c r="B486" s="53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 x14ac:dyDescent="0.3">
      <c r="A487" s="131">
        <v>26</v>
      </c>
      <c r="B487" s="53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 x14ac:dyDescent="0.3">
      <c r="A488" s="131">
        <v>26</v>
      </c>
      <c r="B488" s="53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 x14ac:dyDescent="0.3">
      <c r="A489" s="131">
        <v>26</v>
      </c>
      <c r="B489" s="53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 x14ac:dyDescent="0.3">
      <c r="A490" s="131">
        <v>26</v>
      </c>
      <c r="B490" s="53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 x14ac:dyDescent="0.3">
      <c r="A491" s="131">
        <v>26</v>
      </c>
      <c r="B491" s="53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 x14ac:dyDescent="0.3">
      <c r="A492" s="131">
        <v>27</v>
      </c>
      <c r="B492" s="53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 x14ac:dyDescent="0.3">
      <c r="A493" s="131">
        <v>27</v>
      </c>
      <c r="B493" s="53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 x14ac:dyDescent="0.3">
      <c r="A494" s="131">
        <v>27</v>
      </c>
      <c r="B494" s="53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 x14ac:dyDescent="0.3">
      <c r="A495" s="131">
        <v>27</v>
      </c>
      <c r="B495" s="53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 x14ac:dyDescent="0.3">
      <c r="A496" s="131">
        <v>27</v>
      </c>
      <c r="B496" s="53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 x14ac:dyDescent="0.3">
      <c r="A497" s="131">
        <v>27</v>
      </c>
      <c r="B497" s="53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 x14ac:dyDescent="0.3">
      <c r="A498" s="131">
        <v>27</v>
      </c>
      <c r="B498" s="53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 x14ac:dyDescent="0.3">
      <c r="A499" s="131">
        <v>27</v>
      </c>
      <c r="B499" s="53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 x14ac:dyDescent="0.3">
      <c r="A500" s="131">
        <v>27</v>
      </c>
      <c r="B500" s="53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 x14ac:dyDescent="0.3">
      <c r="A501" s="131">
        <v>28</v>
      </c>
      <c r="B501" s="53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 x14ac:dyDescent="0.3">
      <c r="A502" s="131">
        <v>28</v>
      </c>
      <c r="B502" s="53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 x14ac:dyDescent="0.3">
      <c r="A503" s="131">
        <v>28</v>
      </c>
      <c r="B503" s="53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 x14ac:dyDescent="0.3">
      <c r="A504" s="131">
        <v>28</v>
      </c>
      <c r="B504" s="53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 x14ac:dyDescent="0.3">
      <c r="A505" s="131">
        <v>28</v>
      </c>
      <c r="B505" s="53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 x14ac:dyDescent="0.3">
      <c r="A506" s="131">
        <v>28</v>
      </c>
      <c r="B506" s="53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 x14ac:dyDescent="0.3">
      <c r="A507" s="131">
        <v>29</v>
      </c>
      <c r="B507" s="53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 x14ac:dyDescent="0.3">
      <c r="A508" s="131">
        <v>29</v>
      </c>
      <c r="B508" s="53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 x14ac:dyDescent="0.3">
      <c r="A509" s="131">
        <v>29</v>
      </c>
      <c r="B509" s="53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 x14ac:dyDescent="0.3">
      <c r="A510" s="131">
        <v>29</v>
      </c>
      <c r="B510" s="53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 x14ac:dyDescent="0.3">
      <c r="A511" s="131">
        <v>29</v>
      </c>
      <c r="B511" s="53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 x14ac:dyDescent="0.3">
      <c r="A512" s="131">
        <v>29</v>
      </c>
      <c r="B512" s="53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 x14ac:dyDescent="0.3">
      <c r="A513" s="131">
        <v>29</v>
      </c>
      <c r="B513" s="53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 x14ac:dyDescent="0.3">
      <c r="A514" s="131">
        <v>29</v>
      </c>
      <c r="B514" s="53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 x14ac:dyDescent="0.3">
      <c r="A515" s="248">
        <v>29</v>
      </c>
      <c r="B515" s="53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 x14ac:dyDescent="0.3">
      <c r="A516" s="131">
        <v>30</v>
      </c>
      <c r="B516" s="53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 x14ac:dyDescent="0.3">
      <c r="A517" s="131">
        <v>30</v>
      </c>
      <c r="B517" s="53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 x14ac:dyDescent="0.3">
      <c r="A518" s="131">
        <v>30</v>
      </c>
      <c r="B518" s="53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 x14ac:dyDescent="0.3">
      <c r="A519" s="131">
        <v>30</v>
      </c>
      <c r="B519" s="53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 x14ac:dyDescent="0.3">
      <c r="A520" s="131">
        <v>30</v>
      </c>
      <c r="B520" s="53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 x14ac:dyDescent="0.3">
      <c r="A521" s="131">
        <v>30</v>
      </c>
      <c r="B521" s="53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 x14ac:dyDescent="0.3">
      <c r="A522" s="131">
        <v>30</v>
      </c>
      <c r="B522" s="53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 x14ac:dyDescent="0.3">
      <c r="A523" s="131">
        <v>30</v>
      </c>
      <c r="B523" s="53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 x14ac:dyDescent="0.3">
      <c r="A524" s="131">
        <v>31</v>
      </c>
      <c r="B524" s="53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 x14ac:dyDescent="0.3">
      <c r="A525" s="131">
        <v>31</v>
      </c>
      <c r="B525" s="53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 x14ac:dyDescent="0.3">
      <c r="A526" s="131">
        <v>31</v>
      </c>
      <c r="B526" s="53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 x14ac:dyDescent="0.3">
      <c r="A527" s="131">
        <v>31</v>
      </c>
      <c r="B527" s="53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 x14ac:dyDescent="0.3">
      <c r="A528" s="131">
        <v>31</v>
      </c>
      <c r="B528" s="53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 x14ac:dyDescent="0.3">
      <c r="A529" s="131">
        <v>31</v>
      </c>
      <c r="B529" s="53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 x14ac:dyDescent="0.3">
      <c r="A530" s="131">
        <v>31</v>
      </c>
      <c r="B530" s="53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 x14ac:dyDescent="0.3">
      <c r="A531" s="131">
        <v>32</v>
      </c>
      <c r="B531" s="53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 x14ac:dyDescent="0.3">
      <c r="A532" s="131">
        <v>32</v>
      </c>
      <c r="B532" s="53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 x14ac:dyDescent="0.3">
      <c r="A533" s="131">
        <v>32</v>
      </c>
      <c r="B533" s="53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 x14ac:dyDescent="0.3">
      <c r="A534" s="131">
        <v>32</v>
      </c>
      <c r="B534" s="53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 x14ac:dyDescent="0.3">
      <c r="A535" s="131">
        <v>32</v>
      </c>
      <c r="B535" s="53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 x14ac:dyDescent="0.3">
      <c r="A536" s="131">
        <v>32</v>
      </c>
      <c r="B536" s="53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 x14ac:dyDescent="0.3">
      <c r="A537" s="131">
        <v>33</v>
      </c>
      <c r="B537" s="53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 x14ac:dyDescent="0.3">
      <c r="A538" s="131">
        <v>33</v>
      </c>
      <c r="B538" s="53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 x14ac:dyDescent="0.3">
      <c r="A539" s="131">
        <v>33</v>
      </c>
      <c r="B539" s="53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 x14ac:dyDescent="0.3">
      <c r="A540" s="131">
        <v>33</v>
      </c>
      <c r="B540" s="53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 x14ac:dyDescent="0.3">
      <c r="A541" s="131">
        <v>33</v>
      </c>
      <c r="B541" s="53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 x14ac:dyDescent="0.3">
      <c r="A542" s="131">
        <v>33</v>
      </c>
      <c r="B542" s="53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 x14ac:dyDescent="0.3">
      <c r="A543" s="131">
        <v>33</v>
      </c>
      <c r="B543" s="53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 x14ac:dyDescent="0.3">
      <c r="A544" s="131">
        <v>33</v>
      </c>
      <c r="B544" s="53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 x14ac:dyDescent="0.3">
      <c r="A545" s="131">
        <v>33</v>
      </c>
      <c r="B545" s="53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 x14ac:dyDescent="0.3">
      <c r="A546" s="131">
        <v>34</v>
      </c>
      <c r="B546" s="53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 x14ac:dyDescent="0.3">
      <c r="A547" s="131">
        <v>34</v>
      </c>
      <c r="B547" s="53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 x14ac:dyDescent="0.3">
      <c r="A548" s="131">
        <v>34</v>
      </c>
      <c r="B548" s="53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 x14ac:dyDescent="0.3">
      <c r="A549" s="131">
        <v>34</v>
      </c>
      <c r="B549" s="53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 x14ac:dyDescent="0.3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 x14ac:dyDescent="0.3">
      <c r="A551" s="131">
        <v>35</v>
      </c>
      <c r="B551" s="53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 x14ac:dyDescent="0.3">
      <c r="A552" s="131">
        <v>35</v>
      </c>
      <c r="B552" s="53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 x14ac:dyDescent="0.3">
      <c r="A553" s="131">
        <v>35</v>
      </c>
      <c r="B553" s="53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 x14ac:dyDescent="0.3">
      <c r="A554" s="131">
        <v>35</v>
      </c>
      <c r="B554" s="53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 x14ac:dyDescent="0.3">
      <c r="A555" s="131">
        <v>35</v>
      </c>
      <c r="B555" s="53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 x14ac:dyDescent="0.3">
      <c r="A556" s="131">
        <v>35</v>
      </c>
      <c r="B556" s="53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 x14ac:dyDescent="0.3">
      <c r="A557" s="131">
        <v>35</v>
      </c>
      <c r="B557" s="53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 x14ac:dyDescent="0.3">
      <c r="A558" s="131">
        <v>36</v>
      </c>
      <c r="B558" s="53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 x14ac:dyDescent="0.3">
      <c r="A559" s="131">
        <v>36</v>
      </c>
      <c r="B559" s="53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 x14ac:dyDescent="0.3">
      <c r="A560" s="131">
        <v>36</v>
      </c>
      <c r="B560" s="53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 x14ac:dyDescent="0.3">
      <c r="A561" s="131">
        <v>36</v>
      </c>
      <c r="B561" s="53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 x14ac:dyDescent="0.3">
      <c r="A562" s="131">
        <v>36</v>
      </c>
      <c r="B562" s="53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 x14ac:dyDescent="0.3">
      <c r="A563" s="131">
        <v>36</v>
      </c>
      <c r="B563" s="53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 x14ac:dyDescent="0.3">
      <c r="A564" s="131">
        <v>36</v>
      </c>
      <c r="B564" s="53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 x14ac:dyDescent="0.3">
      <c r="A565" s="131">
        <v>37</v>
      </c>
      <c r="B565" s="53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 x14ac:dyDescent="0.3">
      <c r="A566" s="131">
        <v>37</v>
      </c>
      <c r="B566" s="53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 x14ac:dyDescent="0.3">
      <c r="A567" s="131">
        <v>37</v>
      </c>
      <c r="B567" s="53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 x14ac:dyDescent="0.3">
      <c r="A568" s="131">
        <v>37</v>
      </c>
      <c r="B568" s="53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 x14ac:dyDescent="0.3">
      <c r="A569" s="131">
        <v>37</v>
      </c>
      <c r="B569" s="53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 x14ac:dyDescent="0.3">
      <c r="A570" s="131">
        <v>37</v>
      </c>
      <c r="B570" s="53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 x14ac:dyDescent="0.3">
      <c r="A571" s="131">
        <v>38</v>
      </c>
      <c r="B571" s="558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 x14ac:dyDescent="0.3">
      <c r="A572" s="131">
        <v>38</v>
      </c>
      <c r="B572" s="560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 x14ac:dyDescent="0.3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 x14ac:dyDescent="0.3">
      <c r="A574" s="131">
        <v>39</v>
      </c>
      <c r="B574" s="558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 x14ac:dyDescent="0.3">
      <c r="A575" s="131">
        <v>39</v>
      </c>
      <c r="B575" s="559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 x14ac:dyDescent="0.3">
      <c r="A576" s="131">
        <v>39</v>
      </c>
      <c r="B576" s="559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 x14ac:dyDescent="0.3">
      <c r="A577" s="131">
        <v>39</v>
      </c>
      <c r="B577" s="560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 x14ac:dyDescent="0.3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 x14ac:dyDescent="0.3">
      <c r="A579" s="131">
        <v>40</v>
      </c>
      <c r="B579" s="53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 x14ac:dyDescent="0.3">
      <c r="A580" s="131">
        <v>40</v>
      </c>
      <c r="B580" s="53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 x14ac:dyDescent="0.3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 x14ac:dyDescent="0.3">
      <c r="A582" s="131">
        <v>41</v>
      </c>
      <c r="B582" s="558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 x14ac:dyDescent="0.3">
      <c r="A583" s="131">
        <v>41</v>
      </c>
      <c r="B583" s="559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 x14ac:dyDescent="0.3">
      <c r="A584" s="131">
        <v>41</v>
      </c>
      <c r="B584" s="559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 x14ac:dyDescent="0.3">
      <c r="A585" s="131">
        <v>41</v>
      </c>
      <c r="B585" s="560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 x14ac:dyDescent="0.3">
      <c r="A586" s="131">
        <v>41</v>
      </c>
      <c r="B586" s="53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 x14ac:dyDescent="0.3">
      <c r="A587" s="131">
        <v>41</v>
      </c>
      <c r="B587" s="53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 x14ac:dyDescent="0.3">
      <c r="A588" s="131">
        <v>41</v>
      </c>
      <c r="B588" s="53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 x14ac:dyDescent="0.3">
      <c r="A589" s="131">
        <v>41</v>
      </c>
      <c r="B589" s="53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 x14ac:dyDescent="0.3">
      <c r="A590" s="131">
        <v>42</v>
      </c>
      <c r="B590" s="53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 x14ac:dyDescent="0.3">
      <c r="A591" s="131">
        <v>42</v>
      </c>
      <c r="B591" s="53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 x14ac:dyDescent="0.3">
      <c r="A592" s="131">
        <v>42</v>
      </c>
      <c r="B592" s="53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 x14ac:dyDescent="0.3">
      <c r="A593" s="131">
        <v>42</v>
      </c>
      <c r="B593" s="53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 x14ac:dyDescent="0.3">
      <c r="A594" s="131">
        <v>42</v>
      </c>
      <c r="B594" s="53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 x14ac:dyDescent="0.3">
      <c r="A595" s="131">
        <v>42</v>
      </c>
      <c r="B595" s="53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 x14ac:dyDescent="0.3">
      <c r="A596" s="131">
        <v>42</v>
      </c>
      <c r="B596" s="53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 x14ac:dyDescent="0.3">
      <c r="A597" s="131">
        <v>42</v>
      </c>
      <c r="B597" s="53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 x14ac:dyDescent="0.3">
      <c r="A598" s="131">
        <v>42</v>
      </c>
      <c r="B598" s="53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 x14ac:dyDescent="0.3">
      <c r="A599" s="131">
        <v>43</v>
      </c>
      <c r="B599" s="53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 x14ac:dyDescent="0.3">
      <c r="A600" s="131">
        <v>43</v>
      </c>
      <c r="B600" s="53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 x14ac:dyDescent="0.3">
      <c r="A601" s="131">
        <v>43</v>
      </c>
      <c r="B601" s="53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 x14ac:dyDescent="0.3">
      <c r="A602" s="131">
        <v>43</v>
      </c>
      <c r="B602" s="53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 x14ac:dyDescent="0.3">
      <c r="A603" s="131">
        <v>43</v>
      </c>
      <c r="B603" s="53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 x14ac:dyDescent="0.3">
      <c r="A604" s="131">
        <v>43</v>
      </c>
      <c r="B604" s="53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 x14ac:dyDescent="0.3">
      <c r="A605" s="131">
        <v>43</v>
      </c>
      <c r="B605" s="53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 x14ac:dyDescent="0.3">
      <c r="A606" s="131">
        <v>44</v>
      </c>
      <c r="B606" s="53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 x14ac:dyDescent="0.3">
      <c r="A607" s="131">
        <v>44</v>
      </c>
      <c r="B607" s="53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 x14ac:dyDescent="0.3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 x14ac:dyDescent="0.3">
      <c r="A609" s="131">
        <v>45</v>
      </c>
      <c r="B609" s="558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 x14ac:dyDescent="0.3">
      <c r="A610" s="131">
        <v>45</v>
      </c>
      <c r="B610" s="559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 x14ac:dyDescent="0.3">
      <c r="A611" s="131">
        <v>45</v>
      </c>
      <c r="B611" s="560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 x14ac:dyDescent="0.3">
      <c r="A612" s="131">
        <v>45</v>
      </c>
      <c r="B612" s="53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 x14ac:dyDescent="0.3">
      <c r="A613" s="131">
        <v>45</v>
      </c>
      <c r="B613" s="53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 x14ac:dyDescent="0.3">
      <c r="A614" s="131">
        <v>45</v>
      </c>
      <c r="B614" s="53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 x14ac:dyDescent="0.3">
      <c r="A615" s="131">
        <v>45</v>
      </c>
      <c r="B615" s="53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 x14ac:dyDescent="0.3">
      <c r="A616" s="131">
        <v>46</v>
      </c>
      <c r="B616" s="53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 x14ac:dyDescent="0.3">
      <c r="A617" s="131">
        <v>46</v>
      </c>
      <c r="B617" s="53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 x14ac:dyDescent="0.3">
      <c r="A618" s="131">
        <v>46</v>
      </c>
      <c r="B618" s="53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 x14ac:dyDescent="0.3">
      <c r="A619" s="131">
        <v>46</v>
      </c>
      <c r="B619" s="53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 x14ac:dyDescent="0.3">
      <c r="A620" s="131">
        <v>46</v>
      </c>
      <c r="B620" s="53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 x14ac:dyDescent="0.3">
      <c r="A621" s="131">
        <v>46</v>
      </c>
      <c r="B621" s="53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 x14ac:dyDescent="0.3">
      <c r="A622" s="131">
        <v>47</v>
      </c>
      <c r="B622" s="640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 x14ac:dyDescent="0.3">
      <c r="A623" s="131">
        <v>47</v>
      </c>
      <c r="B623" s="641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 x14ac:dyDescent="0.3">
      <c r="A624" s="131">
        <v>47</v>
      </c>
      <c r="B624" s="641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 x14ac:dyDescent="0.3">
      <c r="A625" s="131">
        <v>47</v>
      </c>
      <c r="B625" s="641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 x14ac:dyDescent="0.3">
      <c r="A626" s="131">
        <v>47</v>
      </c>
      <c r="B626" s="642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 x14ac:dyDescent="0.3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 x14ac:dyDescent="0.3">
      <c r="A628" s="131">
        <v>48</v>
      </c>
      <c r="B628" s="53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 x14ac:dyDescent="0.3">
      <c r="A629" s="131">
        <v>48</v>
      </c>
      <c r="B629" s="53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 x14ac:dyDescent="0.3">
      <c r="A630" s="131">
        <v>48</v>
      </c>
      <c r="B630" s="53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 x14ac:dyDescent="0.3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 x14ac:dyDescent="0.3">
      <c r="A632" s="131">
        <v>49</v>
      </c>
      <c r="B632" s="53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 x14ac:dyDescent="0.3">
      <c r="A633" s="131">
        <v>49</v>
      </c>
      <c r="B633" s="53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 x14ac:dyDescent="0.3">
      <c r="A634" s="131">
        <v>49</v>
      </c>
      <c r="B634" s="53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 x14ac:dyDescent="0.3">
      <c r="A635" s="131">
        <v>49</v>
      </c>
      <c r="B635" s="53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 x14ac:dyDescent="0.3">
      <c r="A636" s="131">
        <v>49</v>
      </c>
      <c r="B636" s="53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 x14ac:dyDescent="0.3">
      <c r="A637" s="131">
        <v>49</v>
      </c>
      <c r="B637" s="53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 x14ac:dyDescent="0.3">
      <c r="A638" s="131">
        <v>50</v>
      </c>
      <c r="B638" s="53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 x14ac:dyDescent="0.3">
      <c r="A639" s="131">
        <v>50</v>
      </c>
      <c r="B639" s="53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 x14ac:dyDescent="0.3">
      <c r="A640" s="131">
        <v>50</v>
      </c>
      <c r="B640" s="53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 x14ac:dyDescent="0.3">
      <c r="A641" s="131">
        <v>50</v>
      </c>
      <c r="B641" s="53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 x14ac:dyDescent="0.3">
      <c r="A642" s="131">
        <v>50</v>
      </c>
      <c r="B642" s="53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 x14ac:dyDescent="0.3">
      <c r="A643" s="131">
        <v>51</v>
      </c>
      <c r="B643" s="53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 x14ac:dyDescent="0.3">
      <c r="A644" s="131">
        <v>51</v>
      </c>
      <c r="B644" s="53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 x14ac:dyDescent="0.3">
      <c r="A645" s="131">
        <v>51</v>
      </c>
      <c r="B645" s="53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 x14ac:dyDescent="0.3">
      <c r="A646" s="131">
        <v>51</v>
      </c>
      <c r="B646" s="53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 x14ac:dyDescent="0.3">
      <c r="A647" s="131">
        <v>51</v>
      </c>
      <c r="B647" s="53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 x14ac:dyDescent="0.3">
      <c r="A648" s="131">
        <v>51</v>
      </c>
      <c r="B648" s="53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 x14ac:dyDescent="0.3">
      <c r="A649" s="131">
        <v>51</v>
      </c>
      <c r="B649" s="53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 x14ac:dyDescent="0.3">
      <c r="A650" s="131">
        <v>52</v>
      </c>
      <c r="B650" s="53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 x14ac:dyDescent="0.3">
      <c r="A651" s="131">
        <v>52</v>
      </c>
      <c r="B651" s="53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 x14ac:dyDescent="0.3">
      <c r="A652" s="131">
        <v>52</v>
      </c>
      <c r="B652" s="53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 x14ac:dyDescent="0.3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 x14ac:dyDescent="0.3">
      <c r="A654" s="131">
        <v>1</v>
      </c>
      <c r="B654" s="53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 x14ac:dyDescent="0.3">
      <c r="A655" s="131">
        <v>1</v>
      </c>
      <c r="B655" s="53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 x14ac:dyDescent="0.3">
      <c r="A656" s="131">
        <v>1</v>
      </c>
      <c r="B656" s="53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 x14ac:dyDescent="0.3">
      <c r="A657" s="131">
        <v>1</v>
      </c>
      <c r="B657" s="53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 x14ac:dyDescent="0.3">
      <c r="A658" s="131">
        <v>2</v>
      </c>
      <c r="B658" s="53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 x14ac:dyDescent="0.3">
      <c r="A659" s="131">
        <v>2</v>
      </c>
      <c r="B659" s="53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 x14ac:dyDescent="0.3">
      <c r="A660" s="131">
        <v>2</v>
      </c>
      <c r="B660" s="53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 x14ac:dyDescent="0.3">
      <c r="A661" s="131">
        <v>2</v>
      </c>
      <c r="B661" s="53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 x14ac:dyDescent="0.3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 x14ac:dyDescent="0.3">
      <c r="A663" s="131">
        <v>3</v>
      </c>
      <c r="B663" s="53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 x14ac:dyDescent="0.3">
      <c r="A664" s="131">
        <v>3</v>
      </c>
      <c r="B664" s="53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 x14ac:dyDescent="0.3">
      <c r="A665" s="131">
        <v>3</v>
      </c>
      <c r="B665" s="53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 x14ac:dyDescent="0.3">
      <c r="A666" s="131">
        <v>3</v>
      </c>
      <c r="B666" s="53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 x14ac:dyDescent="0.3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 x14ac:dyDescent="0.3">
      <c r="A668" s="131">
        <v>4</v>
      </c>
      <c r="B668" s="53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 x14ac:dyDescent="0.3">
      <c r="A669" s="131">
        <v>4</v>
      </c>
      <c r="B669" s="53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 x14ac:dyDescent="0.3">
      <c r="A670" s="131">
        <v>4</v>
      </c>
      <c r="B670" s="53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 x14ac:dyDescent="0.3">
      <c r="A671" s="131">
        <v>4</v>
      </c>
      <c r="B671" s="53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 x14ac:dyDescent="0.3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 x14ac:dyDescent="0.3">
      <c r="A673" s="381">
        <v>6</v>
      </c>
      <c r="B673" s="639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 x14ac:dyDescent="0.3">
      <c r="A674" s="131">
        <v>6</v>
      </c>
      <c r="B674" s="53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 x14ac:dyDescent="0.3">
      <c r="A675" s="131">
        <v>6</v>
      </c>
      <c r="B675" s="53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 x14ac:dyDescent="0.3">
      <c r="A676" s="131">
        <v>6</v>
      </c>
      <c r="B676" s="533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 x14ac:dyDescent="0.3">
      <c r="A677" s="131">
        <v>6</v>
      </c>
      <c r="B677" s="53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 x14ac:dyDescent="0.3">
      <c r="A678" s="131">
        <v>7</v>
      </c>
      <c r="B678" s="533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 x14ac:dyDescent="0.3">
      <c r="A679" s="131">
        <v>7</v>
      </c>
      <c r="B679" s="53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 x14ac:dyDescent="0.3">
      <c r="A680" s="131">
        <v>7</v>
      </c>
      <c r="B680" s="53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 x14ac:dyDescent="0.3">
      <c r="A681" s="131">
        <v>7</v>
      </c>
      <c r="B681" s="53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 x14ac:dyDescent="0.3">
      <c r="A682" s="131">
        <v>7</v>
      </c>
      <c r="B682" s="53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 x14ac:dyDescent="0.3">
      <c r="A683" s="131">
        <v>7</v>
      </c>
      <c r="B683" s="53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 x14ac:dyDescent="0.3">
      <c r="A684" s="131">
        <v>7</v>
      </c>
      <c r="B684" s="53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 x14ac:dyDescent="0.3">
      <c r="A685" s="131">
        <v>8</v>
      </c>
      <c r="B685" s="533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 x14ac:dyDescent="0.3">
      <c r="A686" s="131">
        <v>8</v>
      </c>
      <c r="B686" s="534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 x14ac:dyDescent="0.3">
      <c r="A687" s="131">
        <v>8</v>
      </c>
      <c r="B687" s="534"/>
      <c r="C687" s="156" t="s">
        <v>2741</v>
      </c>
      <c r="D687" s="549" t="s">
        <v>307</v>
      </c>
      <c r="E687" s="549" t="s">
        <v>323</v>
      </c>
      <c r="F687" s="549" t="s">
        <v>308</v>
      </c>
      <c r="G687" s="554" t="s">
        <v>2734</v>
      </c>
      <c r="H687" s="549" t="s">
        <v>1049</v>
      </c>
      <c r="I687" s="554" t="s">
        <v>706</v>
      </c>
      <c r="J687" s="549" t="s">
        <v>666</v>
      </c>
      <c r="K687" s="643" t="s">
        <v>1772</v>
      </c>
      <c r="L687" s="549"/>
      <c r="M687" s="549" t="s">
        <v>460</v>
      </c>
      <c r="N687" s="549" t="s">
        <v>667</v>
      </c>
    </row>
    <row r="688" spans="1:14" hidden="1" x14ac:dyDescent="0.3">
      <c r="A688" s="131">
        <v>8</v>
      </c>
      <c r="B688" s="534"/>
      <c r="C688" s="156" t="s">
        <v>2742</v>
      </c>
      <c r="D688" s="550"/>
      <c r="E688" s="550"/>
      <c r="F688" s="550"/>
      <c r="G688" s="555"/>
      <c r="H688" s="550"/>
      <c r="I688" s="555"/>
      <c r="J688" s="550"/>
      <c r="K688" s="644"/>
      <c r="L688" s="550"/>
      <c r="M688" s="550"/>
      <c r="N688" s="550"/>
    </row>
    <row r="689" spans="1:14" hidden="1" x14ac:dyDescent="0.3">
      <c r="A689" s="131">
        <v>8</v>
      </c>
      <c r="B689" s="534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 x14ac:dyDescent="0.3">
      <c r="A690" s="131">
        <v>8</v>
      </c>
      <c r="B690" s="534"/>
      <c r="C690" s="156" t="s">
        <v>2745</v>
      </c>
      <c r="D690" s="549" t="s">
        <v>307</v>
      </c>
      <c r="E690" s="549" t="s">
        <v>323</v>
      </c>
      <c r="F690" s="549" t="s">
        <v>308</v>
      </c>
      <c r="G690" s="554" t="s">
        <v>2746</v>
      </c>
      <c r="H690" s="549" t="s">
        <v>642</v>
      </c>
      <c r="I690" s="554" t="s">
        <v>670</v>
      </c>
      <c r="J690" s="549" t="s">
        <v>351</v>
      </c>
      <c r="K690" s="645" t="s">
        <v>2747</v>
      </c>
      <c r="L690" s="549"/>
      <c r="M690" s="549" t="s">
        <v>2784</v>
      </c>
      <c r="N690" s="549" t="s">
        <v>427</v>
      </c>
    </row>
    <row r="691" spans="1:14" hidden="1" x14ac:dyDescent="0.3">
      <c r="A691" s="131">
        <v>8</v>
      </c>
      <c r="B691" s="535"/>
      <c r="C691" s="156" t="s">
        <v>2738</v>
      </c>
      <c r="D691" s="550"/>
      <c r="E691" s="550"/>
      <c r="F691" s="550"/>
      <c r="G691" s="555"/>
      <c r="H691" s="550"/>
      <c r="I691" s="555"/>
      <c r="J691" s="550"/>
      <c r="K691" s="646"/>
      <c r="L691" s="550"/>
      <c r="M691" s="550"/>
      <c r="N691" s="550"/>
    </row>
    <row r="692" spans="1:14" hidden="1" x14ac:dyDescent="0.3">
      <c r="A692" s="131">
        <v>8</v>
      </c>
      <c r="B692" s="533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 x14ac:dyDescent="0.3">
      <c r="A693" s="131">
        <v>8</v>
      </c>
      <c r="B693" s="534"/>
      <c r="C693" s="549" t="s">
        <v>2783</v>
      </c>
      <c r="D693" s="549" t="s">
        <v>312</v>
      </c>
      <c r="E693" s="549" t="s">
        <v>677</v>
      </c>
      <c r="F693" s="157" t="s">
        <v>1815</v>
      </c>
      <c r="G693" s="554" t="s">
        <v>691</v>
      </c>
      <c r="H693" s="554" t="s">
        <v>664</v>
      </c>
      <c r="I693" s="554" t="s">
        <v>2754</v>
      </c>
      <c r="J693" s="554"/>
      <c r="K693" s="554" t="s">
        <v>700</v>
      </c>
      <c r="L693" s="549" t="s">
        <v>310</v>
      </c>
      <c r="M693" s="549" t="s">
        <v>674</v>
      </c>
      <c r="N693" s="549" t="s">
        <v>2755</v>
      </c>
    </row>
    <row r="694" spans="1:14" hidden="1" x14ac:dyDescent="0.3">
      <c r="A694" s="131">
        <v>8</v>
      </c>
      <c r="B694" s="535"/>
      <c r="C694" s="550"/>
      <c r="D694" s="550"/>
      <c r="E694" s="550"/>
      <c r="F694" s="157" t="s">
        <v>2753</v>
      </c>
      <c r="G694" s="555"/>
      <c r="H694" s="555"/>
      <c r="I694" s="555"/>
      <c r="J694" s="555"/>
      <c r="K694" s="555"/>
      <c r="L694" s="550"/>
      <c r="M694" s="550"/>
      <c r="N694" s="614"/>
    </row>
    <row r="695" spans="1:14" hidden="1" x14ac:dyDescent="0.3">
      <c r="A695" s="131">
        <v>9</v>
      </c>
      <c r="B695" s="533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 x14ac:dyDescent="0.3">
      <c r="A696" s="131">
        <v>9</v>
      </c>
      <c r="B696" s="534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 x14ac:dyDescent="0.3">
      <c r="A697" s="131">
        <v>9</v>
      </c>
      <c r="B697" s="534"/>
      <c r="C697" s="260" t="s">
        <v>2760</v>
      </c>
      <c r="D697" s="536" t="s">
        <v>307</v>
      </c>
      <c r="E697" s="536" t="s">
        <v>323</v>
      </c>
      <c r="F697" s="536" t="s">
        <v>308</v>
      </c>
      <c r="G697" s="538" t="s">
        <v>2761</v>
      </c>
      <c r="H697" s="536" t="s">
        <v>407</v>
      </c>
      <c r="I697" s="538" t="s">
        <v>2762</v>
      </c>
      <c r="J697" s="536" t="s">
        <v>666</v>
      </c>
      <c r="K697" s="647" t="s">
        <v>1766</v>
      </c>
      <c r="L697" s="536"/>
      <c r="M697" s="649">
        <v>750000</v>
      </c>
      <c r="N697" s="536" t="s">
        <v>667</v>
      </c>
    </row>
    <row r="698" spans="1:14" hidden="1" x14ac:dyDescent="0.3">
      <c r="A698" s="131">
        <v>9</v>
      </c>
      <c r="B698" s="534"/>
      <c r="C698" s="260" t="s">
        <v>2763</v>
      </c>
      <c r="D698" s="537"/>
      <c r="E698" s="537"/>
      <c r="F698" s="537"/>
      <c r="G698" s="539"/>
      <c r="H698" s="537"/>
      <c r="I698" s="539"/>
      <c r="J698" s="537"/>
      <c r="K698" s="648"/>
      <c r="L698" s="537"/>
      <c r="M698" s="650"/>
      <c r="N698" s="537"/>
    </row>
    <row r="699" spans="1:14" hidden="1" x14ac:dyDescent="0.3">
      <c r="A699" s="131">
        <v>9</v>
      </c>
      <c r="B699" s="534"/>
      <c r="C699" s="260" t="s">
        <v>2760</v>
      </c>
      <c r="D699" s="536" t="s">
        <v>307</v>
      </c>
      <c r="E699" s="536" t="s">
        <v>323</v>
      </c>
      <c r="F699" s="536" t="s">
        <v>308</v>
      </c>
      <c r="G699" s="538" t="s">
        <v>2764</v>
      </c>
      <c r="H699" s="536" t="s">
        <v>664</v>
      </c>
      <c r="I699" s="538" t="s">
        <v>670</v>
      </c>
      <c r="J699" s="536" t="s">
        <v>351</v>
      </c>
      <c r="K699" s="651" t="s">
        <v>2747</v>
      </c>
      <c r="L699" s="536"/>
      <c r="M699" s="649">
        <v>1000000</v>
      </c>
      <c r="N699" s="536" t="s">
        <v>427</v>
      </c>
    </row>
    <row r="700" spans="1:14" hidden="1" x14ac:dyDescent="0.3">
      <c r="A700" s="131">
        <v>9</v>
      </c>
      <c r="B700" s="534"/>
      <c r="C700" s="260" t="s">
        <v>2765</v>
      </c>
      <c r="D700" s="537"/>
      <c r="E700" s="537"/>
      <c r="F700" s="537"/>
      <c r="G700" s="539"/>
      <c r="H700" s="537"/>
      <c r="I700" s="539"/>
      <c r="J700" s="537"/>
      <c r="K700" s="652"/>
      <c r="L700" s="537"/>
      <c r="M700" s="650"/>
      <c r="N700" s="537"/>
    </row>
    <row r="701" spans="1:14" hidden="1" x14ac:dyDescent="0.3">
      <c r="A701" s="131">
        <v>9</v>
      </c>
      <c r="B701" s="535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 x14ac:dyDescent="0.3">
      <c r="A702" s="131">
        <v>10</v>
      </c>
      <c r="B702" s="533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 x14ac:dyDescent="0.3">
      <c r="A703" s="131">
        <v>10</v>
      </c>
      <c r="B703" s="534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 x14ac:dyDescent="0.3">
      <c r="A704" s="131">
        <v>10</v>
      </c>
      <c r="B704" s="535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 x14ac:dyDescent="0.3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 x14ac:dyDescent="0.3">
      <c r="A706" s="131">
        <v>11</v>
      </c>
      <c r="B706" s="533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 x14ac:dyDescent="0.3">
      <c r="A707" s="131">
        <v>11</v>
      </c>
      <c r="B707" s="534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 x14ac:dyDescent="0.3">
      <c r="A708" s="131">
        <v>11</v>
      </c>
      <c r="B708" s="535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 x14ac:dyDescent="0.3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 x14ac:dyDescent="0.3">
      <c r="A710" s="131">
        <v>12</v>
      </c>
      <c r="B710" s="533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 x14ac:dyDescent="0.3">
      <c r="A711" s="131">
        <v>12</v>
      </c>
      <c r="B711" s="534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 x14ac:dyDescent="0.3">
      <c r="A712" s="131">
        <v>12</v>
      </c>
      <c r="B712" s="534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 x14ac:dyDescent="0.3">
      <c r="A713" s="131">
        <v>12</v>
      </c>
      <c r="B713" s="535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 x14ac:dyDescent="0.3">
      <c r="A714" s="131">
        <v>13</v>
      </c>
      <c r="B714" s="533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 x14ac:dyDescent="0.3">
      <c r="A715" s="131">
        <v>13</v>
      </c>
      <c r="B715" s="535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 x14ac:dyDescent="0.3">
      <c r="A716" s="131">
        <v>13</v>
      </c>
      <c r="B716" s="533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 x14ac:dyDescent="0.3">
      <c r="A717" s="131">
        <v>13</v>
      </c>
      <c r="B717" s="53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 x14ac:dyDescent="0.3">
      <c r="A718" s="131">
        <v>14</v>
      </c>
      <c r="B718" s="533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 x14ac:dyDescent="0.3">
      <c r="A719" s="131">
        <v>14</v>
      </c>
      <c r="B719" s="534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 x14ac:dyDescent="0.3">
      <c r="A720" s="131">
        <v>14</v>
      </c>
      <c r="B720" s="534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 x14ac:dyDescent="0.3">
      <c r="A721" s="131">
        <v>14</v>
      </c>
      <c r="B721" s="534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 x14ac:dyDescent="0.3">
      <c r="A722" s="131">
        <v>14</v>
      </c>
      <c r="B722" s="535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 x14ac:dyDescent="0.3">
      <c r="A723" s="131">
        <v>14</v>
      </c>
      <c r="B723" s="53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 x14ac:dyDescent="0.3">
      <c r="A724" s="131">
        <v>14</v>
      </c>
      <c r="B724" s="53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 x14ac:dyDescent="0.3">
      <c r="A725" s="131">
        <v>14</v>
      </c>
      <c r="B725" s="534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 x14ac:dyDescent="0.3">
      <c r="A726" s="131">
        <v>14</v>
      </c>
      <c r="B726" s="53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 x14ac:dyDescent="0.3">
      <c r="A727" s="131">
        <v>15</v>
      </c>
      <c r="B727" s="533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 x14ac:dyDescent="0.3">
      <c r="A728" s="131">
        <v>15</v>
      </c>
      <c r="B728" s="534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 x14ac:dyDescent="0.3">
      <c r="A729" s="131">
        <v>15</v>
      </c>
      <c r="B729" s="534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 x14ac:dyDescent="0.3">
      <c r="A730" s="131">
        <v>15</v>
      </c>
      <c r="B730" s="534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 x14ac:dyDescent="0.3">
      <c r="A731" s="131">
        <v>15</v>
      </c>
      <c r="B731" s="53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 x14ac:dyDescent="0.3">
      <c r="A732" s="131">
        <v>15</v>
      </c>
      <c r="B732" s="534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 x14ac:dyDescent="0.3">
      <c r="A733" s="131">
        <v>15</v>
      </c>
      <c r="B733" s="53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3" t="s">
        <v>2844</v>
      </c>
    </row>
    <row r="734" spans="1:14" ht="27" hidden="1" x14ac:dyDescent="0.3">
      <c r="A734" s="131">
        <v>15</v>
      </c>
      <c r="B734" s="53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4"/>
    </row>
    <row r="735" spans="1:14" hidden="1" x14ac:dyDescent="0.3">
      <c r="A735" s="131">
        <v>15</v>
      </c>
      <c r="B735" s="53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 x14ac:dyDescent="0.3">
      <c r="A736" s="131">
        <v>15</v>
      </c>
      <c r="B736" s="53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 x14ac:dyDescent="0.3">
      <c r="A737" s="131">
        <v>16</v>
      </c>
      <c r="B737" s="53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 x14ac:dyDescent="0.3">
      <c r="A738" s="131">
        <v>16</v>
      </c>
      <c r="B738" s="53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 x14ac:dyDescent="0.3">
      <c r="A739" s="131">
        <v>16</v>
      </c>
      <c r="B739" s="53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 x14ac:dyDescent="0.3">
      <c r="A740" s="131">
        <v>16</v>
      </c>
      <c r="B740" s="534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 x14ac:dyDescent="0.3">
      <c r="A741" s="131">
        <v>16</v>
      </c>
      <c r="B741" s="534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 x14ac:dyDescent="0.3">
      <c r="A742" s="131">
        <v>16</v>
      </c>
      <c r="B742" s="534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 x14ac:dyDescent="0.3">
      <c r="A743" s="131">
        <v>16</v>
      </c>
      <c r="B743" s="534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 x14ac:dyDescent="0.3">
      <c r="A744" s="131">
        <v>16</v>
      </c>
      <c r="B744" s="534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 x14ac:dyDescent="0.3">
      <c r="A745" s="248">
        <v>16</v>
      </c>
      <c r="B745" s="53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 x14ac:dyDescent="0.3">
      <c r="A746" s="131">
        <v>17</v>
      </c>
      <c r="B746" s="533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 x14ac:dyDescent="0.3">
      <c r="A747" s="131">
        <v>17</v>
      </c>
      <c r="B747" s="534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 x14ac:dyDescent="0.3">
      <c r="A748" s="131">
        <v>17</v>
      </c>
      <c r="B748" s="534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 x14ac:dyDescent="0.3">
      <c r="A749" s="131">
        <v>17</v>
      </c>
      <c r="B749" s="534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 x14ac:dyDescent="0.3">
      <c r="A750" s="131">
        <v>17</v>
      </c>
      <c r="B750" s="535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 x14ac:dyDescent="0.3">
      <c r="A751" s="131">
        <v>17</v>
      </c>
      <c r="B751" s="53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 x14ac:dyDescent="0.3">
      <c r="A752" s="131">
        <v>17</v>
      </c>
      <c r="B752" s="53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 x14ac:dyDescent="0.3">
      <c r="A753" s="131">
        <v>17</v>
      </c>
      <c r="B753" s="534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 x14ac:dyDescent="0.3">
      <c r="A754" s="131">
        <v>17</v>
      </c>
      <c r="B754" s="53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 x14ac:dyDescent="0.3">
      <c r="A755" s="131">
        <v>17</v>
      </c>
      <c r="B755" s="53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 x14ac:dyDescent="0.3">
      <c r="A756" s="131">
        <v>18</v>
      </c>
      <c r="B756" s="533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 x14ac:dyDescent="0.3">
      <c r="A757" s="131">
        <v>18</v>
      </c>
      <c r="B757" s="534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 x14ac:dyDescent="0.3">
      <c r="A758" s="131">
        <v>18</v>
      </c>
      <c r="B758" s="534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 x14ac:dyDescent="0.3">
      <c r="A759" s="131">
        <v>18</v>
      </c>
      <c r="B759" s="535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 x14ac:dyDescent="0.3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 x14ac:dyDescent="0.3">
      <c r="A761" s="131">
        <v>19</v>
      </c>
      <c r="B761" s="533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 x14ac:dyDescent="0.3">
      <c r="A762" s="131">
        <v>19</v>
      </c>
      <c r="B762" s="53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 x14ac:dyDescent="0.3">
      <c r="A763" s="131">
        <v>19</v>
      </c>
      <c r="B763" s="534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 x14ac:dyDescent="0.3">
      <c r="A764" s="131">
        <v>20</v>
      </c>
      <c r="B764" s="534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 x14ac:dyDescent="0.3">
      <c r="A765" s="131">
        <v>20</v>
      </c>
      <c r="B765" s="534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 x14ac:dyDescent="0.3">
      <c r="A766" s="131">
        <v>20</v>
      </c>
      <c r="B766" s="534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 x14ac:dyDescent="0.3">
      <c r="A767" s="131">
        <v>20</v>
      </c>
      <c r="B767" s="534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 x14ac:dyDescent="0.3">
      <c r="A768" s="131">
        <v>20</v>
      </c>
      <c r="B768" s="534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 x14ac:dyDescent="0.3">
      <c r="A769" s="131">
        <v>20</v>
      </c>
      <c r="B769" s="53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 x14ac:dyDescent="0.3">
      <c r="A770" s="248">
        <v>20</v>
      </c>
      <c r="B770" s="535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 x14ac:dyDescent="0.3">
      <c r="A771" s="131">
        <v>21</v>
      </c>
      <c r="B771" s="533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 x14ac:dyDescent="0.3">
      <c r="A772" s="131">
        <v>21</v>
      </c>
      <c r="B772" s="534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 x14ac:dyDescent="0.3">
      <c r="A773" s="131">
        <v>21</v>
      </c>
      <c r="B773" s="535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 x14ac:dyDescent="0.3">
      <c r="A774" s="410">
        <v>21</v>
      </c>
      <c r="B774" s="533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 x14ac:dyDescent="0.3">
      <c r="A775" s="410">
        <v>21</v>
      </c>
      <c r="B775" s="534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 x14ac:dyDescent="0.3">
      <c r="A776" s="131">
        <v>21</v>
      </c>
      <c r="B776" s="53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 x14ac:dyDescent="0.3">
      <c r="A777" s="131">
        <v>22</v>
      </c>
      <c r="B777" s="533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 x14ac:dyDescent="0.3">
      <c r="A778" s="131">
        <v>22</v>
      </c>
      <c r="B778" s="534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 x14ac:dyDescent="0.3">
      <c r="A779" s="131">
        <v>22</v>
      </c>
      <c r="B779" s="534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 x14ac:dyDescent="0.3">
      <c r="A780" s="131">
        <v>22</v>
      </c>
      <c r="B780" s="535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 x14ac:dyDescent="0.3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 x14ac:dyDescent="0.3">
      <c r="A782" s="131">
        <v>23</v>
      </c>
      <c r="B782" s="533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 x14ac:dyDescent="0.3">
      <c r="A783" s="131">
        <v>23</v>
      </c>
      <c r="B783" s="534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 x14ac:dyDescent="0.3">
      <c r="A784" s="131">
        <v>23</v>
      </c>
      <c r="B784" s="534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 x14ac:dyDescent="0.3">
      <c r="A785" s="131">
        <v>23</v>
      </c>
      <c r="B785" s="53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 x14ac:dyDescent="0.3">
      <c r="A786" s="131">
        <v>23</v>
      </c>
      <c r="B786" s="533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 x14ac:dyDescent="0.3">
      <c r="A787" s="131">
        <v>23</v>
      </c>
      <c r="B787" s="535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 x14ac:dyDescent="0.3">
      <c r="A788" s="131">
        <v>24</v>
      </c>
      <c r="B788" s="53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 x14ac:dyDescent="0.3">
      <c r="A789" s="131">
        <v>24</v>
      </c>
      <c r="B789" s="534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 x14ac:dyDescent="0.3">
      <c r="A790" s="131">
        <v>24</v>
      </c>
      <c r="B790" s="534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 x14ac:dyDescent="0.3">
      <c r="A791" s="131">
        <v>24</v>
      </c>
      <c r="B791" s="535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 x14ac:dyDescent="0.3">
      <c r="A792" s="131">
        <v>24</v>
      </c>
      <c r="B792" s="53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 x14ac:dyDescent="0.3">
      <c r="A793" s="131">
        <v>24</v>
      </c>
      <c r="B793" s="53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 x14ac:dyDescent="0.3">
      <c r="A794" s="131">
        <v>25</v>
      </c>
      <c r="B794" s="558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 x14ac:dyDescent="0.3">
      <c r="A795" s="131">
        <v>25</v>
      </c>
      <c r="B795" s="559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 x14ac:dyDescent="0.3">
      <c r="A796" s="131">
        <v>25</v>
      </c>
      <c r="B796" s="560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 x14ac:dyDescent="0.3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 x14ac:dyDescent="0.3">
      <c r="A798" s="131">
        <v>26</v>
      </c>
      <c r="B798" s="533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 x14ac:dyDescent="0.3">
      <c r="A799" s="131">
        <v>26</v>
      </c>
      <c r="B799" s="534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 x14ac:dyDescent="0.3">
      <c r="A800" s="131">
        <v>26</v>
      </c>
      <c r="B800" s="534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 x14ac:dyDescent="0.3">
      <c r="A801" s="131">
        <v>26</v>
      </c>
      <c r="B801" s="534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 x14ac:dyDescent="0.3">
      <c r="A802" s="131">
        <v>26</v>
      </c>
      <c r="B802" s="535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 x14ac:dyDescent="0.3">
      <c r="A803" s="131">
        <v>26</v>
      </c>
      <c r="B803" s="533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 x14ac:dyDescent="0.3">
      <c r="A804" s="131">
        <v>26</v>
      </c>
      <c r="B804" s="53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 x14ac:dyDescent="0.3">
      <c r="A805" s="131">
        <v>26</v>
      </c>
      <c r="B805" s="53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 x14ac:dyDescent="0.3">
      <c r="A806" s="131">
        <v>26</v>
      </c>
      <c r="B806" s="53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 x14ac:dyDescent="0.3">
      <c r="A807" s="131">
        <v>27</v>
      </c>
      <c r="B807" s="533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 x14ac:dyDescent="0.3">
      <c r="A808" s="131">
        <v>27</v>
      </c>
      <c r="B808" s="53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 x14ac:dyDescent="0.3">
      <c r="A809" s="131">
        <v>27</v>
      </c>
      <c r="B809" s="535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 x14ac:dyDescent="0.3">
      <c r="A810" s="131">
        <v>27</v>
      </c>
      <c r="B810" s="533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 x14ac:dyDescent="0.3">
      <c r="A811" s="131">
        <v>27</v>
      </c>
      <c r="B811" s="53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 x14ac:dyDescent="0.3">
      <c r="A812" s="131">
        <v>27</v>
      </c>
      <c r="B812" s="53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 x14ac:dyDescent="0.3">
      <c r="A813" s="131">
        <v>27</v>
      </c>
      <c r="B813" s="535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 x14ac:dyDescent="0.3">
      <c r="A814" s="131">
        <v>27</v>
      </c>
      <c r="B814" s="533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 x14ac:dyDescent="0.3">
      <c r="A815" s="131">
        <v>27</v>
      </c>
      <c r="B815" s="534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 x14ac:dyDescent="0.3">
      <c r="A816" s="131">
        <v>27</v>
      </c>
      <c r="B816" s="534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 x14ac:dyDescent="0.3">
      <c r="A817" s="131">
        <v>27</v>
      </c>
      <c r="B817" s="53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 x14ac:dyDescent="0.3">
      <c r="A818" s="131">
        <v>27</v>
      </c>
      <c r="B818" s="53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 x14ac:dyDescent="0.3">
      <c r="A819" s="131">
        <v>27</v>
      </c>
      <c r="B819" s="53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 x14ac:dyDescent="0.3">
      <c r="A820" s="425">
        <v>28</v>
      </c>
      <c r="B820" s="533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 x14ac:dyDescent="0.3">
      <c r="A821" s="131">
        <v>28</v>
      </c>
      <c r="B821" s="53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 x14ac:dyDescent="0.3">
      <c r="A822" s="131">
        <v>28</v>
      </c>
      <c r="B822" s="53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 x14ac:dyDescent="0.3">
      <c r="A823" s="131">
        <v>28</v>
      </c>
      <c r="B823" s="53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 x14ac:dyDescent="0.3">
      <c r="A824" s="131">
        <v>28</v>
      </c>
      <c r="B824" s="534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 x14ac:dyDescent="0.3">
      <c r="A825" s="131">
        <v>28</v>
      </c>
      <c r="B825" s="534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 x14ac:dyDescent="0.3">
      <c r="A826" s="131">
        <v>28</v>
      </c>
      <c r="B826" s="534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 x14ac:dyDescent="0.3">
      <c r="A827" s="131">
        <v>28</v>
      </c>
      <c r="B827" s="534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 x14ac:dyDescent="0.3">
      <c r="A828" s="131">
        <v>28</v>
      </c>
      <c r="B828" s="53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 x14ac:dyDescent="0.3">
      <c r="A829" s="131">
        <v>28</v>
      </c>
      <c r="B829" s="53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 x14ac:dyDescent="0.3">
      <c r="A830" s="131">
        <v>28</v>
      </c>
      <c r="B830" s="534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 x14ac:dyDescent="0.3">
      <c r="A831" s="131">
        <v>28</v>
      </c>
      <c r="B831" s="534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 x14ac:dyDescent="0.3">
      <c r="A832" s="131">
        <v>28</v>
      </c>
      <c r="B832" s="53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 x14ac:dyDescent="0.3">
      <c r="A833" s="131">
        <v>28</v>
      </c>
      <c r="B833" s="53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 x14ac:dyDescent="0.3">
      <c r="A834" s="131">
        <v>28</v>
      </c>
      <c r="B834" s="53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 x14ac:dyDescent="0.3">
      <c r="A835" s="131">
        <v>29</v>
      </c>
      <c r="B835" s="533" t="s">
        <v>3184</v>
      </c>
      <c r="C835" s="156" t="s">
        <v>3166</v>
      </c>
      <c r="D835" s="549" t="s">
        <v>307</v>
      </c>
      <c r="E835" s="549" t="s">
        <v>323</v>
      </c>
      <c r="F835" s="549" t="s">
        <v>308</v>
      </c>
      <c r="G835" s="554" t="s">
        <v>3134</v>
      </c>
      <c r="H835" s="549" t="s">
        <v>2003</v>
      </c>
      <c r="I835" s="554" t="s">
        <v>3135</v>
      </c>
      <c r="J835" s="549" t="s">
        <v>666</v>
      </c>
      <c r="K835" s="156" t="s">
        <v>3168</v>
      </c>
      <c r="L835" s="549"/>
      <c r="M835" s="656" t="s">
        <v>3169</v>
      </c>
      <c r="N835" s="156" t="s">
        <v>3170</v>
      </c>
    </row>
    <row r="836" spans="1:14" hidden="1" x14ac:dyDescent="0.3">
      <c r="A836" s="131">
        <v>29</v>
      </c>
      <c r="B836" s="534"/>
      <c r="C836" s="156" t="s">
        <v>3167</v>
      </c>
      <c r="D836" s="614"/>
      <c r="E836" s="614"/>
      <c r="F836" s="614"/>
      <c r="G836" s="655"/>
      <c r="H836" s="614"/>
      <c r="I836" s="655"/>
      <c r="J836" s="614"/>
      <c r="K836" s="156" t="s">
        <v>709</v>
      </c>
      <c r="L836" s="614"/>
      <c r="M836" s="657"/>
      <c r="N836" s="156"/>
    </row>
    <row r="837" spans="1:14" hidden="1" x14ac:dyDescent="0.3">
      <c r="A837" s="131">
        <v>29</v>
      </c>
      <c r="B837" s="534"/>
      <c r="C837" s="156"/>
      <c r="D837" s="550"/>
      <c r="E837" s="550"/>
      <c r="F837" s="550"/>
      <c r="G837" s="555"/>
      <c r="H837" s="550"/>
      <c r="I837" s="555"/>
      <c r="J837" s="550"/>
      <c r="K837" s="156"/>
      <c r="L837" s="550"/>
      <c r="M837" s="658"/>
      <c r="N837" s="156" t="s">
        <v>3171</v>
      </c>
    </row>
    <row r="838" spans="1:14" hidden="1" x14ac:dyDescent="0.3">
      <c r="A838" s="131">
        <v>29</v>
      </c>
      <c r="B838" s="534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 x14ac:dyDescent="0.3">
      <c r="A839" s="131">
        <v>29</v>
      </c>
      <c r="B839" s="535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 x14ac:dyDescent="0.3">
      <c r="A840" s="131">
        <v>29</v>
      </c>
      <c r="B840" s="533" t="s">
        <v>21</v>
      </c>
      <c r="C840" s="119" t="s">
        <v>3174</v>
      </c>
      <c r="D840" s="549" t="s">
        <v>312</v>
      </c>
      <c r="E840" s="549" t="s">
        <v>321</v>
      </c>
      <c r="F840" s="554" t="s">
        <v>2613</v>
      </c>
      <c r="G840" s="554" t="s">
        <v>3142</v>
      </c>
      <c r="H840" s="554" t="s">
        <v>3143</v>
      </c>
      <c r="I840" s="554" t="s">
        <v>3144</v>
      </c>
      <c r="J840" s="554" t="s">
        <v>704</v>
      </c>
      <c r="K840" s="554" t="s">
        <v>3145</v>
      </c>
      <c r="L840" s="549" t="s">
        <v>310</v>
      </c>
      <c r="M840" s="656" t="s">
        <v>1825</v>
      </c>
      <c r="N840" s="549" t="s">
        <v>3175</v>
      </c>
    </row>
    <row r="841" spans="1:14" hidden="1" x14ac:dyDescent="0.3">
      <c r="A841" s="131">
        <v>29</v>
      </c>
      <c r="B841" s="534"/>
      <c r="C841" s="119" t="s">
        <v>3148</v>
      </c>
      <c r="D841" s="550"/>
      <c r="E841" s="550"/>
      <c r="F841" s="555"/>
      <c r="G841" s="555"/>
      <c r="H841" s="555"/>
      <c r="I841" s="555"/>
      <c r="J841" s="555"/>
      <c r="K841" s="555"/>
      <c r="L841" s="550"/>
      <c r="M841" s="658"/>
      <c r="N841" s="550"/>
    </row>
    <row r="842" spans="1:14" hidden="1" x14ac:dyDescent="0.3">
      <c r="A842" s="131">
        <v>29</v>
      </c>
      <c r="B842" s="534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 x14ac:dyDescent="0.3">
      <c r="A843" s="131">
        <v>29</v>
      </c>
      <c r="B843" s="534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 x14ac:dyDescent="0.3">
      <c r="A844" s="131">
        <v>29</v>
      </c>
      <c r="B844" s="534"/>
      <c r="C844" s="119" t="s">
        <v>3166</v>
      </c>
      <c r="D844" s="549" t="s">
        <v>312</v>
      </c>
      <c r="E844" s="549" t="s">
        <v>321</v>
      </c>
      <c r="F844" s="554" t="s">
        <v>3151</v>
      </c>
      <c r="G844" s="554" t="s">
        <v>1928</v>
      </c>
      <c r="H844" s="554" t="s">
        <v>3152</v>
      </c>
      <c r="I844" s="157" t="s">
        <v>3177</v>
      </c>
      <c r="J844" s="554"/>
      <c r="K844" s="554" t="s">
        <v>3153</v>
      </c>
      <c r="L844" s="549" t="s">
        <v>310</v>
      </c>
      <c r="M844" s="554" t="s">
        <v>3179</v>
      </c>
      <c r="N844" s="549" t="s">
        <v>1209</v>
      </c>
    </row>
    <row r="845" spans="1:14" hidden="1" x14ac:dyDescent="0.3">
      <c r="A845" s="131">
        <v>29</v>
      </c>
      <c r="B845" s="534"/>
      <c r="C845" s="119" t="s">
        <v>3176</v>
      </c>
      <c r="D845" s="550"/>
      <c r="E845" s="550"/>
      <c r="F845" s="555"/>
      <c r="G845" s="555"/>
      <c r="H845" s="555"/>
      <c r="I845" s="157" t="s">
        <v>3178</v>
      </c>
      <c r="J845" s="555"/>
      <c r="K845" s="555"/>
      <c r="L845" s="550"/>
      <c r="M845" s="555"/>
      <c r="N845" s="550"/>
    </row>
    <row r="846" spans="1:14" hidden="1" x14ac:dyDescent="0.3">
      <c r="A846" s="131">
        <v>29</v>
      </c>
      <c r="B846" s="534"/>
      <c r="C846" s="119" t="s">
        <v>3166</v>
      </c>
      <c r="D846" s="549" t="s">
        <v>312</v>
      </c>
      <c r="E846" s="549" t="s">
        <v>321</v>
      </c>
      <c r="F846" s="554" t="s">
        <v>2613</v>
      </c>
      <c r="G846" s="554" t="s">
        <v>3142</v>
      </c>
      <c r="H846" s="554" t="s">
        <v>3143</v>
      </c>
      <c r="I846" s="554" t="s">
        <v>3154</v>
      </c>
      <c r="J846" s="554" t="s">
        <v>704</v>
      </c>
      <c r="K846" s="554" t="s">
        <v>1056</v>
      </c>
      <c r="L846" s="549" t="s">
        <v>310</v>
      </c>
      <c r="M846" s="656" t="s">
        <v>3181</v>
      </c>
      <c r="N846" s="549" t="s">
        <v>3182</v>
      </c>
    </row>
    <row r="847" spans="1:14" hidden="1" x14ac:dyDescent="0.3">
      <c r="A847" s="131">
        <v>29</v>
      </c>
      <c r="B847" s="534"/>
      <c r="C847" s="119"/>
      <c r="D847" s="614"/>
      <c r="E847" s="614"/>
      <c r="F847" s="655"/>
      <c r="G847" s="655"/>
      <c r="H847" s="655"/>
      <c r="I847" s="655"/>
      <c r="J847" s="655"/>
      <c r="K847" s="655"/>
      <c r="L847" s="614"/>
      <c r="M847" s="657"/>
      <c r="N847" s="614"/>
    </row>
    <row r="848" spans="1:14" hidden="1" x14ac:dyDescent="0.3">
      <c r="A848" s="131">
        <v>29</v>
      </c>
      <c r="B848" s="534"/>
      <c r="C848" s="119" t="s">
        <v>3180</v>
      </c>
      <c r="D848" s="550"/>
      <c r="E848" s="550"/>
      <c r="F848" s="555"/>
      <c r="G848" s="555"/>
      <c r="H848" s="555"/>
      <c r="I848" s="555"/>
      <c r="J848" s="555"/>
      <c r="K848" s="555"/>
      <c r="L848" s="550"/>
      <c r="M848" s="658"/>
      <c r="N848" s="550"/>
    </row>
    <row r="849" spans="1:14" hidden="1" x14ac:dyDescent="0.3">
      <c r="A849" s="131">
        <v>29</v>
      </c>
      <c r="B849" s="534"/>
      <c r="C849" s="119" t="s">
        <v>3183</v>
      </c>
      <c r="D849" s="549" t="s">
        <v>312</v>
      </c>
      <c r="E849" s="549" t="s">
        <v>321</v>
      </c>
      <c r="F849" s="554" t="s">
        <v>338</v>
      </c>
      <c r="G849" s="554" t="s">
        <v>3155</v>
      </c>
      <c r="H849" s="554" t="s">
        <v>356</v>
      </c>
      <c r="I849" s="554" t="s">
        <v>311</v>
      </c>
      <c r="J849" s="554" t="s">
        <v>640</v>
      </c>
      <c r="K849" s="554" t="s">
        <v>3156</v>
      </c>
      <c r="L849" s="549" t="s">
        <v>310</v>
      </c>
      <c r="M849" s="656" t="s">
        <v>1825</v>
      </c>
      <c r="N849" s="549" t="s">
        <v>3182</v>
      </c>
    </row>
    <row r="850" spans="1:14" hidden="1" x14ac:dyDescent="0.3">
      <c r="A850" s="131">
        <v>29</v>
      </c>
      <c r="B850" s="535"/>
      <c r="C850" s="119" t="s">
        <v>3176</v>
      </c>
      <c r="D850" s="550"/>
      <c r="E850" s="550"/>
      <c r="F850" s="555"/>
      <c r="G850" s="555"/>
      <c r="H850" s="555"/>
      <c r="I850" s="555"/>
      <c r="J850" s="555"/>
      <c r="K850" s="555"/>
      <c r="L850" s="550"/>
      <c r="M850" s="658"/>
      <c r="N850" s="550"/>
    </row>
    <row r="851" spans="1:14" hidden="1" x14ac:dyDescent="0.3">
      <c r="A851" s="131">
        <v>30</v>
      </c>
      <c r="B851" s="66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 x14ac:dyDescent="0.3">
      <c r="A852" s="131">
        <v>30</v>
      </c>
      <c r="B852" s="66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 x14ac:dyDescent="0.3">
      <c r="A853" s="131">
        <v>30</v>
      </c>
      <c r="B853" s="662"/>
      <c r="C853" s="156" t="s">
        <v>3193</v>
      </c>
      <c r="D853" s="549" t="s">
        <v>307</v>
      </c>
      <c r="E853" s="549" t="s">
        <v>323</v>
      </c>
      <c r="F853" s="549" t="s">
        <v>308</v>
      </c>
      <c r="G853" s="554" t="s">
        <v>3134</v>
      </c>
      <c r="H853" s="549" t="s">
        <v>2003</v>
      </c>
      <c r="I853" s="554" t="s">
        <v>3195</v>
      </c>
      <c r="J853" s="549" t="s">
        <v>666</v>
      </c>
      <c r="K853" s="156" t="s">
        <v>3196</v>
      </c>
      <c r="L853" s="549"/>
      <c r="M853" s="549" t="s">
        <v>3197</v>
      </c>
      <c r="N853" s="549" t="s">
        <v>667</v>
      </c>
    </row>
    <row r="854" spans="1:14" hidden="1" x14ac:dyDescent="0.3">
      <c r="A854" s="131">
        <v>30</v>
      </c>
      <c r="B854" s="662"/>
      <c r="C854" s="156" t="s">
        <v>3194</v>
      </c>
      <c r="D854" s="550"/>
      <c r="E854" s="550"/>
      <c r="F854" s="550"/>
      <c r="G854" s="555"/>
      <c r="H854" s="550"/>
      <c r="I854" s="555"/>
      <c r="J854" s="550"/>
      <c r="K854" s="156" t="s">
        <v>657</v>
      </c>
      <c r="L854" s="550"/>
      <c r="M854" s="550"/>
      <c r="N854" s="550"/>
    </row>
    <row r="855" spans="1:14" hidden="1" x14ac:dyDescent="0.3">
      <c r="A855" s="131">
        <v>30</v>
      </c>
      <c r="B855" s="66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 x14ac:dyDescent="0.3">
      <c r="A856" s="131">
        <v>30</v>
      </c>
      <c r="B856" s="533" t="s">
        <v>3203</v>
      </c>
      <c r="C856" s="659" t="s">
        <v>3204</v>
      </c>
      <c r="D856" s="549" t="s">
        <v>312</v>
      </c>
      <c r="E856" s="549" t="s">
        <v>321</v>
      </c>
      <c r="F856" s="554" t="s">
        <v>2613</v>
      </c>
      <c r="G856" s="554" t="s">
        <v>2764</v>
      </c>
      <c r="H856" s="554" t="s">
        <v>349</v>
      </c>
      <c r="I856" s="554" t="s">
        <v>3205</v>
      </c>
      <c r="J856" s="554" t="s">
        <v>640</v>
      </c>
      <c r="K856" s="554" t="s">
        <v>700</v>
      </c>
      <c r="L856" s="549" t="s">
        <v>310</v>
      </c>
      <c r="M856" s="549" t="s">
        <v>1819</v>
      </c>
      <c r="N856" s="156" t="s">
        <v>3206</v>
      </c>
    </row>
    <row r="857" spans="1:14" hidden="1" x14ac:dyDescent="0.3">
      <c r="A857" s="131">
        <v>30</v>
      </c>
      <c r="B857" s="534"/>
      <c r="C857" s="660"/>
      <c r="D857" s="550"/>
      <c r="E857" s="550"/>
      <c r="F857" s="555"/>
      <c r="G857" s="555"/>
      <c r="H857" s="555"/>
      <c r="I857" s="555"/>
      <c r="J857" s="555"/>
      <c r="K857" s="555"/>
      <c r="L857" s="550"/>
      <c r="M857" s="550"/>
      <c r="N857" s="156" t="s">
        <v>3207</v>
      </c>
    </row>
    <row r="858" spans="1:14" ht="16.5" hidden="1" customHeight="1" x14ac:dyDescent="0.3">
      <c r="A858" s="131">
        <v>30</v>
      </c>
      <c r="B858" s="534"/>
      <c r="C858" s="659" t="s">
        <v>3204</v>
      </c>
      <c r="D858" s="549" t="s">
        <v>312</v>
      </c>
      <c r="E858" s="549" t="s">
        <v>321</v>
      </c>
      <c r="F858" s="554" t="s">
        <v>711</v>
      </c>
      <c r="G858" s="157" t="s">
        <v>3208</v>
      </c>
      <c r="H858" s="554" t="s">
        <v>642</v>
      </c>
      <c r="I858" s="554" t="s">
        <v>3209</v>
      </c>
      <c r="J858" s="554"/>
      <c r="K858" s="554" t="s">
        <v>694</v>
      </c>
      <c r="L858" s="549" t="s">
        <v>310</v>
      </c>
      <c r="M858" s="549" t="s">
        <v>1540</v>
      </c>
      <c r="N858" s="549" t="s">
        <v>1781</v>
      </c>
    </row>
    <row r="859" spans="1:14" hidden="1" x14ac:dyDescent="0.3">
      <c r="A859" s="131">
        <v>30</v>
      </c>
      <c r="B859" s="534"/>
      <c r="C859" s="660"/>
      <c r="D859" s="550"/>
      <c r="E859" s="550"/>
      <c r="F859" s="555"/>
      <c r="G859" s="157">
        <v>2651</v>
      </c>
      <c r="H859" s="555"/>
      <c r="I859" s="555"/>
      <c r="J859" s="555"/>
      <c r="K859" s="555"/>
      <c r="L859" s="550"/>
      <c r="M859" s="550"/>
      <c r="N859" s="550"/>
    </row>
    <row r="860" spans="1:14" hidden="1" x14ac:dyDescent="0.3">
      <c r="A860" s="131">
        <v>30</v>
      </c>
      <c r="B860" s="534"/>
      <c r="C860" s="659" t="s">
        <v>3210</v>
      </c>
      <c r="D860" s="549" t="s">
        <v>312</v>
      </c>
      <c r="E860" s="549" t="s">
        <v>321</v>
      </c>
      <c r="F860" s="554" t="s">
        <v>722</v>
      </c>
      <c r="G860" s="554" t="s">
        <v>1765</v>
      </c>
      <c r="H860" s="554" t="s">
        <v>349</v>
      </c>
      <c r="I860" s="157" t="s">
        <v>3211</v>
      </c>
      <c r="J860" s="554"/>
      <c r="K860" s="554" t="s">
        <v>3213</v>
      </c>
      <c r="L860" s="549" t="s">
        <v>310</v>
      </c>
      <c r="M860" s="549" t="s">
        <v>1942</v>
      </c>
      <c r="N860" s="549" t="s">
        <v>1209</v>
      </c>
    </row>
    <row r="861" spans="1:14" hidden="1" x14ac:dyDescent="0.3">
      <c r="A861" s="131">
        <v>30</v>
      </c>
      <c r="B861" s="534"/>
      <c r="C861" s="660"/>
      <c r="D861" s="550"/>
      <c r="E861" s="550"/>
      <c r="F861" s="555"/>
      <c r="G861" s="555"/>
      <c r="H861" s="555"/>
      <c r="I861" s="157" t="s">
        <v>3212</v>
      </c>
      <c r="J861" s="555"/>
      <c r="K861" s="555"/>
      <c r="L861" s="550"/>
      <c r="M861" s="550"/>
      <c r="N861" s="550"/>
    </row>
    <row r="862" spans="1:14" hidden="1" x14ac:dyDescent="0.3">
      <c r="A862" s="131">
        <v>30</v>
      </c>
      <c r="B862" s="534"/>
      <c r="C862" s="119" t="s">
        <v>3214</v>
      </c>
      <c r="D862" s="549" t="s">
        <v>312</v>
      </c>
      <c r="E862" s="549" t="s">
        <v>321</v>
      </c>
      <c r="F862" s="554" t="s">
        <v>692</v>
      </c>
      <c r="G862" s="554" t="s">
        <v>3149</v>
      </c>
      <c r="H862" s="554" t="s">
        <v>356</v>
      </c>
      <c r="I862" s="554" t="s">
        <v>3216</v>
      </c>
      <c r="J862" s="554" t="s">
        <v>640</v>
      </c>
      <c r="K862" s="554" t="s">
        <v>657</v>
      </c>
      <c r="L862" s="549" t="s">
        <v>310</v>
      </c>
      <c r="M862" s="549" t="s">
        <v>1540</v>
      </c>
      <c r="N862" s="549" t="s">
        <v>1209</v>
      </c>
    </row>
    <row r="863" spans="1:14" hidden="1" x14ac:dyDescent="0.3">
      <c r="A863" s="131">
        <v>30</v>
      </c>
      <c r="B863" s="534"/>
      <c r="C863" s="119" t="s">
        <v>3215</v>
      </c>
      <c r="D863" s="550"/>
      <c r="E863" s="550"/>
      <c r="F863" s="555"/>
      <c r="G863" s="555"/>
      <c r="H863" s="555"/>
      <c r="I863" s="555"/>
      <c r="J863" s="555"/>
      <c r="K863" s="555"/>
      <c r="L863" s="550"/>
      <c r="M863" s="550"/>
      <c r="N863" s="550"/>
    </row>
    <row r="864" spans="1:14" hidden="1" x14ac:dyDescent="0.3">
      <c r="A864" s="131">
        <v>30</v>
      </c>
      <c r="B864" s="534"/>
      <c r="C864" s="119" t="s">
        <v>3217</v>
      </c>
      <c r="D864" s="549" t="s">
        <v>312</v>
      </c>
      <c r="E864" s="549" t="s">
        <v>321</v>
      </c>
      <c r="F864" s="554" t="s">
        <v>338</v>
      </c>
      <c r="G864" s="554" t="s">
        <v>3155</v>
      </c>
      <c r="H864" s="554" t="s">
        <v>356</v>
      </c>
      <c r="I864" s="554" t="s">
        <v>3218</v>
      </c>
      <c r="J864" s="554" t="s">
        <v>640</v>
      </c>
      <c r="K864" s="554" t="s">
        <v>715</v>
      </c>
      <c r="L864" s="549" t="s">
        <v>310</v>
      </c>
      <c r="M864" s="549" t="s">
        <v>1819</v>
      </c>
      <c r="N864" s="549" t="s">
        <v>1209</v>
      </c>
    </row>
    <row r="865" spans="1:14" hidden="1" x14ac:dyDescent="0.3">
      <c r="A865" s="131">
        <v>30</v>
      </c>
      <c r="B865" s="534"/>
      <c r="C865" s="119" t="s">
        <v>3194</v>
      </c>
      <c r="D865" s="550"/>
      <c r="E865" s="550"/>
      <c r="F865" s="555"/>
      <c r="G865" s="555"/>
      <c r="H865" s="555"/>
      <c r="I865" s="555"/>
      <c r="J865" s="555"/>
      <c r="K865" s="555"/>
      <c r="L865" s="550"/>
      <c r="M865" s="550"/>
      <c r="N865" s="550"/>
    </row>
    <row r="866" spans="1:14" ht="25.5" hidden="1" x14ac:dyDescent="0.3">
      <c r="A866" s="131">
        <v>30</v>
      </c>
      <c r="B866" s="534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 x14ac:dyDescent="0.3">
      <c r="A867" s="131">
        <v>30</v>
      </c>
      <c r="B867" s="534"/>
      <c r="C867" s="659" t="s">
        <v>3198</v>
      </c>
      <c r="D867" s="549" t="s">
        <v>312</v>
      </c>
      <c r="E867" s="549" t="s">
        <v>677</v>
      </c>
      <c r="F867" s="554" t="s">
        <v>662</v>
      </c>
      <c r="G867" s="554" t="s">
        <v>663</v>
      </c>
      <c r="H867" s="554" t="s">
        <v>664</v>
      </c>
      <c r="I867" s="157" t="s">
        <v>3221</v>
      </c>
      <c r="J867" s="554" t="s">
        <v>640</v>
      </c>
      <c r="K867" s="554" t="s">
        <v>733</v>
      </c>
      <c r="L867" s="549" t="s">
        <v>310</v>
      </c>
      <c r="M867" s="549" t="s">
        <v>1837</v>
      </c>
      <c r="N867" s="549" t="s">
        <v>3223</v>
      </c>
    </row>
    <row r="868" spans="1:14" hidden="1" x14ac:dyDescent="0.3">
      <c r="A868" s="131">
        <v>30</v>
      </c>
      <c r="B868" s="535"/>
      <c r="C868" s="660"/>
      <c r="D868" s="550"/>
      <c r="E868" s="550"/>
      <c r="F868" s="555"/>
      <c r="G868" s="555"/>
      <c r="H868" s="555"/>
      <c r="I868" s="157" t="s">
        <v>3222</v>
      </c>
      <c r="J868" s="555"/>
      <c r="K868" s="555"/>
      <c r="L868" s="550"/>
      <c r="M868" s="550"/>
      <c r="N868" s="550"/>
    </row>
    <row r="869" spans="1:14" ht="25.5" hidden="1" x14ac:dyDescent="0.3">
      <c r="A869" s="131">
        <v>31</v>
      </c>
      <c r="B869" s="533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 x14ac:dyDescent="0.3">
      <c r="A870" s="131">
        <v>31</v>
      </c>
      <c r="B870" s="534"/>
      <c r="C870" s="156" t="s">
        <v>3227</v>
      </c>
      <c r="D870" s="549" t="s">
        <v>307</v>
      </c>
      <c r="E870" s="549" t="s">
        <v>323</v>
      </c>
      <c r="F870" s="549" t="s">
        <v>308</v>
      </c>
      <c r="G870" s="554">
        <v>1566</v>
      </c>
      <c r="H870" s="549" t="s">
        <v>1920</v>
      </c>
      <c r="I870" s="554" t="s">
        <v>3229</v>
      </c>
      <c r="J870" s="549" t="s">
        <v>666</v>
      </c>
      <c r="K870" s="549" t="s">
        <v>3230</v>
      </c>
      <c r="L870" s="549"/>
      <c r="M870" s="549" t="s">
        <v>3231</v>
      </c>
      <c r="N870" s="549" t="s">
        <v>667</v>
      </c>
    </row>
    <row r="871" spans="1:14" hidden="1" x14ac:dyDescent="0.3">
      <c r="A871" s="131">
        <v>31</v>
      </c>
      <c r="B871" s="534"/>
      <c r="C871" s="156" t="s">
        <v>3228</v>
      </c>
      <c r="D871" s="550"/>
      <c r="E871" s="550"/>
      <c r="F871" s="550"/>
      <c r="G871" s="555"/>
      <c r="H871" s="550"/>
      <c r="I871" s="555"/>
      <c r="J871" s="550"/>
      <c r="K871" s="550"/>
      <c r="L871" s="550"/>
      <c r="M871" s="550"/>
      <c r="N871" s="550"/>
    </row>
    <row r="872" spans="1:14" ht="25.5" hidden="1" x14ac:dyDescent="0.3">
      <c r="A872" s="131">
        <v>31</v>
      </c>
      <c r="B872" s="534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 x14ac:dyDescent="0.3">
      <c r="A873" s="131">
        <v>31</v>
      </c>
      <c r="B873" s="534"/>
      <c r="C873" s="427" t="s">
        <v>3227</v>
      </c>
      <c r="D873" s="549" t="s">
        <v>307</v>
      </c>
      <c r="E873" s="549" t="s">
        <v>323</v>
      </c>
      <c r="F873" s="549" t="s">
        <v>308</v>
      </c>
      <c r="G873" s="554" t="s">
        <v>3234</v>
      </c>
      <c r="H873" s="549" t="s">
        <v>3235</v>
      </c>
      <c r="I873" s="554" t="s">
        <v>333</v>
      </c>
      <c r="J873" s="549" t="s">
        <v>1539</v>
      </c>
      <c r="K873" s="549" t="s">
        <v>1160</v>
      </c>
      <c r="L873" s="549"/>
      <c r="M873" s="549" t="s">
        <v>3236</v>
      </c>
      <c r="N873" s="549" t="s">
        <v>427</v>
      </c>
    </row>
    <row r="874" spans="1:14" hidden="1" x14ac:dyDescent="0.3">
      <c r="A874" s="131">
        <v>31</v>
      </c>
      <c r="B874" s="535"/>
      <c r="C874" s="427" t="s">
        <v>3233</v>
      </c>
      <c r="D874" s="550"/>
      <c r="E874" s="550"/>
      <c r="F874" s="550"/>
      <c r="G874" s="555"/>
      <c r="H874" s="550"/>
      <c r="I874" s="555"/>
      <c r="J874" s="550"/>
      <c r="K874" s="550"/>
      <c r="L874" s="550"/>
      <c r="M874" s="550"/>
      <c r="N874" s="550"/>
    </row>
    <row r="875" spans="1:14" ht="25.5" hidden="1" x14ac:dyDescent="0.3">
      <c r="A875" s="131">
        <v>31</v>
      </c>
      <c r="B875" s="533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 x14ac:dyDescent="0.3">
      <c r="A876" s="131">
        <v>31</v>
      </c>
      <c r="B876" s="534"/>
      <c r="C876" s="549" t="s">
        <v>3215</v>
      </c>
      <c r="D876" s="549" t="s">
        <v>312</v>
      </c>
      <c r="E876" s="549" t="s">
        <v>677</v>
      </c>
      <c r="F876" s="554" t="s">
        <v>662</v>
      </c>
      <c r="G876" s="554" t="s">
        <v>663</v>
      </c>
      <c r="H876" s="554" t="s">
        <v>664</v>
      </c>
      <c r="I876" s="157" t="s">
        <v>3221</v>
      </c>
      <c r="J876" s="554"/>
      <c r="K876" s="554" t="s">
        <v>700</v>
      </c>
      <c r="L876" s="549" t="s">
        <v>310</v>
      </c>
      <c r="M876" s="549" t="s">
        <v>3226</v>
      </c>
      <c r="N876" s="549" t="s">
        <v>3239</v>
      </c>
    </row>
    <row r="877" spans="1:14" hidden="1" x14ac:dyDescent="0.3">
      <c r="A877" s="131">
        <v>31</v>
      </c>
      <c r="B877" s="534"/>
      <c r="C877" s="550"/>
      <c r="D877" s="550"/>
      <c r="E877" s="550"/>
      <c r="F877" s="555"/>
      <c r="G877" s="555"/>
      <c r="H877" s="555"/>
      <c r="I877" s="157" t="s">
        <v>3222</v>
      </c>
      <c r="J877" s="555"/>
      <c r="K877" s="555"/>
      <c r="L877" s="550"/>
      <c r="M877" s="550"/>
      <c r="N877" s="550"/>
    </row>
    <row r="878" spans="1:14" ht="16.5" hidden="1" customHeight="1" x14ac:dyDescent="0.3">
      <c r="A878" s="131">
        <v>31</v>
      </c>
      <c r="B878" s="534"/>
      <c r="C878" s="156" t="s">
        <v>3240</v>
      </c>
      <c r="D878" s="549" t="s">
        <v>312</v>
      </c>
      <c r="E878" s="549" t="s">
        <v>321</v>
      </c>
      <c r="F878" s="554" t="s">
        <v>3151</v>
      </c>
      <c r="G878" s="554" t="s">
        <v>1928</v>
      </c>
      <c r="H878" s="554" t="s">
        <v>3152</v>
      </c>
      <c r="I878" s="554" t="s">
        <v>3241</v>
      </c>
      <c r="J878" s="554"/>
      <c r="K878" s="554" t="s">
        <v>3242</v>
      </c>
      <c r="L878" s="549" t="s">
        <v>310</v>
      </c>
      <c r="M878" s="549" t="s">
        <v>3243</v>
      </c>
      <c r="N878" s="549" t="s">
        <v>3238</v>
      </c>
    </row>
    <row r="879" spans="1:14" hidden="1" x14ac:dyDescent="0.3">
      <c r="A879" s="131">
        <v>31</v>
      </c>
      <c r="B879" s="534"/>
      <c r="C879" s="156" t="s">
        <v>3198</v>
      </c>
      <c r="D879" s="550"/>
      <c r="E879" s="550"/>
      <c r="F879" s="555"/>
      <c r="G879" s="555"/>
      <c r="H879" s="555"/>
      <c r="I879" s="555"/>
      <c r="J879" s="555"/>
      <c r="K879" s="555"/>
      <c r="L879" s="550"/>
      <c r="M879" s="550"/>
      <c r="N879" s="550"/>
    </row>
    <row r="880" spans="1:14" ht="25.5" hidden="1" x14ac:dyDescent="0.3">
      <c r="A880" s="131">
        <v>31</v>
      </c>
      <c r="B880" s="534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 x14ac:dyDescent="0.3">
      <c r="A881" s="131">
        <v>31</v>
      </c>
      <c r="B881" s="534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 x14ac:dyDescent="0.3">
      <c r="A882" s="131">
        <v>31</v>
      </c>
      <c r="B882" s="534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 x14ac:dyDescent="0.3">
      <c r="A883" s="131">
        <v>31</v>
      </c>
      <c r="B883" s="534"/>
      <c r="C883" s="119" t="s">
        <v>3253</v>
      </c>
      <c r="D883" s="549" t="s">
        <v>312</v>
      </c>
      <c r="E883" s="549" t="s">
        <v>321</v>
      </c>
      <c r="F883" s="554" t="s">
        <v>338</v>
      </c>
      <c r="G883" s="554" t="s">
        <v>3255</v>
      </c>
      <c r="H883" s="554" t="s">
        <v>3256</v>
      </c>
      <c r="I883" s="554" t="s">
        <v>3257</v>
      </c>
      <c r="J883" s="554" t="s">
        <v>3258</v>
      </c>
      <c r="K883" s="554" t="s">
        <v>3259</v>
      </c>
      <c r="L883" s="549" t="s">
        <v>310</v>
      </c>
      <c r="M883" s="549" t="s">
        <v>3260</v>
      </c>
      <c r="N883" s="549" t="s">
        <v>3223</v>
      </c>
    </row>
    <row r="884" spans="1:14" hidden="1" x14ac:dyDescent="0.3">
      <c r="A884" s="131">
        <v>31</v>
      </c>
      <c r="B884" s="535"/>
      <c r="C884" s="119" t="s">
        <v>3254</v>
      </c>
      <c r="D884" s="550"/>
      <c r="E884" s="550"/>
      <c r="F884" s="555"/>
      <c r="G884" s="555"/>
      <c r="H884" s="555"/>
      <c r="I884" s="555"/>
      <c r="J884" s="555"/>
      <c r="K884" s="555"/>
      <c r="L884" s="550"/>
      <c r="M884" s="550"/>
      <c r="N884" s="550"/>
    </row>
    <row r="885" spans="1:14" ht="27" hidden="1" x14ac:dyDescent="0.3">
      <c r="A885" s="131">
        <v>32</v>
      </c>
      <c r="B885" s="664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 x14ac:dyDescent="0.3">
      <c r="A886" s="131">
        <v>32</v>
      </c>
      <c r="B886" s="665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 x14ac:dyDescent="0.3">
      <c r="A887" s="131">
        <v>32</v>
      </c>
      <c r="B887" s="665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 x14ac:dyDescent="0.3">
      <c r="A888" s="131">
        <v>32</v>
      </c>
      <c r="B888" s="666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 x14ac:dyDescent="0.3">
      <c r="A889" s="131">
        <v>32</v>
      </c>
      <c r="B889" s="664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 x14ac:dyDescent="0.3">
      <c r="A890" s="131">
        <v>32</v>
      </c>
      <c r="B890" s="665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 x14ac:dyDescent="0.3">
      <c r="A891" s="131">
        <v>32</v>
      </c>
      <c r="B891" s="665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 x14ac:dyDescent="0.3">
      <c r="A892" s="131">
        <v>32</v>
      </c>
      <c r="B892" s="666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 x14ac:dyDescent="0.3">
      <c r="A893" s="131">
        <v>33</v>
      </c>
      <c r="B893" s="664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 x14ac:dyDescent="0.3">
      <c r="A894" s="131">
        <v>33</v>
      </c>
      <c r="B894" s="665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 x14ac:dyDescent="0.3">
      <c r="A895" s="131">
        <v>33</v>
      </c>
      <c r="B895" s="666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 x14ac:dyDescent="0.3">
      <c r="A896" s="131">
        <v>33</v>
      </c>
      <c r="B896" s="664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 x14ac:dyDescent="0.3">
      <c r="A897" s="131">
        <v>33</v>
      </c>
      <c r="B897" s="665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 x14ac:dyDescent="0.3">
      <c r="A898" s="131">
        <v>33</v>
      </c>
      <c r="B898" s="666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 x14ac:dyDescent="0.3">
      <c r="A899" s="131">
        <v>34</v>
      </c>
      <c r="B899" s="54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 x14ac:dyDescent="0.3">
      <c r="A900" s="131">
        <v>34</v>
      </c>
      <c r="B900" s="54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 x14ac:dyDescent="0.3">
      <c r="A901" s="131">
        <v>34</v>
      </c>
      <c r="B901" s="54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 x14ac:dyDescent="0.3">
      <c r="A902" s="131">
        <v>34</v>
      </c>
      <c r="B902" s="54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 x14ac:dyDescent="0.3">
      <c r="A903" s="131">
        <v>34</v>
      </c>
      <c r="B903" s="54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 x14ac:dyDescent="0.3">
      <c r="A904" s="131">
        <v>34</v>
      </c>
      <c r="B904" s="54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 x14ac:dyDescent="0.3">
      <c r="A905" s="131">
        <v>34</v>
      </c>
      <c r="B905" s="54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 x14ac:dyDescent="0.3">
      <c r="A906" s="131">
        <v>34</v>
      </c>
      <c r="B906" s="54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 x14ac:dyDescent="0.3">
      <c r="A907" s="131">
        <v>34</v>
      </c>
      <c r="B907" s="54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 x14ac:dyDescent="0.3">
      <c r="A908" s="131">
        <v>34</v>
      </c>
      <c r="B908" s="54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 x14ac:dyDescent="0.3">
      <c r="A909" s="131">
        <v>34</v>
      </c>
      <c r="B909" s="54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 x14ac:dyDescent="0.3">
      <c r="A910" s="131">
        <v>34</v>
      </c>
      <c r="B910" s="54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 x14ac:dyDescent="0.3">
      <c r="A911" s="131">
        <v>35</v>
      </c>
      <c r="B911" s="54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 x14ac:dyDescent="0.3">
      <c r="A912" s="131">
        <v>35</v>
      </c>
      <c r="B912" s="54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 x14ac:dyDescent="0.3">
      <c r="A913" s="131">
        <v>35</v>
      </c>
      <c r="B913" s="54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 x14ac:dyDescent="0.3">
      <c r="A914" s="131">
        <v>35</v>
      </c>
      <c r="B914" s="54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 x14ac:dyDescent="0.3">
      <c r="A915" s="131">
        <v>35</v>
      </c>
      <c r="B915" s="54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 x14ac:dyDescent="0.3">
      <c r="A916" s="131">
        <v>35</v>
      </c>
      <c r="B916" s="54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 x14ac:dyDescent="0.3">
      <c r="A917" s="131">
        <v>35</v>
      </c>
      <c r="B917" s="54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 x14ac:dyDescent="0.3">
      <c r="A918" s="131">
        <v>35</v>
      </c>
      <c r="B918" s="54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 x14ac:dyDescent="0.3">
      <c r="A919" s="131">
        <v>35</v>
      </c>
      <c r="B919" s="54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 x14ac:dyDescent="0.3">
      <c r="A920" s="131">
        <v>35</v>
      </c>
      <c r="B920" s="54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 x14ac:dyDescent="0.3">
      <c r="A921" s="131">
        <v>35</v>
      </c>
      <c r="B921" s="54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 x14ac:dyDescent="0.3">
      <c r="A922" s="131">
        <v>35</v>
      </c>
      <c r="B922" s="54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 x14ac:dyDescent="0.3">
      <c r="A923" s="131">
        <v>35</v>
      </c>
      <c r="B923" s="54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 x14ac:dyDescent="0.3">
      <c r="A924" s="131">
        <v>35</v>
      </c>
      <c r="B924" s="54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 x14ac:dyDescent="0.3">
      <c r="A925" s="131">
        <v>35</v>
      </c>
      <c r="B925" s="54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 x14ac:dyDescent="0.3">
      <c r="A926" s="131">
        <v>35</v>
      </c>
      <c r="B926" s="54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 x14ac:dyDescent="0.3">
      <c r="A927" s="131">
        <v>36</v>
      </c>
      <c r="B927" s="53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 x14ac:dyDescent="0.3">
      <c r="A928" s="131">
        <v>36</v>
      </c>
      <c r="B928" s="53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 x14ac:dyDescent="0.3">
      <c r="A929" s="131">
        <v>36</v>
      </c>
      <c r="B929" s="53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 x14ac:dyDescent="0.3">
      <c r="A930" s="131">
        <v>36</v>
      </c>
      <c r="B930" s="53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 x14ac:dyDescent="0.3">
      <c r="A931" s="131">
        <v>36</v>
      </c>
      <c r="B931" s="53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 x14ac:dyDescent="0.3">
      <c r="A932" s="131">
        <v>36</v>
      </c>
      <c r="B932" s="53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 x14ac:dyDescent="0.3">
      <c r="A933" s="131">
        <v>36</v>
      </c>
      <c r="B933" s="53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 x14ac:dyDescent="0.3">
      <c r="A934" s="131">
        <v>36</v>
      </c>
      <c r="B934" s="53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 x14ac:dyDescent="0.3">
      <c r="A935" s="131">
        <v>36</v>
      </c>
      <c r="B935" s="53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 x14ac:dyDescent="0.3">
      <c r="A936" s="131">
        <v>36</v>
      </c>
      <c r="B936" s="53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 x14ac:dyDescent="0.3">
      <c r="A937" s="131">
        <v>36</v>
      </c>
      <c r="B937" s="53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 x14ac:dyDescent="0.3">
      <c r="A938" s="131">
        <v>36</v>
      </c>
      <c r="B938" s="53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 x14ac:dyDescent="0.3">
      <c r="A939" s="131">
        <v>37</v>
      </c>
      <c r="B939" s="53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 x14ac:dyDescent="0.3">
      <c r="A940" s="131">
        <v>37</v>
      </c>
      <c r="B940" s="53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 x14ac:dyDescent="0.3">
      <c r="A941" s="131">
        <v>37</v>
      </c>
      <c r="B941" s="53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 x14ac:dyDescent="0.3">
      <c r="A942" s="131">
        <v>37</v>
      </c>
      <c r="B942" s="53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 x14ac:dyDescent="0.3">
      <c r="A943" s="131">
        <v>37</v>
      </c>
      <c r="B943" s="53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 x14ac:dyDescent="0.3">
      <c r="A944" s="131">
        <v>37</v>
      </c>
      <c r="B944" s="53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 x14ac:dyDescent="0.3">
      <c r="A945" s="131">
        <v>37</v>
      </c>
      <c r="B945" s="53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 x14ac:dyDescent="0.3">
      <c r="A946" s="131">
        <v>37</v>
      </c>
      <c r="B946" s="53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 x14ac:dyDescent="0.3">
      <c r="A947" s="131">
        <v>37</v>
      </c>
      <c r="B947" s="53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 x14ac:dyDescent="0.3">
      <c r="A948" s="131">
        <v>37</v>
      </c>
      <c r="B948" s="53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 x14ac:dyDescent="0.3">
      <c r="A949" s="131">
        <v>37</v>
      </c>
      <c r="B949" s="53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 x14ac:dyDescent="0.3">
      <c r="A950" s="131">
        <v>37</v>
      </c>
      <c r="B950" s="53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 x14ac:dyDescent="0.3">
      <c r="A951" s="131">
        <v>37</v>
      </c>
      <c r="B951" s="53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 x14ac:dyDescent="0.3">
      <c r="A952" s="131">
        <v>37</v>
      </c>
      <c r="B952" s="53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 x14ac:dyDescent="0.3">
      <c r="A953" s="131">
        <v>37</v>
      </c>
      <c r="B953" s="53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 x14ac:dyDescent="0.3">
      <c r="A954" s="131">
        <v>38</v>
      </c>
      <c r="B954" s="53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 x14ac:dyDescent="0.3">
      <c r="A955" s="131">
        <v>38</v>
      </c>
      <c r="B955" s="53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 x14ac:dyDescent="0.3">
      <c r="A956" s="131">
        <v>38</v>
      </c>
      <c r="B956" s="53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 x14ac:dyDescent="0.3">
      <c r="A957" s="131">
        <v>38</v>
      </c>
      <c r="B957" s="53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 x14ac:dyDescent="0.3">
      <c r="A958" s="131">
        <v>38</v>
      </c>
      <c r="B958" s="53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 x14ac:dyDescent="0.3">
      <c r="A959" s="131">
        <v>38</v>
      </c>
      <c r="B959" s="53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 x14ac:dyDescent="0.3">
      <c r="A960" s="131">
        <v>38</v>
      </c>
      <c r="B960" s="53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 x14ac:dyDescent="0.3">
      <c r="A961" s="131">
        <v>38</v>
      </c>
      <c r="B961" s="53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 x14ac:dyDescent="0.3">
      <c r="A962" s="131">
        <v>38</v>
      </c>
      <c r="B962" s="53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 x14ac:dyDescent="0.3">
      <c r="A963" s="131">
        <v>38</v>
      </c>
      <c r="B963" s="53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 x14ac:dyDescent="0.3">
      <c r="A964" s="131">
        <v>38</v>
      </c>
      <c r="B964" s="53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 x14ac:dyDescent="0.3">
      <c r="A965" s="131">
        <v>39</v>
      </c>
      <c r="B965" s="53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 x14ac:dyDescent="0.3">
      <c r="A966" s="131">
        <v>39</v>
      </c>
      <c r="B966" s="53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 x14ac:dyDescent="0.3">
      <c r="A967" s="131">
        <v>39</v>
      </c>
      <c r="B967" s="53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 x14ac:dyDescent="0.3">
      <c r="A968" s="131">
        <v>39</v>
      </c>
      <c r="B968" s="53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 x14ac:dyDescent="0.3">
      <c r="A969" s="131">
        <v>39</v>
      </c>
      <c r="B969" s="53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 x14ac:dyDescent="0.3">
      <c r="A970" s="131">
        <v>39</v>
      </c>
      <c r="B970" s="53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 x14ac:dyDescent="0.3">
      <c r="A971" s="131">
        <v>39</v>
      </c>
      <c r="B971" s="53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 x14ac:dyDescent="0.3">
      <c r="A972" s="131">
        <v>39</v>
      </c>
      <c r="B972" s="53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 x14ac:dyDescent="0.3">
      <c r="A973" s="131">
        <v>39</v>
      </c>
      <c r="B973" s="53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 x14ac:dyDescent="0.3">
      <c r="A974" s="131">
        <v>39</v>
      </c>
      <c r="B974" s="53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 x14ac:dyDescent="0.3">
      <c r="A975" s="131">
        <v>39</v>
      </c>
      <c r="B975" s="53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 x14ac:dyDescent="0.3">
      <c r="A976" s="131">
        <v>40</v>
      </c>
      <c r="B976" s="53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 x14ac:dyDescent="0.3">
      <c r="A977" s="131">
        <v>40</v>
      </c>
      <c r="B977" s="53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 x14ac:dyDescent="0.3">
      <c r="A978" s="131">
        <v>40</v>
      </c>
      <c r="B978" s="53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 x14ac:dyDescent="0.3">
      <c r="A979" s="131">
        <v>40</v>
      </c>
      <c r="B979" s="53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 x14ac:dyDescent="0.3">
      <c r="A980" s="131">
        <v>40</v>
      </c>
      <c r="B980" s="53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 x14ac:dyDescent="0.3">
      <c r="A981" s="131">
        <v>40</v>
      </c>
      <c r="B981" s="53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 x14ac:dyDescent="0.3">
      <c r="A982" s="131">
        <v>40</v>
      </c>
      <c r="B982" s="53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 x14ac:dyDescent="0.3">
      <c r="A983" s="131">
        <v>40</v>
      </c>
      <c r="B983" s="53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 x14ac:dyDescent="0.3">
      <c r="A984" s="131">
        <v>40</v>
      </c>
      <c r="B984" s="53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 x14ac:dyDescent="0.3">
      <c r="A985" s="131">
        <v>41</v>
      </c>
      <c r="B985" s="53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 x14ac:dyDescent="0.3">
      <c r="A986" s="131">
        <v>41</v>
      </c>
      <c r="B986" s="53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 x14ac:dyDescent="0.3">
      <c r="A987" s="131">
        <v>41</v>
      </c>
      <c r="B987" s="53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 x14ac:dyDescent="0.3">
      <c r="A988" s="131">
        <v>41</v>
      </c>
      <c r="B988" s="53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 x14ac:dyDescent="0.3">
      <c r="A989" s="131">
        <v>42</v>
      </c>
      <c r="B989" s="53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 x14ac:dyDescent="0.3">
      <c r="A990" s="131">
        <v>42</v>
      </c>
      <c r="B990" s="53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 x14ac:dyDescent="0.3">
      <c r="A991" s="131">
        <v>42</v>
      </c>
      <c r="B991" s="53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 x14ac:dyDescent="0.3">
      <c r="A992" s="131">
        <v>42</v>
      </c>
      <c r="B992" s="53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 x14ac:dyDescent="0.3">
      <c r="A993" s="131">
        <v>42</v>
      </c>
      <c r="B993" s="53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 x14ac:dyDescent="0.3">
      <c r="A994" s="131">
        <v>42</v>
      </c>
      <c r="B994" s="53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 x14ac:dyDescent="0.3">
      <c r="A995" s="131">
        <v>42</v>
      </c>
      <c r="B995" s="53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 x14ac:dyDescent="0.3">
      <c r="A996" s="131">
        <v>43</v>
      </c>
      <c r="B996" s="53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 x14ac:dyDescent="0.3">
      <c r="A997" s="131">
        <v>43</v>
      </c>
      <c r="B997" s="53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 x14ac:dyDescent="0.3">
      <c r="A998" s="131">
        <v>43</v>
      </c>
      <c r="B998" s="53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 x14ac:dyDescent="0.3">
      <c r="A999" s="131">
        <v>43</v>
      </c>
      <c r="B999" s="53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 x14ac:dyDescent="0.3">
      <c r="A1000" s="131">
        <v>43</v>
      </c>
      <c r="B1000" s="53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 x14ac:dyDescent="0.3">
      <c r="A1001" s="131">
        <v>43</v>
      </c>
      <c r="B1001" s="53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 x14ac:dyDescent="0.3">
      <c r="A1002" s="131">
        <v>43</v>
      </c>
      <c r="B1002" s="53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 x14ac:dyDescent="0.3">
      <c r="A1003" s="131">
        <v>43</v>
      </c>
      <c r="B1003" s="53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 x14ac:dyDescent="0.3">
      <c r="A1004" s="131">
        <v>43</v>
      </c>
      <c r="B1004" s="53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 x14ac:dyDescent="0.3">
      <c r="A1005" s="131">
        <v>43</v>
      </c>
      <c r="B1005" s="53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 x14ac:dyDescent="0.3">
      <c r="A1006" s="131">
        <v>44</v>
      </c>
      <c r="B1006" s="53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 x14ac:dyDescent="0.3">
      <c r="A1007" s="131">
        <v>44</v>
      </c>
      <c r="B1007" s="53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 x14ac:dyDescent="0.3">
      <c r="A1008" s="131">
        <v>44</v>
      </c>
      <c r="B1008" s="53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 x14ac:dyDescent="0.3">
      <c r="A1009" s="131">
        <v>44</v>
      </c>
      <c r="B1009" s="53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 x14ac:dyDescent="0.3">
      <c r="A1010" s="131">
        <v>44</v>
      </c>
      <c r="B1010" s="53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 x14ac:dyDescent="0.3">
      <c r="A1011" s="131">
        <v>44</v>
      </c>
      <c r="B1011" s="53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 x14ac:dyDescent="0.3">
      <c r="A1012" s="131">
        <v>44</v>
      </c>
      <c r="B1012" s="53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 x14ac:dyDescent="0.3">
      <c r="A1013" s="131">
        <v>44</v>
      </c>
      <c r="B1013" s="53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 x14ac:dyDescent="0.3">
      <c r="A1014" s="131">
        <v>44</v>
      </c>
      <c r="B1014" s="53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 x14ac:dyDescent="0.3">
      <c r="A1015" s="131">
        <v>44</v>
      </c>
      <c r="B1015" s="53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 x14ac:dyDescent="0.3">
      <c r="A1016" s="131">
        <v>44</v>
      </c>
      <c r="B1016" s="53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 x14ac:dyDescent="0.3">
      <c r="A1017" s="131">
        <v>44</v>
      </c>
      <c r="B1017" s="53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 x14ac:dyDescent="0.3">
      <c r="A1018" s="131">
        <v>44</v>
      </c>
      <c r="B1018" s="53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 x14ac:dyDescent="0.3">
      <c r="A1019" s="131">
        <v>44</v>
      </c>
      <c r="B1019" s="53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 x14ac:dyDescent="0.3">
      <c r="A1020" s="131">
        <v>44</v>
      </c>
      <c r="B1020" s="53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 x14ac:dyDescent="0.3">
      <c r="A1021" s="131">
        <v>44</v>
      </c>
      <c r="B1021" s="53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 x14ac:dyDescent="0.3">
      <c r="A1022" s="131">
        <v>45</v>
      </c>
      <c r="B1022" s="53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 x14ac:dyDescent="0.3">
      <c r="A1023" s="131">
        <v>45</v>
      </c>
      <c r="B1023" s="53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 x14ac:dyDescent="0.3">
      <c r="A1024" s="131">
        <v>45</v>
      </c>
      <c r="B1024" s="53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 x14ac:dyDescent="0.3">
      <c r="A1025" s="131">
        <v>45</v>
      </c>
      <c r="B1025" s="53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 x14ac:dyDescent="0.3">
      <c r="A1026" s="131">
        <v>45</v>
      </c>
      <c r="B1026" s="53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 x14ac:dyDescent="0.3">
      <c r="A1027" s="131">
        <v>45</v>
      </c>
      <c r="B1027" s="53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 x14ac:dyDescent="0.3">
      <c r="A1028" s="131">
        <v>45</v>
      </c>
      <c r="B1028" s="53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 x14ac:dyDescent="0.3">
      <c r="A1029" s="131">
        <v>45</v>
      </c>
      <c r="B1029" s="53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 x14ac:dyDescent="0.3">
      <c r="A1030" s="131">
        <v>45</v>
      </c>
      <c r="B1030" s="53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 x14ac:dyDescent="0.3">
      <c r="A1031" s="131">
        <v>45</v>
      </c>
      <c r="B1031" s="53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 x14ac:dyDescent="0.3">
      <c r="A1032" s="131">
        <v>45</v>
      </c>
      <c r="B1032" s="53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 x14ac:dyDescent="0.3">
      <c r="A1033" s="131">
        <v>45</v>
      </c>
      <c r="B1033" s="53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 x14ac:dyDescent="0.3">
      <c r="A1034" s="131">
        <v>45</v>
      </c>
      <c r="B1034" s="53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 x14ac:dyDescent="0.3">
      <c r="A1035" s="131">
        <v>45</v>
      </c>
      <c r="B1035" s="53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 x14ac:dyDescent="0.3">
      <c r="A1036" s="131">
        <v>46</v>
      </c>
      <c r="B1036" s="53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 x14ac:dyDescent="0.3">
      <c r="A1037" s="131">
        <v>46</v>
      </c>
      <c r="B1037" s="53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 x14ac:dyDescent="0.3">
      <c r="A1038" s="131">
        <v>46</v>
      </c>
      <c r="B1038" s="53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 x14ac:dyDescent="0.3">
      <c r="A1039" s="131">
        <v>46</v>
      </c>
      <c r="B1039" s="53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 x14ac:dyDescent="0.3">
      <c r="A1040" s="131">
        <v>46</v>
      </c>
      <c r="B1040" s="53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 x14ac:dyDescent="0.3">
      <c r="A1041" s="131">
        <v>46</v>
      </c>
      <c r="B1041" s="53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 x14ac:dyDescent="0.3">
      <c r="A1042" s="131">
        <v>46</v>
      </c>
      <c r="B1042" s="53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 x14ac:dyDescent="0.3">
      <c r="A1043" s="131">
        <v>46</v>
      </c>
      <c r="B1043" s="53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 x14ac:dyDescent="0.3">
      <c r="A1044" s="131">
        <v>46</v>
      </c>
      <c r="B1044" s="53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 x14ac:dyDescent="0.3">
      <c r="A1045" s="131">
        <v>46</v>
      </c>
      <c r="B1045" s="53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 x14ac:dyDescent="0.3">
      <c r="A1046" s="131">
        <v>46</v>
      </c>
      <c r="B1046" s="53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 x14ac:dyDescent="0.3">
      <c r="A1047" s="131">
        <v>46</v>
      </c>
      <c r="B1047" s="53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 x14ac:dyDescent="0.3">
      <c r="A1048" s="131">
        <v>46</v>
      </c>
      <c r="B1048" s="53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 x14ac:dyDescent="0.3">
      <c r="A1049" s="131">
        <v>47</v>
      </c>
      <c r="B1049" s="53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 x14ac:dyDescent="0.3">
      <c r="A1050" s="131">
        <v>47</v>
      </c>
      <c r="B1050" s="53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 x14ac:dyDescent="0.3">
      <c r="A1051" s="131">
        <v>47</v>
      </c>
      <c r="B1051" s="53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 x14ac:dyDescent="0.3">
      <c r="A1052" s="131">
        <v>47</v>
      </c>
      <c r="B1052" s="53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 x14ac:dyDescent="0.3">
      <c r="A1053" s="131">
        <v>47</v>
      </c>
      <c r="B1053" s="53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 x14ac:dyDescent="0.3">
      <c r="A1054" s="131">
        <v>47</v>
      </c>
      <c r="B1054" s="53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 x14ac:dyDescent="0.3">
      <c r="A1055" s="131">
        <v>47</v>
      </c>
      <c r="B1055" s="53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 x14ac:dyDescent="0.3">
      <c r="A1056" s="131">
        <v>47</v>
      </c>
      <c r="B1056" s="53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 x14ac:dyDescent="0.3">
      <c r="A1057" s="131">
        <v>47</v>
      </c>
      <c r="B1057" s="53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 x14ac:dyDescent="0.3">
      <c r="A1058" s="131">
        <v>47</v>
      </c>
      <c r="B1058" s="53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 x14ac:dyDescent="0.3">
      <c r="A1059" s="131">
        <v>47</v>
      </c>
      <c r="B1059" s="53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 x14ac:dyDescent="0.3">
      <c r="A1060" s="131">
        <v>47</v>
      </c>
      <c r="B1060" s="53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 x14ac:dyDescent="0.3">
      <c r="A1061" s="131">
        <v>47</v>
      </c>
      <c r="B1061" s="53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 x14ac:dyDescent="0.3">
      <c r="A1062" s="131">
        <v>47</v>
      </c>
      <c r="B1062" s="53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 x14ac:dyDescent="0.3">
      <c r="A1063" s="131">
        <v>47</v>
      </c>
      <c r="B1063" s="53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 x14ac:dyDescent="0.3">
      <c r="A1064" s="131">
        <v>47</v>
      </c>
      <c r="B1064" s="53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 x14ac:dyDescent="0.3">
      <c r="A1065" s="131">
        <v>47</v>
      </c>
      <c r="B1065" s="53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 x14ac:dyDescent="0.3">
      <c r="A1066" s="131">
        <v>47</v>
      </c>
      <c r="B1066" s="53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 x14ac:dyDescent="0.3">
      <c r="A1067" s="131">
        <v>47</v>
      </c>
      <c r="B1067" s="53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 x14ac:dyDescent="0.3">
      <c r="A1068" s="131">
        <v>47</v>
      </c>
      <c r="B1068" s="53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 x14ac:dyDescent="0.3">
      <c r="A1069" s="131">
        <v>47</v>
      </c>
      <c r="B1069" s="53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 x14ac:dyDescent="0.3">
      <c r="A1070" s="131">
        <v>47</v>
      </c>
      <c r="B1070" s="53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 x14ac:dyDescent="0.3">
      <c r="A1071" s="131">
        <v>47</v>
      </c>
      <c r="B1071" s="53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 x14ac:dyDescent="0.3">
      <c r="A1072" s="131">
        <v>48</v>
      </c>
      <c r="B1072" s="53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 x14ac:dyDescent="0.3">
      <c r="A1073" s="131">
        <v>48</v>
      </c>
      <c r="B1073" s="53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 x14ac:dyDescent="0.3">
      <c r="A1074" s="131">
        <v>48</v>
      </c>
      <c r="B1074" s="53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 x14ac:dyDescent="0.3">
      <c r="A1075" s="131">
        <v>48</v>
      </c>
      <c r="B1075" s="53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 x14ac:dyDescent="0.3">
      <c r="A1076" s="131">
        <v>48</v>
      </c>
      <c r="B1076" s="53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 x14ac:dyDescent="0.3">
      <c r="A1077" s="131">
        <v>48</v>
      </c>
      <c r="B1077" s="53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 x14ac:dyDescent="0.3">
      <c r="A1078" s="131">
        <v>48</v>
      </c>
      <c r="B1078" s="53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 x14ac:dyDescent="0.3">
      <c r="A1079" s="131">
        <v>48</v>
      </c>
      <c r="B1079" s="53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 x14ac:dyDescent="0.3">
      <c r="A1080" s="131">
        <v>48</v>
      </c>
      <c r="B1080" s="53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 x14ac:dyDescent="0.3">
      <c r="A1081" s="131">
        <v>48</v>
      </c>
      <c r="B1081" s="53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 x14ac:dyDescent="0.3">
      <c r="A1082" s="131">
        <v>48</v>
      </c>
      <c r="B1082" s="53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 x14ac:dyDescent="0.3">
      <c r="A1083" s="131">
        <v>48</v>
      </c>
      <c r="B1083" s="53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 x14ac:dyDescent="0.3">
      <c r="A1084" s="131">
        <v>48</v>
      </c>
      <c r="B1084" s="53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 x14ac:dyDescent="0.3">
      <c r="A1085" s="131">
        <v>48</v>
      </c>
      <c r="B1085" s="53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 x14ac:dyDescent="0.3">
      <c r="A1086" s="131">
        <v>48</v>
      </c>
      <c r="B1086" s="53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 x14ac:dyDescent="0.3">
      <c r="A1087" s="131">
        <v>48</v>
      </c>
      <c r="B1087" s="53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 x14ac:dyDescent="0.3">
      <c r="A1088" s="131">
        <v>48</v>
      </c>
      <c r="B1088" s="53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 x14ac:dyDescent="0.3">
      <c r="A1089" s="131">
        <v>48</v>
      </c>
      <c r="B1089" s="53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 x14ac:dyDescent="0.3">
      <c r="A1090" s="131">
        <v>48</v>
      </c>
      <c r="B1090" s="53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 x14ac:dyDescent="0.3">
      <c r="A1091" s="131">
        <v>49</v>
      </c>
      <c r="B1091" s="53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 x14ac:dyDescent="0.3">
      <c r="A1092" s="131">
        <v>49</v>
      </c>
      <c r="B1092" s="53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 x14ac:dyDescent="0.3">
      <c r="A1093" s="131">
        <v>49</v>
      </c>
      <c r="B1093" s="53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 x14ac:dyDescent="0.3">
      <c r="A1094" s="131">
        <v>49</v>
      </c>
      <c r="B1094" s="53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 x14ac:dyDescent="0.3">
      <c r="A1095" s="131">
        <v>49</v>
      </c>
      <c r="B1095" s="53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 x14ac:dyDescent="0.3">
      <c r="A1096" s="131">
        <v>49</v>
      </c>
      <c r="B1096" s="53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 x14ac:dyDescent="0.3">
      <c r="A1097" s="131">
        <v>49</v>
      </c>
      <c r="B1097" s="53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 x14ac:dyDescent="0.3">
      <c r="A1098" s="131">
        <v>49</v>
      </c>
      <c r="B1098" s="53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 x14ac:dyDescent="0.3">
      <c r="A1099" s="131">
        <v>49</v>
      </c>
      <c r="B1099" s="53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 x14ac:dyDescent="0.3">
      <c r="A1100" s="131">
        <v>49</v>
      </c>
      <c r="B1100" s="53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 x14ac:dyDescent="0.3">
      <c r="A1101" s="131">
        <v>49</v>
      </c>
      <c r="B1101" s="53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 x14ac:dyDescent="0.3">
      <c r="A1102" s="131">
        <v>49</v>
      </c>
      <c r="B1102" s="53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 x14ac:dyDescent="0.3">
      <c r="A1103" s="131">
        <v>49</v>
      </c>
      <c r="B1103" s="53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 x14ac:dyDescent="0.3">
      <c r="A1104" s="131">
        <v>49</v>
      </c>
      <c r="B1104" s="53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 x14ac:dyDescent="0.3">
      <c r="A1105" s="131">
        <v>49</v>
      </c>
      <c r="B1105" s="53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 x14ac:dyDescent="0.3">
      <c r="A1106" s="131">
        <v>49</v>
      </c>
      <c r="B1106" s="53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 x14ac:dyDescent="0.3">
      <c r="A1107" s="131">
        <v>49</v>
      </c>
      <c r="B1107" s="53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 x14ac:dyDescent="0.3">
      <c r="A1108" s="131">
        <v>49</v>
      </c>
      <c r="B1108" s="53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 x14ac:dyDescent="0.3">
      <c r="A1109" s="131">
        <v>49</v>
      </c>
      <c r="B1109" s="53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 x14ac:dyDescent="0.3">
      <c r="A1110" s="131">
        <v>49</v>
      </c>
      <c r="B1110" s="53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 x14ac:dyDescent="0.3">
      <c r="A1111" s="131">
        <v>49</v>
      </c>
      <c r="B1111" s="53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 x14ac:dyDescent="0.3">
      <c r="A1112" s="131">
        <v>49</v>
      </c>
      <c r="B1112" s="53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 x14ac:dyDescent="0.3">
      <c r="A1113" s="131">
        <v>49</v>
      </c>
      <c r="B1113" s="53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 x14ac:dyDescent="0.3">
      <c r="A1114" s="131">
        <v>49</v>
      </c>
      <c r="B1114" s="53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 x14ac:dyDescent="0.3">
      <c r="A1115" s="131">
        <v>50</v>
      </c>
      <c r="B1115" s="53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 x14ac:dyDescent="0.3">
      <c r="A1116" s="131">
        <v>50</v>
      </c>
      <c r="B1116" s="53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 x14ac:dyDescent="0.3">
      <c r="A1117" s="131">
        <v>50</v>
      </c>
      <c r="B1117" s="53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 x14ac:dyDescent="0.3">
      <c r="A1118" s="131">
        <v>50</v>
      </c>
      <c r="B1118" s="53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 x14ac:dyDescent="0.3">
      <c r="A1119" s="131">
        <v>50</v>
      </c>
      <c r="B1119" s="53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 x14ac:dyDescent="0.3">
      <c r="A1120" s="131">
        <v>50</v>
      </c>
      <c r="B1120" s="53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 x14ac:dyDescent="0.3">
      <c r="A1121" s="131">
        <v>50</v>
      </c>
      <c r="B1121" s="53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 x14ac:dyDescent="0.3">
      <c r="A1122" s="131">
        <v>50</v>
      </c>
      <c r="B1122" s="53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 x14ac:dyDescent="0.3">
      <c r="A1123" s="131">
        <v>50</v>
      </c>
      <c r="B1123" s="53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 x14ac:dyDescent="0.3">
      <c r="A1124" s="131">
        <v>50</v>
      </c>
      <c r="B1124" s="53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 x14ac:dyDescent="0.3">
      <c r="A1125" s="131">
        <v>50</v>
      </c>
      <c r="B1125" s="53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 x14ac:dyDescent="0.3">
      <c r="A1126" s="131">
        <v>50</v>
      </c>
      <c r="B1126" s="53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 x14ac:dyDescent="0.3">
      <c r="A1127" s="131">
        <v>50</v>
      </c>
      <c r="B1127" s="53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 x14ac:dyDescent="0.3">
      <c r="A1128" s="131">
        <v>50</v>
      </c>
      <c r="B1128" s="53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 x14ac:dyDescent="0.3">
      <c r="A1129" s="131">
        <v>50</v>
      </c>
      <c r="B1129" s="53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 x14ac:dyDescent="0.3">
      <c r="A1130" s="131">
        <v>50</v>
      </c>
      <c r="B1130" s="53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 x14ac:dyDescent="0.3">
      <c r="A1131" s="131">
        <v>50</v>
      </c>
      <c r="B1131" s="53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 x14ac:dyDescent="0.3">
      <c r="A1132" s="131">
        <v>51</v>
      </c>
      <c r="B1132" s="53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 x14ac:dyDescent="0.3">
      <c r="A1133" s="131">
        <v>51</v>
      </c>
      <c r="B1133" s="53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 x14ac:dyDescent="0.3">
      <c r="A1134" s="131">
        <v>51</v>
      </c>
      <c r="B1134" s="53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 x14ac:dyDescent="0.3">
      <c r="A1135" s="131">
        <v>51</v>
      </c>
      <c r="B1135" s="53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 x14ac:dyDescent="0.3">
      <c r="A1136" s="131">
        <v>51</v>
      </c>
      <c r="B1136" s="53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 x14ac:dyDescent="0.3">
      <c r="A1137" s="131">
        <v>51</v>
      </c>
      <c r="B1137" s="53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 x14ac:dyDescent="0.3">
      <c r="A1138" s="131">
        <v>51</v>
      </c>
      <c r="B1138" s="53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 x14ac:dyDescent="0.3">
      <c r="A1139" s="131">
        <v>51</v>
      </c>
      <c r="B1139" s="53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 x14ac:dyDescent="0.3">
      <c r="A1140" s="131">
        <v>51</v>
      </c>
      <c r="B1140" s="53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 x14ac:dyDescent="0.3">
      <c r="A1141" s="131">
        <v>51</v>
      </c>
      <c r="B1141" s="53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 x14ac:dyDescent="0.3">
      <c r="A1142" s="131">
        <v>51</v>
      </c>
      <c r="B1142" s="53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 x14ac:dyDescent="0.3">
      <c r="A1143" s="131">
        <v>51</v>
      </c>
      <c r="B1143" s="53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 x14ac:dyDescent="0.3">
      <c r="A1144" s="131">
        <v>51</v>
      </c>
      <c r="B1144" s="53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 x14ac:dyDescent="0.3">
      <c r="A1145" s="131">
        <v>51</v>
      </c>
      <c r="B1145" s="53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 x14ac:dyDescent="0.3">
      <c r="A1146" s="131">
        <v>51</v>
      </c>
      <c r="B1146" s="53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 x14ac:dyDescent="0.3">
      <c r="A1147" s="131">
        <v>51</v>
      </c>
      <c r="B1147" s="53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 x14ac:dyDescent="0.3">
      <c r="A1148" s="131">
        <v>51</v>
      </c>
      <c r="B1148" s="53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 x14ac:dyDescent="0.3">
      <c r="A1149" s="131">
        <v>51</v>
      </c>
      <c r="B1149" s="53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 x14ac:dyDescent="0.3">
      <c r="A1150" s="131">
        <v>52</v>
      </c>
      <c r="B1150" s="53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 x14ac:dyDescent="0.3">
      <c r="A1151" s="131">
        <v>52</v>
      </c>
      <c r="B1151" s="53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 x14ac:dyDescent="0.3">
      <c r="A1152" s="131">
        <v>52</v>
      </c>
      <c r="B1152" s="53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 x14ac:dyDescent="0.3">
      <c r="A1153" s="131">
        <v>52</v>
      </c>
      <c r="B1153" s="53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 x14ac:dyDescent="0.3">
      <c r="A1154" s="131">
        <v>52</v>
      </c>
      <c r="B1154" s="53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 x14ac:dyDescent="0.3">
      <c r="A1155" s="131">
        <v>52</v>
      </c>
      <c r="B1155" s="53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 x14ac:dyDescent="0.3">
      <c r="A1156" s="131">
        <v>52</v>
      </c>
      <c r="B1156" s="53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 x14ac:dyDescent="0.3">
      <c r="A1157" s="131">
        <v>52</v>
      </c>
      <c r="B1157" s="53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 x14ac:dyDescent="0.3">
      <c r="A1158" s="131">
        <v>52</v>
      </c>
      <c r="B1158" s="53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 x14ac:dyDescent="0.3">
      <c r="A1159" s="131">
        <v>52</v>
      </c>
      <c r="B1159" s="53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 x14ac:dyDescent="0.3">
      <c r="A1160" s="131">
        <v>52</v>
      </c>
      <c r="B1160" s="53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 x14ac:dyDescent="0.3">
      <c r="A1161" s="131">
        <v>52</v>
      </c>
      <c r="B1161" s="53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 x14ac:dyDescent="0.3">
      <c r="A1162" s="131">
        <v>52</v>
      </c>
      <c r="B1162" s="53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 x14ac:dyDescent="0.3">
      <c r="A1163" s="131">
        <v>52</v>
      </c>
      <c r="B1163" s="53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 x14ac:dyDescent="0.3">
      <c r="A1164" s="131">
        <v>52</v>
      </c>
      <c r="B1164" s="53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 x14ac:dyDescent="0.3">
      <c r="A1165" s="131">
        <v>52</v>
      </c>
      <c r="B1165" s="53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 x14ac:dyDescent="0.3">
      <c r="A1166" s="131">
        <v>52</v>
      </c>
      <c r="B1166" s="53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 x14ac:dyDescent="0.3">
      <c r="A1167" s="131">
        <v>52</v>
      </c>
      <c r="B1167" s="53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 x14ac:dyDescent="0.3">
      <c r="A1168" s="131">
        <v>52</v>
      </c>
      <c r="B1168" s="53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 x14ac:dyDescent="0.3">
      <c r="A1169" s="131">
        <v>53</v>
      </c>
      <c r="B1169" s="53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 x14ac:dyDescent="0.3">
      <c r="A1170" s="131">
        <v>53</v>
      </c>
      <c r="B1170" s="53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 x14ac:dyDescent="0.3">
      <c r="A1171" s="131">
        <v>53</v>
      </c>
      <c r="B1171" s="53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 x14ac:dyDescent="0.3">
      <c r="A1172" s="131">
        <v>53</v>
      </c>
      <c r="B1172" s="53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 x14ac:dyDescent="0.3">
      <c r="A1173" s="131">
        <v>53</v>
      </c>
      <c r="B1173" s="53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 x14ac:dyDescent="0.3">
      <c r="A1174" s="131">
        <v>53</v>
      </c>
      <c r="B1174" s="53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 x14ac:dyDescent="0.3">
      <c r="A1175" s="131">
        <v>53</v>
      </c>
      <c r="B1175" s="53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 x14ac:dyDescent="0.3">
      <c r="A1176" s="131">
        <v>53</v>
      </c>
      <c r="B1176" s="53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 x14ac:dyDescent="0.3">
      <c r="A1177" s="131">
        <v>53</v>
      </c>
      <c r="B1177" s="53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 x14ac:dyDescent="0.3">
      <c r="A1178" s="131">
        <v>53</v>
      </c>
      <c r="B1178" s="53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 x14ac:dyDescent="0.3">
      <c r="A1179" s="131">
        <v>53</v>
      </c>
      <c r="B1179" s="53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 x14ac:dyDescent="0.3">
      <c r="A1180" s="131">
        <v>53</v>
      </c>
      <c r="B1180" s="53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 x14ac:dyDescent="0.3">
      <c r="A1181" s="131">
        <v>53</v>
      </c>
      <c r="B1181" s="53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 x14ac:dyDescent="0.3">
      <c r="A1182" s="131">
        <v>53</v>
      </c>
      <c r="B1182" s="53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 x14ac:dyDescent="0.3">
      <c r="A1183" s="131">
        <v>53</v>
      </c>
      <c r="B1183" s="53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 x14ac:dyDescent="0.3">
      <c r="A1184" s="131">
        <v>53</v>
      </c>
      <c r="B1184" s="53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 x14ac:dyDescent="0.3">
      <c r="A1185" s="131">
        <v>53</v>
      </c>
      <c r="B1185" s="53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 x14ac:dyDescent="0.3">
      <c r="A1186" s="131">
        <v>53</v>
      </c>
      <c r="B1186" s="53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 x14ac:dyDescent="0.3">
      <c r="A1187" s="131">
        <v>53</v>
      </c>
      <c r="B1187" s="53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 x14ac:dyDescent="0.3">
      <c r="A1188" s="131">
        <v>53</v>
      </c>
      <c r="B1188" s="53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 x14ac:dyDescent="0.3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 x14ac:dyDescent="0.3">
      <c r="A5" s="678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 x14ac:dyDescent="0.3">
      <c r="A6" s="688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 x14ac:dyDescent="0.3">
      <c r="A7" s="688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 x14ac:dyDescent="0.3">
      <c r="A8" s="688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 x14ac:dyDescent="0.3">
      <c r="A9" s="688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 x14ac:dyDescent="0.3">
      <c r="A10" s="688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 x14ac:dyDescent="0.3">
      <c r="A11" s="688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 x14ac:dyDescent="0.3">
      <c r="A12" s="688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 x14ac:dyDescent="0.3">
      <c r="A13" s="688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 x14ac:dyDescent="0.3">
      <c r="A14" s="688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 x14ac:dyDescent="0.3">
      <c r="A15" s="688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 x14ac:dyDescent="0.3">
      <c r="A16" s="688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 x14ac:dyDescent="0.3">
      <c r="A17" s="688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 x14ac:dyDescent="0.3">
      <c r="A18" s="688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 x14ac:dyDescent="0.3">
      <c r="A19" s="688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 x14ac:dyDescent="0.3">
      <c r="A20" s="679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 x14ac:dyDescent="0.3">
      <c r="A21" s="672" t="s">
        <v>53</v>
      </c>
      <c r="B21" s="672"/>
      <c r="C21" s="672"/>
      <c r="D21" s="672"/>
      <c r="E21" s="672"/>
      <c r="F21" s="672"/>
      <c r="G21" s="672"/>
      <c r="H21" s="672"/>
      <c r="I21" s="672"/>
      <c r="J21" s="26">
        <f>SUM(J5:J20)</f>
        <v>31</v>
      </c>
      <c r="K21" s="27"/>
      <c r="L21" s="59"/>
    </row>
    <row r="24" spans="1:12" ht="27" x14ac:dyDescent="0.3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 x14ac:dyDescent="0.3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 x14ac:dyDescent="0.3">
      <c r="A26" s="673" t="s">
        <v>53</v>
      </c>
      <c r="B26" s="674"/>
      <c r="C26" s="674"/>
      <c r="D26" s="674"/>
      <c r="E26" s="674"/>
      <c r="F26" s="674"/>
      <c r="G26" s="674"/>
      <c r="H26" s="674"/>
      <c r="I26" s="675"/>
      <c r="J26" s="26">
        <f>SUM(J25:J25)</f>
        <v>3</v>
      </c>
      <c r="K26" s="27"/>
      <c r="L26" s="59"/>
    </row>
    <row r="29" spans="1:12" ht="27" x14ac:dyDescent="0.3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 x14ac:dyDescent="0.3">
      <c r="A30" s="688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 x14ac:dyDescent="0.3">
      <c r="A31" s="688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 x14ac:dyDescent="0.3">
      <c r="A32" s="688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 x14ac:dyDescent="0.3">
      <c r="A33" s="688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 x14ac:dyDescent="0.3">
      <c r="A34" s="688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 x14ac:dyDescent="0.3">
      <c r="A35" s="673" t="s">
        <v>53</v>
      </c>
      <c r="B35" s="674"/>
      <c r="C35" s="674"/>
      <c r="D35" s="674"/>
      <c r="E35" s="674"/>
      <c r="F35" s="674"/>
      <c r="G35" s="674"/>
      <c r="H35" s="674"/>
      <c r="I35" s="675"/>
      <c r="J35" s="26">
        <f>SUM(J30:J34)</f>
        <v>10</v>
      </c>
      <c r="K35" s="27"/>
      <c r="L35" s="26"/>
    </row>
    <row r="38" spans="1:12" ht="27" x14ac:dyDescent="0.3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 x14ac:dyDescent="0.3">
      <c r="A39" s="678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 x14ac:dyDescent="0.3">
      <c r="A40" s="688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 x14ac:dyDescent="0.3">
      <c r="A41" s="679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 x14ac:dyDescent="0.3">
      <c r="A42" s="673" t="s">
        <v>53</v>
      </c>
      <c r="B42" s="674"/>
      <c r="C42" s="674"/>
      <c r="D42" s="674"/>
      <c r="E42" s="674"/>
      <c r="F42" s="674"/>
      <c r="G42" s="674"/>
      <c r="H42" s="674"/>
      <c r="I42" s="675"/>
      <c r="J42" s="26">
        <f>SUM(J39:J41)</f>
        <v>8</v>
      </c>
      <c r="K42" s="27"/>
      <c r="L42" s="59"/>
    </row>
    <row r="46" spans="1:12" ht="27" x14ac:dyDescent="0.3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 x14ac:dyDescent="0.3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 x14ac:dyDescent="0.3">
      <c r="A48" s="673" t="s">
        <v>53</v>
      </c>
      <c r="B48" s="674"/>
      <c r="C48" s="674"/>
      <c r="D48" s="674"/>
      <c r="E48" s="674"/>
      <c r="F48" s="674"/>
      <c r="G48" s="674"/>
      <c r="H48" s="674"/>
      <c r="I48" s="675"/>
      <c r="J48" s="26">
        <f>SUM(J47:J47)</f>
        <v>1</v>
      </c>
      <c r="K48" s="27"/>
      <c r="L48" s="59"/>
    </row>
    <row r="51" spans="1:12" ht="27" x14ac:dyDescent="0.3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 x14ac:dyDescent="0.3">
      <c r="A52" s="688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 x14ac:dyDescent="0.3">
      <c r="A53" s="679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 x14ac:dyDescent="0.3">
      <c r="A54" s="673" t="s">
        <v>53</v>
      </c>
      <c r="B54" s="674"/>
      <c r="C54" s="674"/>
      <c r="D54" s="674"/>
      <c r="E54" s="674"/>
      <c r="F54" s="674"/>
      <c r="G54" s="674"/>
      <c r="H54" s="674"/>
      <c r="I54" s="675"/>
      <c r="J54" s="26">
        <f>SUM(J52:J53)</f>
        <v>4</v>
      </c>
      <c r="K54" s="27"/>
      <c r="L54" s="59"/>
    </row>
    <row r="57" spans="1:12" ht="27" x14ac:dyDescent="0.3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 x14ac:dyDescent="0.3">
      <c r="A58" s="678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 x14ac:dyDescent="0.3">
      <c r="A59" s="688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 x14ac:dyDescent="0.3">
      <c r="A60" s="688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 x14ac:dyDescent="0.3">
      <c r="A61" s="688"/>
      <c r="B61" s="693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 x14ac:dyDescent="0.3">
      <c r="A62" s="688"/>
      <c r="B62" s="694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 x14ac:dyDescent="0.3">
      <c r="A63" s="688"/>
      <c r="B63" s="695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 x14ac:dyDescent="0.3">
      <c r="A64" s="673" t="s">
        <v>53</v>
      </c>
      <c r="B64" s="674"/>
      <c r="C64" s="674"/>
      <c r="D64" s="674"/>
      <c r="E64" s="674"/>
      <c r="F64" s="674"/>
      <c r="G64" s="674"/>
      <c r="H64" s="674"/>
      <c r="I64" s="675"/>
      <c r="J64" s="26">
        <f>SUM(J58:J63)</f>
        <v>18</v>
      </c>
      <c r="K64" s="27"/>
      <c r="L64" s="59"/>
    </row>
    <row r="67" spans="1:12" ht="27" x14ac:dyDescent="0.3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 x14ac:dyDescent="0.3">
      <c r="A68" s="699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 x14ac:dyDescent="0.3">
      <c r="A69" s="700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 x14ac:dyDescent="0.3">
      <c r="A70" s="673" t="s">
        <v>53</v>
      </c>
      <c r="B70" s="674"/>
      <c r="C70" s="674"/>
      <c r="D70" s="674"/>
      <c r="E70" s="674"/>
      <c r="F70" s="674"/>
      <c r="G70" s="674"/>
      <c r="H70" s="674"/>
      <c r="I70" s="675"/>
      <c r="J70" s="26">
        <f>SUM(J68:J69)</f>
        <v>3</v>
      </c>
      <c r="K70" s="27"/>
      <c r="L70" s="59"/>
    </row>
    <row r="75" spans="1:12" ht="27" x14ac:dyDescent="0.3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 x14ac:dyDescent="0.3">
      <c r="A76" s="678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 x14ac:dyDescent="0.3">
      <c r="A77" s="688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 x14ac:dyDescent="0.3">
      <c r="A78" s="672" t="s">
        <v>53</v>
      </c>
      <c r="B78" s="672"/>
      <c r="C78" s="672"/>
      <c r="D78" s="672"/>
      <c r="E78" s="672"/>
      <c r="F78" s="672"/>
      <c r="G78" s="672"/>
      <c r="H78" s="672"/>
      <c r="I78" s="672"/>
      <c r="J78" s="26">
        <f>SUM(J76:J77)</f>
        <v>3</v>
      </c>
      <c r="K78" s="27"/>
      <c r="L78" s="59"/>
    </row>
    <row r="81" spans="1:12" ht="27" x14ac:dyDescent="0.3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 x14ac:dyDescent="0.3">
      <c r="A82" s="688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 x14ac:dyDescent="0.3">
      <c r="A83" s="688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 x14ac:dyDescent="0.3">
      <c r="A84" s="688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 x14ac:dyDescent="0.3">
      <c r="A85" s="688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 x14ac:dyDescent="0.3">
      <c r="A86" s="673" t="s">
        <v>53</v>
      </c>
      <c r="B86" s="674"/>
      <c r="C86" s="674"/>
      <c r="D86" s="674"/>
      <c r="E86" s="674"/>
      <c r="F86" s="674"/>
      <c r="G86" s="674"/>
      <c r="H86" s="674"/>
      <c r="I86" s="675"/>
      <c r="J86" s="26">
        <f>SUM(J82:J85)</f>
        <v>8</v>
      </c>
      <c r="K86" s="27"/>
      <c r="L86" s="26"/>
    </row>
    <row r="90" spans="1:12" ht="27" x14ac:dyDescent="0.3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 x14ac:dyDescent="0.3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 x14ac:dyDescent="0.3">
      <c r="A92" s="673" t="s">
        <v>53</v>
      </c>
      <c r="B92" s="674"/>
      <c r="C92" s="674"/>
      <c r="D92" s="674"/>
      <c r="E92" s="674"/>
      <c r="F92" s="674"/>
      <c r="G92" s="674"/>
      <c r="H92" s="674"/>
      <c r="I92" s="675"/>
      <c r="J92" s="26">
        <f>SUM(J91:J91)</f>
        <v>1</v>
      </c>
      <c r="K92" s="27"/>
      <c r="L92" s="26"/>
    </row>
    <row r="96" spans="1:12" ht="27" x14ac:dyDescent="0.3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 x14ac:dyDescent="0.3">
      <c r="A97" s="688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 x14ac:dyDescent="0.3">
      <c r="A98" s="688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 x14ac:dyDescent="0.3">
      <c r="A99" s="688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 x14ac:dyDescent="0.3">
      <c r="A100" s="688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 x14ac:dyDescent="0.3">
      <c r="A101" s="673" t="s">
        <v>53</v>
      </c>
      <c r="B101" s="674"/>
      <c r="C101" s="674"/>
      <c r="D101" s="674"/>
      <c r="E101" s="674"/>
      <c r="F101" s="674"/>
      <c r="G101" s="674"/>
      <c r="H101" s="674"/>
      <c r="I101" s="675"/>
      <c r="J101" s="26">
        <f>SUM(J97:J100)</f>
        <v>10</v>
      </c>
      <c r="K101" s="27"/>
      <c r="L101" s="26"/>
    </row>
    <row r="105" spans="1:12" ht="27" x14ac:dyDescent="0.3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 x14ac:dyDescent="0.3">
      <c r="A106" s="678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 x14ac:dyDescent="0.3">
      <c r="A107" s="688"/>
      <c r="B107" s="69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 x14ac:dyDescent="0.3">
      <c r="A108" s="688"/>
      <c r="B108" s="698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 x14ac:dyDescent="0.3">
      <c r="A109" s="688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 x14ac:dyDescent="0.3">
      <c r="A110" s="688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 x14ac:dyDescent="0.3">
      <c r="A111" s="679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 x14ac:dyDescent="0.3">
      <c r="A112" s="672" t="s">
        <v>53</v>
      </c>
      <c r="B112" s="672"/>
      <c r="C112" s="672"/>
      <c r="D112" s="672"/>
      <c r="E112" s="672"/>
      <c r="F112" s="672"/>
      <c r="G112" s="672"/>
      <c r="H112" s="672"/>
      <c r="I112" s="672"/>
      <c r="J112" s="26">
        <f>SUM(J106:J111)</f>
        <v>9</v>
      </c>
      <c r="K112" s="27"/>
      <c r="L112" s="26"/>
    </row>
    <row r="118" spans="1:12" ht="27" x14ac:dyDescent="0.3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 x14ac:dyDescent="0.3">
      <c r="A119" s="533" t="s">
        <v>956</v>
      </c>
      <c r="B119" s="558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 x14ac:dyDescent="0.3">
      <c r="A120" s="534"/>
      <c r="B120" s="560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 x14ac:dyDescent="0.3">
      <c r="A121" s="672" t="s">
        <v>53</v>
      </c>
      <c r="B121" s="672"/>
      <c r="C121" s="672"/>
      <c r="D121" s="672"/>
      <c r="E121" s="672"/>
      <c r="F121" s="672"/>
      <c r="G121" s="672"/>
      <c r="H121" s="672"/>
      <c r="I121" s="672"/>
      <c r="J121" s="26">
        <f>SUM(J119:J120)</f>
        <v>8</v>
      </c>
      <c r="K121" s="26"/>
      <c r="L121" s="26"/>
    </row>
    <row r="125" spans="1:12" ht="27" x14ac:dyDescent="0.3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 x14ac:dyDescent="0.3">
      <c r="A126" s="53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 x14ac:dyDescent="0.3">
      <c r="A127" s="53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 x14ac:dyDescent="0.3">
      <c r="A128" s="53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 x14ac:dyDescent="0.3">
      <c r="A129" s="534"/>
      <c r="B129" s="696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697" t="s">
        <v>90</v>
      </c>
      <c r="J129" s="690">
        <v>2</v>
      </c>
      <c r="K129" s="26" t="s">
        <v>52</v>
      </c>
      <c r="L129" s="26" t="s">
        <v>51</v>
      </c>
    </row>
    <row r="130" spans="1:12" x14ac:dyDescent="0.3">
      <c r="A130" s="534"/>
      <c r="B130" s="696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697"/>
      <c r="J130" s="692"/>
      <c r="K130" s="26" t="s">
        <v>52</v>
      </c>
      <c r="L130" s="26" t="s">
        <v>51</v>
      </c>
    </row>
    <row r="131" spans="1:12" x14ac:dyDescent="0.3">
      <c r="A131" s="53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 x14ac:dyDescent="0.3">
      <c r="A132" s="53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 x14ac:dyDescent="0.3">
      <c r="A133" s="534"/>
      <c r="B133" s="561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6" t="s">
        <v>1280</v>
      </c>
      <c r="J133" s="690">
        <v>1</v>
      </c>
      <c r="K133" s="26" t="s">
        <v>52</v>
      </c>
      <c r="L133" s="26" t="s">
        <v>51</v>
      </c>
    </row>
    <row r="134" spans="1:12" x14ac:dyDescent="0.3">
      <c r="A134" s="534"/>
      <c r="B134" s="562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0"/>
      <c r="J134" s="692"/>
      <c r="K134" s="26" t="s">
        <v>52</v>
      </c>
      <c r="L134" s="26" t="s">
        <v>51</v>
      </c>
    </row>
    <row r="135" spans="1:12" x14ac:dyDescent="0.3">
      <c r="A135" s="53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 x14ac:dyDescent="0.3">
      <c r="A136" s="53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 x14ac:dyDescent="0.3">
      <c r="A137" s="672" t="s">
        <v>53</v>
      </c>
      <c r="B137" s="672"/>
      <c r="C137" s="672"/>
      <c r="D137" s="672"/>
      <c r="E137" s="672"/>
      <c r="F137" s="672"/>
      <c r="G137" s="672"/>
      <c r="H137" s="672"/>
      <c r="I137" s="672"/>
      <c r="J137" s="26">
        <f>SUM(J126:J136)</f>
        <v>12</v>
      </c>
      <c r="K137" s="26"/>
      <c r="L137" s="26"/>
    </row>
    <row r="141" spans="1:12" ht="27" x14ac:dyDescent="0.3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 x14ac:dyDescent="0.3">
      <c r="A142" s="534" t="s">
        <v>1009</v>
      </c>
      <c r="B142" s="561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 x14ac:dyDescent="0.3">
      <c r="A143" s="534"/>
      <c r="B143" s="56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 x14ac:dyDescent="0.3">
      <c r="A144" s="53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 x14ac:dyDescent="0.3">
      <c r="A145" s="672" t="s">
        <v>53</v>
      </c>
      <c r="B145" s="672"/>
      <c r="C145" s="672"/>
      <c r="D145" s="672"/>
      <c r="E145" s="672"/>
      <c r="F145" s="672"/>
      <c r="G145" s="672"/>
      <c r="H145" s="672"/>
      <c r="I145" s="672"/>
      <c r="J145" s="26">
        <f>SUM(J142:J144)</f>
        <v>11</v>
      </c>
      <c r="K145" s="26"/>
      <c r="L145" s="26"/>
    </row>
    <row r="148" spans="1:12" ht="27" x14ac:dyDescent="0.3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 x14ac:dyDescent="0.3">
      <c r="A149" s="677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 x14ac:dyDescent="0.3">
      <c r="A150" s="677"/>
      <c r="B150" s="558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 x14ac:dyDescent="0.3">
      <c r="A151" s="677"/>
      <c r="B151" s="560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 x14ac:dyDescent="0.3">
      <c r="A152" s="677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 x14ac:dyDescent="0.3">
      <c r="A153" s="677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 x14ac:dyDescent="0.3">
      <c r="A154" s="670" t="s">
        <v>53</v>
      </c>
      <c r="B154" s="670"/>
      <c r="C154" s="670"/>
      <c r="D154" s="670"/>
      <c r="E154" s="670"/>
      <c r="F154" s="670"/>
      <c r="G154" s="670"/>
      <c r="H154" s="670"/>
      <c r="I154" s="670"/>
      <c r="J154" s="26">
        <f>SUM(J149:J153)</f>
        <v>18</v>
      </c>
      <c r="K154" s="26"/>
      <c r="L154" s="26"/>
    </row>
    <row r="157" spans="1:12" ht="27" x14ac:dyDescent="0.3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 x14ac:dyDescent="0.3">
      <c r="A158" s="53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 x14ac:dyDescent="0.3">
      <c r="A159" s="53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 x14ac:dyDescent="0.3">
      <c r="A160" s="53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 x14ac:dyDescent="0.3">
      <c r="A161" s="53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 x14ac:dyDescent="0.3">
      <c r="A162" s="53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 x14ac:dyDescent="0.3">
      <c r="A163" s="672" t="s">
        <v>53</v>
      </c>
      <c r="B163" s="672"/>
      <c r="C163" s="672"/>
      <c r="D163" s="672"/>
      <c r="E163" s="672"/>
      <c r="F163" s="672"/>
      <c r="G163" s="672"/>
      <c r="H163" s="672"/>
      <c r="I163" s="672"/>
      <c r="J163" s="26">
        <f>SUM(J158:J162)</f>
        <v>19</v>
      </c>
      <c r="K163" s="26"/>
      <c r="L163" s="26"/>
    </row>
    <row r="165" spans="1:12" ht="27" x14ac:dyDescent="0.3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 x14ac:dyDescent="0.3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 x14ac:dyDescent="0.3">
      <c r="A167" s="670" t="s">
        <v>53</v>
      </c>
      <c r="B167" s="670"/>
      <c r="C167" s="670"/>
      <c r="D167" s="670"/>
      <c r="E167" s="670"/>
      <c r="F167" s="670"/>
      <c r="G167" s="670"/>
      <c r="H167" s="670"/>
      <c r="I167" s="670"/>
      <c r="J167" s="26">
        <f>SUM(J166:J166)</f>
        <v>1</v>
      </c>
      <c r="K167" s="26"/>
      <c r="L167" s="26"/>
    </row>
    <row r="172" spans="1:12" ht="27" x14ac:dyDescent="0.3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 x14ac:dyDescent="0.3">
      <c r="A173" s="53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 x14ac:dyDescent="0.3">
      <c r="A174" s="53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 x14ac:dyDescent="0.3">
      <c r="A175" s="53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 x14ac:dyDescent="0.3">
      <c r="A176" s="53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 x14ac:dyDescent="0.3">
      <c r="A177" s="53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 x14ac:dyDescent="0.3">
      <c r="A178" s="53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 x14ac:dyDescent="0.3">
      <c r="A179" s="53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 x14ac:dyDescent="0.3">
      <c r="A180" s="53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 x14ac:dyDescent="0.3">
      <c r="A181" s="53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 x14ac:dyDescent="0.3">
      <c r="A182" s="53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 x14ac:dyDescent="0.3">
      <c r="A183" s="672" t="s">
        <v>53</v>
      </c>
      <c r="B183" s="672"/>
      <c r="C183" s="672"/>
      <c r="D183" s="672"/>
      <c r="E183" s="672"/>
      <c r="F183" s="672"/>
      <c r="G183" s="672"/>
      <c r="H183" s="672"/>
      <c r="I183" s="672"/>
      <c r="J183" s="26">
        <f>SUM(J173:J182)</f>
        <v>15</v>
      </c>
      <c r="K183" s="26"/>
      <c r="L183" s="26"/>
    </row>
    <row r="188" spans="1:12" ht="27" x14ac:dyDescent="0.3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 x14ac:dyDescent="0.3">
      <c r="A189" s="640" t="s">
        <v>1063</v>
      </c>
      <c r="B189" s="558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 x14ac:dyDescent="0.3">
      <c r="A190" s="641"/>
      <c r="B190" s="5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 x14ac:dyDescent="0.3">
      <c r="A191" s="641"/>
      <c r="B191" s="558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 x14ac:dyDescent="0.3">
      <c r="A192" s="641"/>
      <c r="B192" s="5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 x14ac:dyDescent="0.3">
      <c r="A193" s="672" t="s">
        <v>53</v>
      </c>
      <c r="B193" s="672"/>
      <c r="C193" s="672"/>
      <c r="D193" s="672"/>
      <c r="E193" s="672"/>
      <c r="F193" s="672"/>
      <c r="G193" s="672"/>
      <c r="H193" s="672"/>
      <c r="I193" s="672"/>
      <c r="J193" s="4">
        <f>SUM(J189:J192)</f>
        <v>11</v>
      </c>
      <c r="K193" s="27"/>
      <c r="L193" s="59"/>
    </row>
    <row r="198" spans="1:12" ht="27" x14ac:dyDescent="0.3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 x14ac:dyDescent="0.3">
      <c r="A199" s="68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 x14ac:dyDescent="0.3">
      <c r="A200" s="68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 x14ac:dyDescent="0.3">
      <c r="A201" s="68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 x14ac:dyDescent="0.3">
      <c r="A202" s="68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 x14ac:dyDescent="0.3">
      <c r="A203" s="670" t="s">
        <v>53</v>
      </c>
      <c r="B203" s="670"/>
      <c r="C203" s="670"/>
      <c r="D203" s="670"/>
      <c r="E203" s="670"/>
      <c r="F203" s="670"/>
      <c r="G203" s="670"/>
      <c r="H203" s="670"/>
      <c r="I203" s="670"/>
      <c r="J203" s="26">
        <f>SUM(J199:J202)</f>
        <v>4</v>
      </c>
      <c r="K203" s="26"/>
      <c r="L203" s="26"/>
    </row>
    <row r="206" spans="1:12" ht="27" x14ac:dyDescent="0.3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 x14ac:dyDescent="0.3">
      <c r="A207" s="670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 x14ac:dyDescent="0.3">
      <c r="A208" s="670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 x14ac:dyDescent="0.3">
      <c r="A209" s="670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 x14ac:dyDescent="0.3">
      <c r="A210" s="670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 x14ac:dyDescent="0.3">
      <c r="A211" s="670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 x14ac:dyDescent="0.3">
      <c r="A212" s="670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 x14ac:dyDescent="0.3">
      <c r="A213" s="670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 x14ac:dyDescent="0.3">
      <c r="A214" s="670" t="s">
        <v>53</v>
      </c>
      <c r="B214" s="670"/>
      <c r="C214" s="670"/>
      <c r="D214" s="670"/>
      <c r="E214" s="670"/>
      <c r="F214" s="670"/>
      <c r="G214" s="670"/>
      <c r="H214" s="670"/>
      <c r="I214" s="670"/>
      <c r="J214" s="26">
        <f>SUM(J207:J213)</f>
        <v>14</v>
      </c>
      <c r="K214" s="26"/>
      <c r="L214" s="26"/>
    </row>
    <row r="217" spans="1:12" x14ac:dyDescent="0.3">
      <c r="A217" t="s">
        <v>1505</v>
      </c>
    </row>
    <row r="219" spans="1:12" ht="27" x14ac:dyDescent="0.3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 x14ac:dyDescent="0.3">
      <c r="A220" s="670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 x14ac:dyDescent="0.3">
      <c r="A221" s="670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 x14ac:dyDescent="0.3">
      <c r="A222" s="670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 x14ac:dyDescent="0.3">
      <c r="A223" s="670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 x14ac:dyDescent="0.3">
      <c r="A224" s="670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 x14ac:dyDescent="0.3">
      <c r="A225" s="670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 x14ac:dyDescent="0.3">
      <c r="A226" s="670" t="s">
        <v>1463</v>
      </c>
      <c r="B226" s="670"/>
      <c r="C226" s="670"/>
      <c r="D226" s="670"/>
      <c r="E226" s="670"/>
      <c r="F226" s="670"/>
      <c r="G226" s="670"/>
      <c r="H226" s="670"/>
      <c r="I226" s="670"/>
      <c r="J226" s="26">
        <f>SUM(J220:J225)</f>
        <v>9</v>
      </c>
      <c r="K226" s="26"/>
      <c r="L226" s="26"/>
    </row>
    <row r="228" spans="1:12" ht="27" x14ac:dyDescent="0.3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 x14ac:dyDescent="0.3">
      <c r="A229" s="670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 x14ac:dyDescent="0.3">
      <c r="A230" s="670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 x14ac:dyDescent="0.3">
      <c r="A231" s="670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 x14ac:dyDescent="0.3">
      <c r="A232" s="670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 x14ac:dyDescent="0.3">
      <c r="A233" s="670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 x14ac:dyDescent="0.3">
      <c r="A234" s="670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 x14ac:dyDescent="0.3">
      <c r="A235" s="670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 x14ac:dyDescent="0.3">
      <c r="A236" s="670" t="s">
        <v>1504</v>
      </c>
      <c r="B236" s="670"/>
      <c r="C236" s="670"/>
      <c r="D236" s="670"/>
      <c r="E236" s="670"/>
      <c r="F236" s="670"/>
      <c r="G236" s="670"/>
      <c r="H236" s="670"/>
      <c r="I236" s="670"/>
      <c r="J236" s="26">
        <f>SUM(J229:J235)</f>
        <v>14</v>
      </c>
      <c r="K236" s="26"/>
      <c r="L236" s="26"/>
    </row>
    <row r="239" spans="1:12" ht="27" x14ac:dyDescent="0.3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 x14ac:dyDescent="0.3">
      <c r="A240" s="688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 x14ac:dyDescent="0.3">
      <c r="A241" s="688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 x14ac:dyDescent="0.3">
      <c r="A242" s="688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 x14ac:dyDescent="0.3">
      <c r="A243" s="688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 x14ac:dyDescent="0.3">
      <c r="A244" s="673" t="s">
        <v>53</v>
      </c>
      <c r="B244" s="674"/>
      <c r="C244" s="674"/>
      <c r="D244" s="674"/>
      <c r="E244" s="674"/>
      <c r="F244" s="674"/>
      <c r="G244" s="674"/>
      <c r="H244" s="674"/>
      <c r="I244" s="675"/>
      <c r="J244" s="26">
        <f>SUM(J240:J243)</f>
        <v>14</v>
      </c>
      <c r="K244" s="27"/>
      <c r="L244" s="26"/>
    </row>
    <row r="246" spans="1:12" ht="27" x14ac:dyDescent="0.3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 x14ac:dyDescent="0.3">
      <c r="A247" s="688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 x14ac:dyDescent="0.3">
      <c r="A248" s="688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 x14ac:dyDescent="0.3">
      <c r="A249" s="688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 x14ac:dyDescent="0.3">
      <c r="A250" s="673" t="s">
        <v>53</v>
      </c>
      <c r="B250" s="674"/>
      <c r="C250" s="674"/>
      <c r="D250" s="674"/>
      <c r="E250" s="674"/>
      <c r="F250" s="674"/>
      <c r="G250" s="674"/>
      <c r="H250" s="674"/>
      <c r="I250" s="675"/>
      <c r="J250" s="26">
        <f>SUM(J247:J249)</f>
        <v>8</v>
      </c>
      <c r="K250" s="27"/>
      <c r="L250" s="26"/>
    </row>
    <row r="252" spans="1:12" ht="27" x14ac:dyDescent="0.3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 x14ac:dyDescent="0.3">
      <c r="A253" s="688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 x14ac:dyDescent="0.3">
      <c r="A254" s="688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 x14ac:dyDescent="0.3">
      <c r="A255" s="688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 x14ac:dyDescent="0.3">
      <c r="A256" s="688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 x14ac:dyDescent="0.3">
      <c r="A257" s="673" t="s">
        <v>53</v>
      </c>
      <c r="B257" s="674"/>
      <c r="C257" s="674"/>
      <c r="D257" s="674"/>
      <c r="E257" s="674"/>
      <c r="F257" s="674"/>
      <c r="G257" s="674"/>
      <c r="H257" s="674"/>
      <c r="I257" s="675"/>
      <c r="J257" s="26">
        <f>SUM(J253:J256)</f>
        <v>14</v>
      </c>
      <c r="K257" s="27"/>
      <c r="L257" s="26"/>
    </row>
    <row r="259" spans="1:13" ht="27" customHeight="1" x14ac:dyDescent="0.3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 x14ac:dyDescent="0.3">
      <c r="A260" s="689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 x14ac:dyDescent="0.3">
      <c r="A261" s="689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 x14ac:dyDescent="0.3">
      <c r="A262" s="673" t="s">
        <v>53</v>
      </c>
      <c r="B262" s="674"/>
      <c r="C262" s="674"/>
      <c r="D262" s="674"/>
      <c r="E262" s="674"/>
      <c r="F262" s="674"/>
      <c r="G262" s="674"/>
      <c r="H262" s="674"/>
      <c r="I262" s="675"/>
      <c r="J262" s="26">
        <f>SUM(J259:J261)</f>
        <v>2</v>
      </c>
      <c r="K262" s="27"/>
      <c r="L262" s="26"/>
    </row>
    <row r="264" spans="1:13" ht="27" x14ac:dyDescent="0.3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 x14ac:dyDescent="0.3">
      <c r="A265" s="678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 x14ac:dyDescent="0.3">
      <c r="A266" s="688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0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 x14ac:dyDescent="0.3">
      <c r="A267" s="688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1"/>
      <c r="I267" s="121"/>
      <c r="J267" s="26">
        <v>2</v>
      </c>
      <c r="K267" s="26" t="s">
        <v>50</v>
      </c>
      <c r="L267" s="26" t="s">
        <v>51</v>
      </c>
    </row>
    <row r="268" spans="1:13" ht="16.5" customHeight="1" x14ac:dyDescent="0.3">
      <c r="A268" s="688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2"/>
      <c r="I268" s="121"/>
      <c r="J268" s="118">
        <v>2</v>
      </c>
      <c r="K268" s="26" t="s">
        <v>50</v>
      </c>
      <c r="L268" s="26" t="s">
        <v>51</v>
      </c>
    </row>
    <row r="269" spans="1:13" ht="16.5" customHeight="1" x14ac:dyDescent="0.3">
      <c r="A269" s="688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 x14ac:dyDescent="0.3">
      <c r="A270" s="679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 x14ac:dyDescent="0.3">
      <c r="A271" s="673" t="s">
        <v>53</v>
      </c>
      <c r="B271" s="674"/>
      <c r="C271" s="674"/>
      <c r="D271" s="674"/>
      <c r="E271" s="674"/>
      <c r="F271" s="674"/>
      <c r="G271" s="674"/>
      <c r="H271" s="674"/>
      <c r="I271" s="675"/>
      <c r="J271" s="26">
        <f>SUM(J265:J270)</f>
        <v>10</v>
      </c>
      <c r="K271" s="27"/>
      <c r="L271" s="26"/>
    </row>
    <row r="273" spans="1:14" ht="27" x14ac:dyDescent="0.3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 x14ac:dyDescent="0.3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 x14ac:dyDescent="0.3">
      <c r="A275" s="673" t="s">
        <v>53</v>
      </c>
      <c r="B275" s="674"/>
      <c r="C275" s="674"/>
      <c r="D275" s="674"/>
      <c r="E275" s="674"/>
      <c r="F275" s="674"/>
      <c r="G275" s="674"/>
      <c r="H275" s="674"/>
      <c r="I275" s="675"/>
      <c r="J275" s="26">
        <f>SUM(J274:J274)</f>
        <v>3</v>
      </c>
      <c r="K275" s="27"/>
      <c r="L275" s="26"/>
    </row>
    <row r="276" spans="1:14" x14ac:dyDescent="0.3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 x14ac:dyDescent="0.3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 x14ac:dyDescent="0.3">
      <c r="A279" s="684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 x14ac:dyDescent="0.3">
      <c r="A280" s="685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 x14ac:dyDescent="0.3">
      <c r="A281" s="685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 x14ac:dyDescent="0.3">
      <c r="A282" s="685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 x14ac:dyDescent="0.3">
      <c r="A283" s="685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 x14ac:dyDescent="0.3">
      <c r="K284" s="198">
        <v>25</v>
      </c>
      <c r="L284" s="398">
        <v>6250000</v>
      </c>
    </row>
    <row r="287" spans="1:14" ht="27" x14ac:dyDescent="0.3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 x14ac:dyDescent="0.3">
      <c r="A288" s="558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 x14ac:dyDescent="0.3">
      <c r="A289" s="559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 x14ac:dyDescent="0.3">
      <c r="A290" s="559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 x14ac:dyDescent="0.3">
      <c r="A291" s="559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 x14ac:dyDescent="0.3">
      <c r="A292" s="559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 x14ac:dyDescent="0.3">
      <c r="A293" s="559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 x14ac:dyDescent="0.3">
      <c r="A294" s="559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 x14ac:dyDescent="0.3">
      <c r="A295" s="560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 x14ac:dyDescent="0.3">
      <c r="A296" s="673" t="s">
        <v>1655</v>
      </c>
      <c r="B296" s="674"/>
      <c r="C296" s="674"/>
      <c r="D296" s="674"/>
      <c r="E296" s="674"/>
      <c r="F296" s="674"/>
      <c r="G296" s="674"/>
      <c r="H296" s="674"/>
      <c r="I296" s="674"/>
      <c r="J296" s="59">
        <v>21</v>
      </c>
      <c r="K296" s="61"/>
      <c r="L296" s="400"/>
      <c r="M296" s="27"/>
    </row>
    <row r="300" spans="1:13" ht="27" x14ac:dyDescent="0.3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 x14ac:dyDescent="0.3">
      <c r="A301" s="670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 x14ac:dyDescent="0.3">
      <c r="A302" s="670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 x14ac:dyDescent="0.3">
      <c r="A303" s="670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 x14ac:dyDescent="0.3">
      <c r="A304" s="670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 x14ac:dyDescent="0.3">
      <c r="A305" s="670" t="s">
        <v>1668</v>
      </c>
      <c r="B305" s="670"/>
      <c r="C305" s="670"/>
      <c r="D305" s="670"/>
      <c r="E305" s="670"/>
      <c r="F305" s="670"/>
      <c r="G305" s="670"/>
      <c r="H305" s="670"/>
      <c r="I305" s="670"/>
      <c r="J305" s="26">
        <f>SUM(J301:J304)</f>
        <v>5</v>
      </c>
      <c r="K305" s="26"/>
      <c r="L305" s="26"/>
    </row>
    <row r="307" spans="1:12" ht="27" x14ac:dyDescent="0.3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 x14ac:dyDescent="0.3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 x14ac:dyDescent="0.3">
      <c r="A309" s="670" t="s">
        <v>53</v>
      </c>
      <c r="B309" s="670"/>
      <c r="C309" s="670"/>
      <c r="D309" s="670"/>
      <c r="E309" s="670"/>
      <c r="F309" s="670"/>
      <c r="G309" s="670"/>
      <c r="H309" s="670"/>
      <c r="I309" s="670"/>
      <c r="J309" s="26">
        <v>1</v>
      </c>
      <c r="K309" s="26"/>
      <c r="L309" s="26"/>
    </row>
    <row r="311" spans="1:12" ht="27" x14ac:dyDescent="0.3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 x14ac:dyDescent="0.3">
      <c r="A312" s="670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 x14ac:dyDescent="0.3">
      <c r="A313" s="670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 x14ac:dyDescent="0.3">
      <c r="A314" s="670" t="s">
        <v>1668</v>
      </c>
      <c r="B314" s="670"/>
      <c r="C314" s="670"/>
      <c r="D314" s="670"/>
      <c r="E314" s="670"/>
      <c r="F314" s="670"/>
      <c r="G314" s="670"/>
      <c r="H314" s="670"/>
      <c r="I314" s="670"/>
      <c r="J314" s="26">
        <f>SUM(J312:J313)</f>
        <v>4</v>
      </c>
      <c r="K314" s="26"/>
      <c r="L314" s="26"/>
    </row>
    <row r="317" spans="1:12" ht="27" x14ac:dyDescent="0.3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 x14ac:dyDescent="0.3">
      <c r="A318" s="670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 x14ac:dyDescent="0.3">
      <c r="A319" s="670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 x14ac:dyDescent="0.3">
      <c r="A320" s="670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 x14ac:dyDescent="0.3">
      <c r="A321" s="670" t="s">
        <v>1668</v>
      </c>
      <c r="B321" s="670"/>
      <c r="C321" s="670"/>
      <c r="D321" s="670"/>
      <c r="E321" s="670"/>
      <c r="F321" s="670"/>
      <c r="G321" s="670"/>
      <c r="H321" s="670"/>
      <c r="I321" s="670"/>
      <c r="J321" s="26">
        <f>SUM(J318:J320)</f>
        <v>10</v>
      </c>
      <c r="K321" s="26"/>
      <c r="L321" s="26"/>
    </row>
    <row r="324" spans="1:14" ht="27" x14ac:dyDescent="0.3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 x14ac:dyDescent="0.3">
      <c r="A325" s="670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 x14ac:dyDescent="0.3">
      <c r="A326" s="670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 x14ac:dyDescent="0.3">
      <c r="A327" s="670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 x14ac:dyDescent="0.3">
      <c r="A328" s="670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 x14ac:dyDescent="0.3">
      <c r="A329" s="670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 x14ac:dyDescent="0.3">
      <c r="A330" s="670" t="s">
        <v>1668</v>
      </c>
      <c r="B330" s="670"/>
      <c r="C330" s="670"/>
      <c r="D330" s="670"/>
      <c r="E330" s="670"/>
      <c r="F330" s="670"/>
      <c r="G330" s="670"/>
      <c r="H330" s="670"/>
      <c r="I330" s="670"/>
      <c r="J330" s="26">
        <f>SUM(J325:J329)</f>
        <v>8</v>
      </c>
      <c r="K330" s="26"/>
      <c r="L330" s="26"/>
    </row>
    <row r="332" spans="1:14" ht="27" x14ac:dyDescent="0.3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 x14ac:dyDescent="0.3">
      <c r="A333" s="684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 x14ac:dyDescent="0.3">
      <c r="A334" s="685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 x14ac:dyDescent="0.3">
      <c r="A335" s="685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 x14ac:dyDescent="0.3">
      <c r="A336" s="685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 x14ac:dyDescent="0.3">
      <c r="A337" s="685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 x14ac:dyDescent="0.3">
      <c r="A338" s="670" t="s">
        <v>1668</v>
      </c>
      <c r="B338" s="670"/>
      <c r="C338" s="670"/>
      <c r="D338" s="670"/>
      <c r="E338" s="670"/>
      <c r="F338" s="670"/>
      <c r="G338" s="670"/>
      <c r="H338" s="670"/>
      <c r="I338" s="670"/>
      <c r="J338" s="26">
        <v>25</v>
      </c>
      <c r="K338" s="26"/>
      <c r="L338" s="26"/>
    </row>
    <row r="342" spans="1:14" ht="27" x14ac:dyDescent="0.3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 x14ac:dyDescent="0.3">
      <c r="A343" s="681" t="s">
        <v>1526</v>
      </c>
      <c r="B343" s="136" t="s">
        <v>1536</v>
      </c>
      <c r="C343" s="568" t="s">
        <v>307</v>
      </c>
      <c r="D343" s="568" t="s">
        <v>323</v>
      </c>
      <c r="E343" s="549" t="s">
        <v>308</v>
      </c>
      <c r="F343" s="680">
        <v>4266</v>
      </c>
      <c r="G343" s="568" t="s">
        <v>642</v>
      </c>
      <c r="H343" s="680" t="s">
        <v>1538</v>
      </c>
      <c r="I343" s="568" t="s">
        <v>1539</v>
      </c>
      <c r="J343" s="549">
        <v>2</v>
      </c>
      <c r="K343" s="678" t="s">
        <v>50</v>
      </c>
      <c r="L343" s="678" t="s">
        <v>51</v>
      </c>
    </row>
    <row r="344" spans="1:14" x14ac:dyDescent="0.3">
      <c r="A344" s="682"/>
      <c r="B344" s="137" t="s">
        <v>1537</v>
      </c>
      <c r="C344" s="550"/>
      <c r="D344" s="550"/>
      <c r="E344" s="550"/>
      <c r="F344" s="555"/>
      <c r="G344" s="550"/>
      <c r="H344" s="555"/>
      <c r="I344" s="550"/>
      <c r="J344" s="550"/>
      <c r="K344" s="679"/>
      <c r="L344" s="679"/>
    </row>
    <row r="345" spans="1:14" x14ac:dyDescent="0.3">
      <c r="A345" s="682"/>
      <c r="B345" s="136" t="s">
        <v>1541</v>
      </c>
      <c r="C345" s="549" t="s">
        <v>307</v>
      </c>
      <c r="D345" s="549" t="s">
        <v>323</v>
      </c>
      <c r="E345" s="549" t="s">
        <v>308</v>
      </c>
      <c r="F345" s="554">
        <v>3306</v>
      </c>
      <c r="G345" s="549" t="s">
        <v>1156</v>
      </c>
      <c r="H345" s="554" t="s">
        <v>1543</v>
      </c>
      <c r="I345" s="549" t="s">
        <v>1539</v>
      </c>
      <c r="J345" s="549">
        <v>2</v>
      </c>
      <c r="K345" s="678" t="s">
        <v>50</v>
      </c>
      <c r="L345" s="678" t="s">
        <v>51</v>
      </c>
    </row>
    <row r="346" spans="1:14" x14ac:dyDescent="0.3">
      <c r="A346" s="683"/>
      <c r="B346" s="137" t="s">
        <v>1542</v>
      </c>
      <c r="C346" s="550"/>
      <c r="D346" s="550"/>
      <c r="E346" s="550"/>
      <c r="F346" s="555"/>
      <c r="G346" s="550"/>
      <c r="H346" s="555"/>
      <c r="I346" s="550"/>
      <c r="J346" s="550"/>
      <c r="K346" s="679"/>
      <c r="L346" s="679"/>
    </row>
    <row r="347" spans="1:14" x14ac:dyDescent="0.3">
      <c r="A347" s="673" t="s">
        <v>53</v>
      </c>
      <c r="B347" s="674"/>
      <c r="C347" s="674"/>
      <c r="D347" s="674"/>
      <c r="E347" s="674"/>
      <c r="F347" s="674"/>
      <c r="G347" s="674"/>
      <c r="H347" s="674"/>
      <c r="I347" s="675"/>
      <c r="J347" s="26">
        <v>4</v>
      </c>
      <c r="K347" s="27"/>
      <c r="L347" s="26"/>
    </row>
    <row r="349" spans="1:14" x14ac:dyDescent="0.3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 x14ac:dyDescent="0.3">
      <c r="A350" s="53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 x14ac:dyDescent="0.3">
      <c r="A351" s="53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 x14ac:dyDescent="0.3">
      <c r="A352" s="53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 x14ac:dyDescent="0.3">
      <c r="A353" s="53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 x14ac:dyDescent="0.3">
      <c r="A354" s="53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 x14ac:dyDescent="0.3">
      <c r="A355" s="53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 x14ac:dyDescent="0.3">
      <c r="A356" s="53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 x14ac:dyDescent="0.3">
      <c r="A357" s="672" t="s">
        <v>53</v>
      </c>
      <c r="B357" s="672"/>
      <c r="C357" s="672"/>
      <c r="D357" s="672"/>
      <c r="E357" s="672"/>
      <c r="F357" s="672"/>
      <c r="G357" s="672"/>
      <c r="H357" s="672"/>
      <c r="I357" s="672"/>
      <c r="J357" s="26">
        <f>SUM(J350:J356)</f>
        <v>10</v>
      </c>
      <c r="K357" s="26"/>
      <c r="L357" s="26"/>
    </row>
    <row r="359" spans="1:12" ht="27" x14ac:dyDescent="0.3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 x14ac:dyDescent="0.3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 x14ac:dyDescent="0.3">
      <c r="A361" s="670" t="s">
        <v>1463</v>
      </c>
      <c r="B361" s="670"/>
      <c r="C361" s="670"/>
      <c r="D361" s="670"/>
      <c r="E361" s="670"/>
      <c r="F361" s="670"/>
      <c r="G361" s="670"/>
      <c r="H361" s="670"/>
      <c r="I361" s="670"/>
      <c r="J361" s="26">
        <f>SUM(J360:J360)</f>
        <v>1</v>
      </c>
      <c r="K361" s="26"/>
      <c r="L361" s="26"/>
    </row>
    <row r="363" spans="1:12" ht="20.100000000000001" customHeight="1" x14ac:dyDescent="0.3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 x14ac:dyDescent="0.3">
      <c r="A364" s="677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 x14ac:dyDescent="0.3">
      <c r="A365" s="670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 x14ac:dyDescent="0.3">
      <c r="A366" s="670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 x14ac:dyDescent="0.3">
      <c r="A367" s="670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 x14ac:dyDescent="0.3">
      <c r="A368" s="670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 x14ac:dyDescent="0.3">
      <c r="A369" s="670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 x14ac:dyDescent="0.3">
      <c r="A370" s="670" t="s">
        <v>1668</v>
      </c>
      <c r="B370" s="670"/>
      <c r="C370" s="670"/>
      <c r="D370" s="670"/>
      <c r="E370" s="670"/>
      <c r="F370" s="670"/>
      <c r="G370" s="670"/>
      <c r="H370" s="670"/>
      <c r="I370" s="670"/>
      <c r="J370" s="26">
        <f>SUM(J364:J369)</f>
        <v>13</v>
      </c>
      <c r="K370" s="26"/>
      <c r="L370" s="26"/>
    </row>
    <row r="372" spans="1:13" ht="27" x14ac:dyDescent="0.3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 x14ac:dyDescent="0.3">
      <c r="A373" s="684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 x14ac:dyDescent="0.3">
      <c r="A374" s="685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 x14ac:dyDescent="0.3">
      <c r="A375" s="685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 x14ac:dyDescent="0.3">
      <c r="A376" s="685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 x14ac:dyDescent="0.3">
      <c r="A377" s="685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 x14ac:dyDescent="0.3">
      <c r="A378" s="672" t="s">
        <v>1655</v>
      </c>
      <c r="B378" s="672"/>
      <c r="C378" s="672"/>
      <c r="D378" s="672"/>
      <c r="E378" s="672"/>
      <c r="F378" s="672"/>
      <c r="G378" s="672"/>
      <c r="H378" s="672"/>
      <c r="I378" s="672"/>
      <c r="J378" s="672"/>
      <c r="K378" s="4">
        <v>25</v>
      </c>
      <c r="L378" s="59"/>
    </row>
    <row r="381" spans="1:13" x14ac:dyDescent="0.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 x14ac:dyDescent="0.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 x14ac:dyDescent="0.3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 x14ac:dyDescent="0.3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 x14ac:dyDescent="0.3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 x14ac:dyDescent="0.3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 x14ac:dyDescent="0.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 x14ac:dyDescent="0.3">
      <c r="A390" t="s">
        <v>1911</v>
      </c>
    </row>
    <row r="392" spans="1:13" ht="27" x14ac:dyDescent="0.3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 x14ac:dyDescent="0.3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 x14ac:dyDescent="0.3">
      <c r="A394" s="670" t="s">
        <v>53</v>
      </c>
      <c r="B394" s="670"/>
      <c r="C394" s="670"/>
      <c r="D394" s="670"/>
      <c r="E394" s="670"/>
      <c r="F394" s="670"/>
      <c r="G394" s="670"/>
      <c r="H394" s="670"/>
      <c r="I394" s="670"/>
      <c r="J394" s="26">
        <v>1</v>
      </c>
      <c r="K394" s="26"/>
      <c r="L394" s="26"/>
    </row>
    <row r="396" spans="1:13" ht="27" customHeight="1" x14ac:dyDescent="0.3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 x14ac:dyDescent="0.3">
      <c r="A397" s="684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 x14ac:dyDescent="0.3">
      <c r="A398" s="685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 x14ac:dyDescent="0.3">
      <c r="A399" s="685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 x14ac:dyDescent="0.3">
      <c r="A400" s="685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 x14ac:dyDescent="0.3">
      <c r="A401" s="670" t="s">
        <v>53</v>
      </c>
      <c r="B401" s="670"/>
      <c r="C401" s="670"/>
      <c r="D401" s="670"/>
      <c r="E401" s="670"/>
      <c r="F401" s="670"/>
      <c r="G401" s="670"/>
      <c r="H401" s="670"/>
      <c r="I401" s="670"/>
      <c r="J401" s="26">
        <v>14</v>
      </c>
      <c r="K401" s="26"/>
      <c r="L401" s="26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 x14ac:dyDescent="0.3">
      <c r="A405" s="669" t="s">
        <v>230</v>
      </c>
      <c r="B405" s="676" t="s">
        <v>1814</v>
      </c>
      <c r="C405" s="676" t="s">
        <v>702</v>
      </c>
      <c r="D405" s="705" t="s">
        <v>677</v>
      </c>
      <c r="E405" s="676" t="s">
        <v>1815</v>
      </c>
      <c r="F405" s="676" t="s">
        <v>1816</v>
      </c>
      <c r="G405" s="676" t="s">
        <v>664</v>
      </c>
      <c r="H405" s="706" t="s">
        <v>1817</v>
      </c>
      <c r="I405" s="705"/>
      <c r="J405" s="706">
        <v>1</v>
      </c>
      <c r="K405" s="678" t="s">
        <v>633</v>
      </c>
      <c r="L405" s="664" t="s">
        <v>51</v>
      </c>
      <c r="M405">
        <v>19</v>
      </c>
    </row>
    <row r="406" spans="1:13" ht="13.5" customHeight="1" x14ac:dyDescent="0.3">
      <c r="A406" s="669"/>
      <c r="B406" s="676"/>
      <c r="C406" s="676"/>
      <c r="D406" s="705"/>
      <c r="E406" s="676"/>
      <c r="F406" s="676"/>
      <c r="G406" s="676"/>
      <c r="H406" s="706"/>
      <c r="I406" s="705"/>
      <c r="J406" s="706"/>
      <c r="K406" s="679"/>
      <c r="L406" s="666"/>
      <c r="M406">
        <v>18</v>
      </c>
    </row>
    <row r="407" spans="1:13" ht="27" customHeight="1" x14ac:dyDescent="0.3">
      <c r="A407" s="66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 x14ac:dyDescent="0.3">
      <c r="A408" s="66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 x14ac:dyDescent="0.3">
      <c r="A409" s="669" t="s">
        <v>1655</v>
      </c>
      <c r="B409" s="669"/>
      <c r="C409" s="669"/>
      <c r="D409" s="669"/>
      <c r="E409" s="669"/>
      <c r="F409" s="669"/>
      <c r="G409" s="669"/>
      <c r="H409" s="669"/>
      <c r="I409" s="669"/>
      <c r="J409" s="26">
        <v>4</v>
      </c>
      <c r="K409" s="26"/>
      <c r="L409" s="26"/>
    </row>
    <row r="410" spans="1:13" ht="20.100000000000001" customHeight="1" x14ac:dyDescent="0.3"/>
    <row r="411" spans="1:13" ht="20.100000000000001" customHeight="1" x14ac:dyDescent="0.3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 x14ac:dyDescent="0.3">
      <c r="A412" s="669" t="s">
        <v>2018</v>
      </c>
      <c r="B412" s="707" t="s">
        <v>2019</v>
      </c>
      <c r="C412" s="678" t="s">
        <v>21</v>
      </c>
      <c r="D412" s="563" t="s">
        <v>14</v>
      </c>
      <c r="E412" s="678" t="s">
        <v>78</v>
      </c>
      <c r="F412" s="676" t="s">
        <v>2020</v>
      </c>
      <c r="G412" s="676" t="s">
        <v>40</v>
      </c>
      <c r="H412" s="706" t="s">
        <v>616</v>
      </c>
      <c r="I412" s="705"/>
      <c r="J412" s="706">
        <v>1</v>
      </c>
      <c r="K412" s="678" t="s">
        <v>2021</v>
      </c>
      <c r="L412" s="664" t="s">
        <v>2007</v>
      </c>
      <c r="M412">
        <v>19</v>
      </c>
    </row>
    <row r="413" spans="1:13" ht="20.100000000000001" customHeight="1" x14ac:dyDescent="0.3">
      <c r="A413" s="669"/>
      <c r="B413" s="676"/>
      <c r="C413" s="679"/>
      <c r="D413" s="564"/>
      <c r="E413" s="679"/>
      <c r="F413" s="676"/>
      <c r="G413" s="676"/>
      <c r="H413" s="706"/>
      <c r="I413" s="705"/>
      <c r="J413" s="706"/>
      <c r="K413" s="679"/>
      <c r="L413" s="666"/>
      <c r="M413">
        <v>18</v>
      </c>
    </row>
    <row r="414" spans="1:13" ht="20.100000000000001" customHeight="1" x14ac:dyDescent="0.3">
      <c r="A414" s="669" t="s">
        <v>1655</v>
      </c>
      <c r="B414" s="669"/>
      <c r="C414" s="669"/>
      <c r="D414" s="669"/>
      <c r="E414" s="669"/>
      <c r="F414" s="669"/>
      <c r="G414" s="669"/>
      <c r="H414" s="669"/>
      <c r="I414" s="669"/>
      <c r="J414" s="26">
        <v>1</v>
      </c>
      <c r="K414" s="26"/>
      <c r="L414" s="26"/>
    </row>
    <row r="415" spans="1:13" ht="20.100000000000001" customHeight="1" x14ac:dyDescent="0.3"/>
    <row r="416" spans="1:13" ht="27" customHeight="1" x14ac:dyDescent="0.3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 x14ac:dyDescent="0.3">
      <c r="A417" s="664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 x14ac:dyDescent="0.3">
      <c r="A418" s="665"/>
      <c r="B418" s="84" t="s">
        <v>1757</v>
      </c>
      <c r="C418" s="705" t="s">
        <v>307</v>
      </c>
      <c r="D418" s="705" t="s">
        <v>323</v>
      </c>
      <c r="E418" s="705" t="s">
        <v>308</v>
      </c>
      <c r="F418" s="706">
        <v>3306</v>
      </c>
      <c r="G418" s="705" t="s">
        <v>1156</v>
      </c>
      <c r="H418" s="706" t="s">
        <v>1758</v>
      </c>
      <c r="I418" s="705" t="s">
        <v>666</v>
      </c>
      <c r="J418" s="705">
        <v>4</v>
      </c>
      <c r="K418" s="678" t="s">
        <v>633</v>
      </c>
      <c r="L418" s="664" t="s">
        <v>51</v>
      </c>
      <c r="M418">
        <v>18</v>
      </c>
    </row>
    <row r="419" spans="1:13" ht="13.5" customHeight="1" x14ac:dyDescent="0.3">
      <c r="A419" s="665"/>
      <c r="B419" s="85" t="s">
        <v>1760</v>
      </c>
      <c r="C419" s="705"/>
      <c r="D419" s="705"/>
      <c r="E419" s="705"/>
      <c r="F419" s="706"/>
      <c r="G419" s="705"/>
      <c r="H419" s="706"/>
      <c r="I419" s="705"/>
      <c r="J419" s="705"/>
      <c r="K419" s="679"/>
      <c r="L419" s="666"/>
    </row>
    <row r="420" spans="1:13" ht="13.5" customHeight="1" x14ac:dyDescent="0.3">
      <c r="A420" s="665"/>
      <c r="B420" s="84" t="s">
        <v>1809</v>
      </c>
      <c r="C420" s="705" t="s">
        <v>307</v>
      </c>
      <c r="D420" s="705" t="s">
        <v>323</v>
      </c>
      <c r="E420" s="705" t="s">
        <v>308</v>
      </c>
      <c r="F420" s="706" t="s">
        <v>1810</v>
      </c>
      <c r="G420" s="705" t="s">
        <v>1811</v>
      </c>
      <c r="H420" s="706" t="s">
        <v>1812</v>
      </c>
      <c r="I420" s="705" t="s">
        <v>666</v>
      </c>
      <c r="J420" s="705">
        <v>5</v>
      </c>
      <c r="K420" s="678" t="s">
        <v>633</v>
      </c>
      <c r="L420" s="664" t="s">
        <v>51</v>
      </c>
      <c r="M420">
        <v>19</v>
      </c>
    </row>
    <row r="421" spans="1:13" ht="13.5" customHeight="1" x14ac:dyDescent="0.3">
      <c r="A421" s="665"/>
      <c r="B421" s="85" t="s">
        <v>1804</v>
      </c>
      <c r="C421" s="705"/>
      <c r="D421" s="705"/>
      <c r="E421" s="705"/>
      <c r="F421" s="706"/>
      <c r="G421" s="705"/>
      <c r="H421" s="706"/>
      <c r="I421" s="705"/>
      <c r="J421" s="705"/>
      <c r="K421" s="679"/>
      <c r="L421" s="666"/>
    </row>
    <row r="422" spans="1:13" ht="27" customHeight="1" x14ac:dyDescent="0.3">
      <c r="A422" s="666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 x14ac:dyDescent="0.3">
      <c r="A423" s="669" t="s">
        <v>1655</v>
      </c>
      <c r="B423" s="669"/>
      <c r="C423" s="669"/>
      <c r="D423" s="669"/>
      <c r="E423" s="669"/>
      <c r="F423" s="669"/>
      <c r="G423" s="669"/>
      <c r="H423" s="669"/>
      <c r="I423" s="669"/>
      <c r="J423" s="26">
        <v>15</v>
      </c>
      <c r="K423" s="26"/>
      <c r="L423" s="26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 x14ac:dyDescent="0.3">
      <c r="A427" s="708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 x14ac:dyDescent="0.3">
      <c r="A428" s="709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 x14ac:dyDescent="0.3">
      <c r="A429" s="709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 x14ac:dyDescent="0.3">
      <c r="A430" s="709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 x14ac:dyDescent="0.3">
      <c r="A431" s="670" t="s">
        <v>1655</v>
      </c>
      <c r="B431" s="670"/>
      <c r="C431" s="670"/>
      <c r="D431" s="670"/>
      <c r="E431" s="670"/>
      <c r="F431" s="670"/>
      <c r="G431" s="670"/>
      <c r="H431" s="670"/>
      <c r="I431" s="670"/>
      <c r="J431" s="26">
        <f>SUM(J427:J430)</f>
        <v>8</v>
      </c>
      <c r="K431" s="26"/>
      <c r="L431" s="26"/>
    </row>
    <row r="432" spans="1:13" ht="20.100000000000001" customHeight="1" x14ac:dyDescent="0.3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 x14ac:dyDescent="0.3">
      <c r="A433" s="709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 x14ac:dyDescent="0.3">
      <c r="A434" s="710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 x14ac:dyDescent="0.3">
      <c r="A435" s="670" t="s">
        <v>1655</v>
      </c>
      <c r="B435" s="670"/>
      <c r="C435" s="670"/>
      <c r="D435" s="670"/>
      <c r="E435" s="670"/>
      <c r="F435" s="670"/>
      <c r="G435" s="670"/>
      <c r="H435" s="670"/>
      <c r="I435" s="670"/>
      <c r="J435" s="26">
        <f>SUM(J433:J434)</f>
        <v>10</v>
      </c>
      <c r="K435" s="26"/>
      <c r="L435" s="26"/>
    </row>
    <row r="436" spans="1:13" ht="20.100000000000001" customHeight="1" x14ac:dyDescent="0.3"/>
    <row r="437" spans="1:13" ht="20.100000000000001" customHeight="1" x14ac:dyDescent="0.3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 x14ac:dyDescent="0.3">
      <c r="A438" s="558" t="s">
        <v>2037</v>
      </c>
      <c r="B438" s="269" t="s">
        <v>1769</v>
      </c>
      <c r="C438" s="618" t="s">
        <v>307</v>
      </c>
      <c r="D438" s="618" t="s">
        <v>323</v>
      </c>
      <c r="E438" s="618" t="s">
        <v>308</v>
      </c>
      <c r="F438" s="711" t="s">
        <v>1770</v>
      </c>
      <c r="G438" s="618" t="s">
        <v>330</v>
      </c>
      <c r="H438" s="690" t="s">
        <v>1771</v>
      </c>
      <c r="I438" s="569" t="s">
        <v>666</v>
      </c>
      <c r="J438" s="713">
        <v>2</v>
      </c>
      <c r="K438" s="678" t="s">
        <v>2006</v>
      </c>
      <c r="L438" s="678" t="s">
        <v>51</v>
      </c>
      <c r="M438">
        <v>18</v>
      </c>
    </row>
    <row r="439" spans="1:13" ht="13.5" customHeight="1" x14ac:dyDescent="0.3">
      <c r="A439" s="559"/>
      <c r="B439" s="270" t="s">
        <v>2038</v>
      </c>
      <c r="C439" s="619"/>
      <c r="D439" s="619"/>
      <c r="E439" s="619"/>
      <c r="F439" s="712"/>
      <c r="G439" s="619"/>
      <c r="H439" s="692"/>
      <c r="I439" s="570"/>
      <c r="J439" s="714"/>
      <c r="K439" s="679"/>
      <c r="L439" s="679"/>
    </row>
    <row r="440" spans="1:13" ht="13.5" customHeight="1" x14ac:dyDescent="0.3">
      <c r="A440" s="559"/>
      <c r="B440" s="271" t="s">
        <v>1803</v>
      </c>
      <c r="C440" s="715" t="s">
        <v>307</v>
      </c>
      <c r="D440" s="715" t="s">
        <v>323</v>
      </c>
      <c r="E440" s="715" t="s">
        <v>308</v>
      </c>
      <c r="F440" s="716" t="s">
        <v>1805</v>
      </c>
      <c r="G440" s="715" t="s">
        <v>1806</v>
      </c>
      <c r="H440" s="716" t="s">
        <v>1801</v>
      </c>
      <c r="I440" s="715" t="s">
        <v>666</v>
      </c>
      <c r="J440" s="549">
        <v>4</v>
      </c>
      <c r="K440" s="678" t="s">
        <v>633</v>
      </c>
      <c r="L440" s="678" t="s">
        <v>2007</v>
      </c>
      <c r="M440">
        <v>19</v>
      </c>
    </row>
    <row r="441" spans="1:13" ht="13.5" customHeight="1" x14ac:dyDescent="0.3">
      <c r="A441" s="559"/>
      <c r="B441" s="272" t="s">
        <v>1804</v>
      </c>
      <c r="C441" s="715"/>
      <c r="D441" s="715"/>
      <c r="E441" s="715"/>
      <c r="F441" s="716"/>
      <c r="G441" s="715"/>
      <c r="H441" s="716"/>
      <c r="I441" s="715"/>
      <c r="J441" s="550"/>
      <c r="K441" s="679"/>
      <c r="L441" s="679"/>
    </row>
    <row r="442" spans="1:13" ht="20.100000000000001" customHeight="1" x14ac:dyDescent="0.3">
      <c r="A442" s="559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 x14ac:dyDescent="0.3">
      <c r="A443" s="559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 x14ac:dyDescent="0.3">
      <c r="A444" s="559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 x14ac:dyDescent="0.3">
      <c r="A445" s="559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 x14ac:dyDescent="0.3">
      <c r="A446" s="559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 x14ac:dyDescent="0.3">
      <c r="A447" s="559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 x14ac:dyDescent="0.3">
      <c r="A448" s="559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 x14ac:dyDescent="0.3">
      <c r="A449" s="560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 x14ac:dyDescent="0.3">
      <c r="A450" s="673" t="s">
        <v>1655</v>
      </c>
      <c r="B450" s="674"/>
      <c r="C450" s="674"/>
      <c r="D450" s="674"/>
      <c r="E450" s="674"/>
      <c r="F450" s="674"/>
      <c r="G450" s="674"/>
      <c r="H450" s="674"/>
      <c r="I450" s="674"/>
      <c r="J450" s="59">
        <v>20</v>
      </c>
      <c r="K450" s="61"/>
      <c r="L450" s="400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 x14ac:dyDescent="0.3">
      <c r="A456" s="53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 x14ac:dyDescent="0.3">
      <c r="A457" s="53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 x14ac:dyDescent="0.3">
      <c r="A458" s="53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 x14ac:dyDescent="0.3">
      <c r="A459" s="672" t="s">
        <v>2069</v>
      </c>
      <c r="B459" s="672"/>
      <c r="C459" s="672"/>
      <c r="D459" s="672"/>
      <c r="E459" s="672"/>
      <c r="F459" s="672"/>
      <c r="G459" s="672"/>
      <c r="H459" s="672"/>
      <c r="I459" s="672"/>
      <c r="J459" s="26">
        <f>SUM(J456:J458)</f>
        <v>5</v>
      </c>
      <c r="K459" s="26"/>
      <c r="L459" s="26"/>
    </row>
    <row r="460" spans="1:13" ht="20.100000000000001" customHeight="1" x14ac:dyDescent="0.3"/>
    <row r="461" spans="1:13" ht="27" customHeight="1" x14ac:dyDescent="0.3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 x14ac:dyDescent="0.3">
      <c r="A462" s="708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 x14ac:dyDescent="0.3">
      <c r="A463" s="709"/>
      <c r="B463" s="717" t="s">
        <v>1776</v>
      </c>
      <c r="C463" s="718" t="s">
        <v>312</v>
      </c>
      <c r="D463" s="718" t="s">
        <v>321</v>
      </c>
      <c r="E463" s="718" t="s">
        <v>711</v>
      </c>
      <c r="F463" s="718" t="s">
        <v>1777</v>
      </c>
      <c r="G463" s="717" t="s">
        <v>1778</v>
      </c>
      <c r="H463" s="275" t="s">
        <v>1779</v>
      </c>
      <c r="I463" s="718"/>
      <c r="J463" s="718">
        <v>1</v>
      </c>
      <c r="K463" s="563" t="s">
        <v>633</v>
      </c>
      <c r="L463" s="592" t="s">
        <v>51</v>
      </c>
      <c r="M463">
        <v>18</v>
      </c>
    </row>
    <row r="464" spans="1:13" ht="13.5" customHeight="1" x14ac:dyDescent="0.3">
      <c r="A464" s="709"/>
      <c r="B464" s="717"/>
      <c r="C464" s="718"/>
      <c r="D464" s="718"/>
      <c r="E464" s="718"/>
      <c r="F464" s="718"/>
      <c r="G464" s="717"/>
      <c r="H464" s="276" t="s">
        <v>1782</v>
      </c>
      <c r="I464" s="718"/>
      <c r="J464" s="718"/>
      <c r="K464" s="564"/>
      <c r="L464" s="593"/>
    </row>
    <row r="465" spans="1:13" ht="13.5" customHeight="1" x14ac:dyDescent="0.3">
      <c r="A465" s="709"/>
      <c r="B465" s="719" t="s">
        <v>1822</v>
      </c>
      <c r="C465" s="676" t="s">
        <v>702</v>
      </c>
      <c r="D465" s="705" t="s">
        <v>321</v>
      </c>
      <c r="E465" s="705" t="s">
        <v>338</v>
      </c>
      <c r="F465" s="676" t="s">
        <v>355</v>
      </c>
      <c r="G465" s="676" t="s">
        <v>1823</v>
      </c>
      <c r="H465" s="706" t="s">
        <v>1824</v>
      </c>
      <c r="I465" s="705" t="s">
        <v>640</v>
      </c>
      <c r="J465" s="706">
        <v>2</v>
      </c>
      <c r="K465" s="678" t="s">
        <v>633</v>
      </c>
      <c r="L465" s="678" t="s">
        <v>51</v>
      </c>
      <c r="M465">
        <v>19</v>
      </c>
    </row>
    <row r="466" spans="1:13" ht="13.5" customHeight="1" x14ac:dyDescent="0.3">
      <c r="A466" s="709"/>
      <c r="B466" s="719"/>
      <c r="C466" s="676"/>
      <c r="D466" s="705"/>
      <c r="E466" s="705"/>
      <c r="F466" s="676"/>
      <c r="G466" s="676"/>
      <c r="H466" s="706"/>
      <c r="I466" s="705"/>
      <c r="J466" s="706"/>
      <c r="K466" s="679"/>
      <c r="L466" s="679"/>
    </row>
    <row r="467" spans="1:13" ht="27" customHeight="1" x14ac:dyDescent="0.3">
      <c r="A467" s="709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 x14ac:dyDescent="0.3">
      <c r="A468" s="709"/>
      <c r="B468" s="676" t="s">
        <v>1829</v>
      </c>
      <c r="C468" s="676" t="s">
        <v>702</v>
      </c>
      <c r="D468" s="705" t="s">
        <v>321</v>
      </c>
      <c r="E468" s="705" t="s">
        <v>711</v>
      </c>
      <c r="F468" s="705" t="s">
        <v>1777</v>
      </c>
      <c r="G468" s="676" t="s">
        <v>1830</v>
      </c>
      <c r="H468" s="278" t="s">
        <v>1831</v>
      </c>
      <c r="I468" s="705" t="s">
        <v>640</v>
      </c>
      <c r="J468" s="705">
        <v>2</v>
      </c>
      <c r="K468" s="678" t="s">
        <v>633</v>
      </c>
      <c r="L468" s="678" t="s">
        <v>51</v>
      </c>
      <c r="M468">
        <v>19</v>
      </c>
    </row>
    <row r="469" spans="1:13" ht="13.5" customHeight="1" x14ac:dyDescent="0.3">
      <c r="A469" s="709"/>
      <c r="B469" s="676"/>
      <c r="C469" s="676"/>
      <c r="D469" s="705"/>
      <c r="E469" s="705"/>
      <c r="F469" s="705"/>
      <c r="G469" s="676"/>
      <c r="H469" s="279" t="s">
        <v>1832</v>
      </c>
      <c r="I469" s="705"/>
      <c r="J469" s="705"/>
      <c r="K469" s="679"/>
      <c r="L469" s="679"/>
    </row>
    <row r="470" spans="1:13" ht="27" customHeight="1" x14ac:dyDescent="0.3">
      <c r="A470" s="709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 x14ac:dyDescent="0.3">
      <c r="A471" s="710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 x14ac:dyDescent="0.3">
      <c r="A472" s="670" t="s">
        <v>53</v>
      </c>
      <c r="B472" s="670"/>
      <c r="C472" s="670"/>
      <c r="D472" s="670"/>
      <c r="E472" s="670"/>
      <c r="F472" s="670"/>
      <c r="G472" s="670"/>
      <c r="H472" s="670"/>
      <c r="I472" s="670"/>
      <c r="J472" s="26">
        <v>11</v>
      </c>
      <c r="K472" s="26"/>
      <c r="L472" s="26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 x14ac:dyDescent="0.3">
      <c r="A476" s="670" t="s">
        <v>229</v>
      </c>
      <c r="B476" s="717" t="s">
        <v>1776</v>
      </c>
      <c r="C476" s="718" t="s">
        <v>312</v>
      </c>
      <c r="D476" s="718" t="s">
        <v>321</v>
      </c>
      <c r="E476" s="718" t="s">
        <v>711</v>
      </c>
      <c r="F476" s="718" t="s">
        <v>1777</v>
      </c>
      <c r="G476" s="717" t="s">
        <v>1778</v>
      </c>
      <c r="H476" s="275" t="s">
        <v>1779</v>
      </c>
      <c r="I476" s="718"/>
      <c r="J476" s="718">
        <v>1</v>
      </c>
      <c r="K476" s="563" t="s">
        <v>633</v>
      </c>
      <c r="L476" s="592" t="s">
        <v>51</v>
      </c>
      <c r="M476">
        <v>18</v>
      </c>
    </row>
    <row r="477" spans="1:13" ht="13.5" customHeight="1" x14ac:dyDescent="0.3">
      <c r="A477" s="670"/>
      <c r="B477" s="717"/>
      <c r="C477" s="718"/>
      <c r="D477" s="718"/>
      <c r="E477" s="718"/>
      <c r="F477" s="718"/>
      <c r="G477" s="717"/>
      <c r="H477" s="276" t="s">
        <v>1782</v>
      </c>
      <c r="I477" s="718"/>
      <c r="J477" s="718"/>
      <c r="K477" s="564"/>
      <c r="L477" s="593"/>
    </row>
    <row r="478" spans="1:13" ht="27" customHeight="1" x14ac:dyDescent="0.3">
      <c r="A478" s="670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 x14ac:dyDescent="0.3">
      <c r="A479" s="670" t="s">
        <v>1655</v>
      </c>
      <c r="B479" s="670"/>
      <c r="C479" s="670"/>
      <c r="D479" s="670"/>
      <c r="E479" s="670"/>
      <c r="F479" s="670"/>
      <c r="G479" s="670"/>
      <c r="H479" s="670"/>
      <c r="I479" s="670"/>
      <c r="J479" s="26">
        <f>SUM(J476:J478)</f>
        <v>3</v>
      </c>
      <c r="K479" s="26"/>
      <c r="L479" s="26"/>
    </row>
    <row r="480" spans="1:13" ht="20.100000000000001" customHeight="1" x14ac:dyDescent="0.3"/>
    <row r="481" spans="1:13" ht="20.100000000000001" customHeight="1" x14ac:dyDescent="0.3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 x14ac:dyDescent="0.3">
      <c r="A482" s="678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 x14ac:dyDescent="0.3">
      <c r="A483" s="688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 x14ac:dyDescent="0.3">
      <c r="A484" s="688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 x14ac:dyDescent="0.3">
      <c r="A485" s="688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 x14ac:dyDescent="0.3">
      <c r="A486" s="679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 x14ac:dyDescent="0.3">
      <c r="A487" s="673" t="s">
        <v>53</v>
      </c>
      <c r="B487" s="674"/>
      <c r="C487" s="674"/>
      <c r="D487" s="674"/>
      <c r="E487" s="674"/>
      <c r="F487" s="674"/>
      <c r="G487" s="674"/>
      <c r="H487" s="674"/>
      <c r="I487" s="675"/>
      <c r="J487" s="26">
        <v>5</v>
      </c>
      <c r="K487" s="27"/>
      <c r="L487" s="59"/>
    </row>
    <row r="490" spans="1:13" x14ac:dyDescent="0.3">
      <c r="A490" t="s">
        <v>2103</v>
      </c>
    </row>
    <row r="492" spans="1:13" x14ac:dyDescent="0.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 x14ac:dyDescent="0.3">
      <c r="A493" s="721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 x14ac:dyDescent="0.3">
      <c r="A494" s="722"/>
      <c r="B494" s="720" t="s">
        <v>2193</v>
      </c>
      <c r="C494" s="720" t="s">
        <v>307</v>
      </c>
      <c r="D494" s="720" t="s">
        <v>323</v>
      </c>
      <c r="E494" s="720" t="s">
        <v>308</v>
      </c>
      <c r="F494" s="723" t="s">
        <v>1928</v>
      </c>
      <c r="G494" s="720" t="s">
        <v>664</v>
      </c>
      <c r="H494" s="723" t="s">
        <v>1929</v>
      </c>
      <c r="I494" s="720" t="s">
        <v>351</v>
      </c>
      <c r="J494" s="720">
        <v>2</v>
      </c>
      <c r="K494" s="676" t="s">
        <v>50</v>
      </c>
      <c r="L494" s="238">
        <v>23</v>
      </c>
    </row>
    <row r="495" spans="1:13" ht="12.6" customHeight="1" x14ac:dyDescent="0.3">
      <c r="A495" s="722"/>
      <c r="B495" s="720"/>
      <c r="C495" s="720"/>
      <c r="D495" s="720"/>
      <c r="E495" s="720"/>
      <c r="F495" s="723"/>
      <c r="G495" s="720"/>
      <c r="H495" s="723"/>
      <c r="I495" s="720"/>
      <c r="J495" s="720"/>
      <c r="K495" s="676"/>
    </row>
    <row r="496" spans="1:13" ht="24.95" customHeight="1" x14ac:dyDescent="0.3">
      <c r="A496" s="722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 x14ac:dyDescent="0.3">
      <c r="A497" s="722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 x14ac:dyDescent="0.3">
      <c r="A498" s="722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 x14ac:dyDescent="0.3">
      <c r="A499" s="722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 x14ac:dyDescent="0.3">
      <c r="A500" s="670" t="s">
        <v>53</v>
      </c>
      <c r="B500" s="670"/>
      <c r="C500" s="670"/>
      <c r="D500" s="670"/>
      <c r="E500" s="670"/>
      <c r="F500" s="670"/>
      <c r="G500" s="670"/>
      <c r="H500" s="670"/>
      <c r="I500" s="670"/>
      <c r="J500" s="26">
        <v>20</v>
      </c>
      <c r="K500" s="27"/>
    </row>
    <row r="503" spans="1:12" x14ac:dyDescent="0.3">
      <c r="A503" t="s">
        <v>2208</v>
      </c>
    </row>
    <row r="505" spans="1:12" ht="27" x14ac:dyDescent="0.3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 x14ac:dyDescent="0.3">
      <c r="A506" s="67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 x14ac:dyDescent="0.3">
      <c r="A507" s="67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 x14ac:dyDescent="0.3">
      <c r="A508" s="67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 x14ac:dyDescent="0.3">
      <c r="A509" s="67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 x14ac:dyDescent="0.3">
      <c r="A510" s="67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 x14ac:dyDescent="0.3">
      <c r="A511" s="670" t="s">
        <v>2228</v>
      </c>
      <c r="B511" s="670"/>
      <c r="C511" s="670"/>
      <c r="D511" s="670"/>
      <c r="E511" s="670"/>
      <c r="F511" s="670"/>
      <c r="G511" s="670"/>
      <c r="H511" s="670"/>
      <c r="I511" s="670"/>
      <c r="J511" s="26">
        <v>6</v>
      </c>
      <c r="K511" s="27"/>
    </row>
    <row r="514" spans="1:13" x14ac:dyDescent="0.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 x14ac:dyDescent="0.3">
      <c r="A515" s="67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 x14ac:dyDescent="0.3">
      <c r="A516" s="67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 x14ac:dyDescent="0.3">
      <c r="A517" s="67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 x14ac:dyDescent="0.3">
      <c r="A518" s="67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 x14ac:dyDescent="0.3">
      <c r="A519" s="67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 x14ac:dyDescent="0.3">
      <c r="A520" s="67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 x14ac:dyDescent="0.3">
      <c r="A521" s="67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 x14ac:dyDescent="0.3">
      <c r="A522" s="672" t="s">
        <v>2244</v>
      </c>
      <c r="B522" s="672"/>
      <c r="C522" s="672"/>
      <c r="D522" s="672"/>
      <c r="E522" s="672"/>
      <c r="F522" s="672"/>
      <c r="G522" s="672"/>
      <c r="H522" s="672"/>
      <c r="I522" s="672"/>
      <c r="J522" s="26">
        <v>12</v>
      </c>
      <c r="K522" s="26"/>
    </row>
    <row r="526" spans="1:13" ht="27" x14ac:dyDescent="0.3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 x14ac:dyDescent="0.3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 x14ac:dyDescent="0.3">
      <c r="A528" s="670" t="s">
        <v>2249</v>
      </c>
      <c r="B528" s="670"/>
      <c r="C528" s="670"/>
      <c r="D528" s="670"/>
      <c r="E528" s="670"/>
      <c r="F528" s="670"/>
      <c r="G528" s="670"/>
      <c r="H528" s="670"/>
      <c r="I528" s="670"/>
      <c r="J528" s="26">
        <v>1</v>
      </c>
      <c r="K528" s="26"/>
      <c r="L528" s="26"/>
    </row>
    <row r="531" spans="1:13" ht="27" x14ac:dyDescent="0.3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 x14ac:dyDescent="0.3">
      <c r="A532" s="67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 x14ac:dyDescent="0.3">
      <c r="A533" s="67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 x14ac:dyDescent="0.3">
      <c r="A534" s="67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 x14ac:dyDescent="0.3">
      <c r="A535" s="670" t="s">
        <v>2244</v>
      </c>
      <c r="B535" s="670"/>
      <c r="C535" s="670"/>
      <c r="D535" s="670"/>
      <c r="E535" s="670"/>
      <c r="F535" s="670"/>
      <c r="G535" s="670"/>
      <c r="H535" s="670"/>
      <c r="I535" s="670"/>
      <c r="J535" s="26">
        <v>4</v>
      </c>
      <c r="K535" s="27"/>
    </row>
    <row r="538" spans="1:13" ht="27" x14ac:dyDescent="0.3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 x14ac:dyDescent="0.3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 x14ac:dyDescent="0.3">
      <c r="A540" s="673" t="s">
        <v>2249</v>
      </c>
      <c r="B540" s="674"/>
      <c r="C540" s="674"/>
      <c r="D540" s="674"/>
      <c r="E540" s="674"/>
      <c r="F540" s="674"/>
      <c r="G540" s="674"/>
      <c r="H540" s="674"/>
      <c r="I540" s="675"/>
      <c r="J540" s="26">
        <v>2</v>
      </c>
      <c r="K540" s="27"/>
      <c r="L540" s="59"/>
    </row>
    <row r="543" spans="1:13" ht="27" x14ac:dyDescent="0.3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 x14ac:dyDescent="0.3">
      <c r="A544" s="670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 x14ac:dyDescent="0.3">
      <c r="A545" s="670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 x14ac:dyDescent="0.3">
      <c r="A546" s="669" t="s">
        <v>2244</v>
      </c>
      <c r="B546" s="669"/>
      <c r="C546" s="669"/>
      <c r="D546" s="669"/>
      <c r="E546" s="669"/>
      <c r="F546" s="669"/>
      <c r="G546" s="669"/>
      <c r="H546" s="669"/>
      <c r="I546" s="669"/>
      <c r="J546" s="26">
        <v>3</v>
      </c>
      <c r="K546" s="26"/>
      <c r="L546" s="26"/>
    </row>
    <row r="548" spans="1:13" x14ac:dyDescent="0.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 x14ac:dyDescent="0.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 x14ac:dyDescent="0.3">
      <c r="A550" s="670" t="s">
        <v>2244</v>
      </c>
      <c r="B550" s="670"/>
      <c r="C550" s="670"/>
      <c r="D550" s="670"/>
      <c r="E550" s="670"/>
      <c r="F550" s="670"/>
      <c r="G550" s="670"/>
      <c r="H550" s="670"/>
      <c r="I550" s="670"/>
      <c r="J550" s="26">
        <v>2</v>
      </c>
      <c r="K550" s="26"/>
      <c r="L550" s="26"/>
    </row>
    <row r="553" spans="1:13" ht="27" x14ac:dyDescent="0.3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 x14ac:dyDescent="0.3">
      <c r="A554" s="671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 x14ac:dyDescent="0.3">
      <c r="A555" s="671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 x14ac:dyDescent="0.3">
      <c r="A556" s="671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 x14ac:dyDescent="0.3">
      <c r="A557" s="671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 x14ac:dyDescent="0.3">
      <c r="A558" s="671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 x14ac:dyDescent="0.3">
      <c r="A559" s="671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 x14ac:dyDescent="0.3">
      <c r="A560" s="671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 x14ac:dyDescent="0.3">
      <c r="A561" s="671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 x14ac:dyDescent="0.3">
      <c r="A562" s="671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 x14ac:dyDescent="0.3">
      <c r="A563" s="671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 x14ac:dyDescent="0.3">
      <c r="A564" s="671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 x14ac:dyDescent="0.3">
      <c r="A565" s="670" t="s">
        <v>2244</v>
      </c>
      <c r="B565" s="670"/>
      <c r="C565" s="670"/>
      <c r="D565" s="670"/>
      <c r="E565" s="670"/>
      <c r="F565" s="670"/>
      <c r="G565" s="670"/>
      <c r="H565" s="670"/>
      <c r="I565" s="670"/>
      <c r="J565" s="34">
        <v>19</v>
      </c>
      <c r="K565" s="61"/>
      <c r="L565" s="401"/>
    </row>
    <row r="568" spans="1:12" ht="27" x14ac:dyDescent="0.3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 x14ac:dyDescent="0.3">
      <c r="B569" s="260" t="s">
        <v>1915</v>
      </c>
      <c r="C569" s="536" t="s">
        <v>307</v>
      </c>
      <c r="D569" s="536" t="s">
        <v>323</v>
      </c>
      <c r="E569" s="536" t="s">
        <v>308</v>
      </c>
      <c r="F569" s="536">
        <v>3306</v>
      </c>
      <c r="G569" s="536" t="s">
        <v>1156</v>
      </c>
      <c r="H569" s="536" t="s">
        <v>1916</v>
      </c>
      <c r="I569" s="536" t="s">
        <v>1113</v>
      </c>
      <c r="J569" s="536" t="s">
        <v>694</v>
      </c>
      <c r="K569" s="667" t="s">
        <v>2302</v>
      </c>
    </row>
    <row r="570" spans="1:12" x14ac:dyDescent="0.3">
      <c r="B570" s="260" t="s">
        <v>1918</v>
      </c>
      <c r="C570" s="537"/>
      <c r="D570" s="537"/>
      <c r="E570" s="537"/>
      <c r="F570" s="537"/>
      <c r="G570" s="537"/>
      <c r="H570" s="537"/>
      <c r="I570" s="537"/>
      <c r="J570" s="537"/>
      <c r="K570" s="668"/>
    </row>
    <row r="572" spans="1:12" x14ac:dyDescent="0.3">
      <c r="A572" t="s">
        <v>2479</v>
      </c>
    </row>
    <row r="574" spans="1:12" x14ac:dyDescent="0.3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 x14ac:dyDescent="0.3">
      <c r="A575" s="721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 x14ac:dyDescent="0.3">
      <c r="A576" s="722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 x14ac:dyDescent="0.3">
      <c r="A577" s="722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 x14ac:dyDescent="0.3">
      <c r="A578" s="722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 x14ac:dyDescent="0.3">
      <c r="A579" s="722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 x14ac:dyDescent="0.3">
      <c r="A580" s="722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 x14ac:dyDescent="0.3">
      <c r="A581" s="722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 x14ac:dyDescent="0.3">
      <c r="A582" s="670" t="s">
        <v>1463</v>
      </c>
      <c r="B582" s="670"/>
      <c r="C582" s="670"/>
      <c r="D582" s="670"/>
      <c r="E582" s="670"/>
      <c r="F582" s="670"/>
      <c r="G582" s="670"/>
      <c r="H582" s="670"/>
      <c r="I582" s="670"/>
      <c r="J582" s="26">
        <v>24</v>
      </c>
      <c r="K582" s="27"/>
    </row>
    <row r="585" spans="1:12" ht="27" x14ac:dyDescent="0.3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 x14ac:dyDescent="0.3">
      <c r="A586" s="67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 x14ac:dyDescent="0.3">
      <c r="A587" s="67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 x14ac:dyDescent="0.3">
      <c r="A588" s="670" t="s">
        <v>2404</v>
      </c>
      <c r="B588" s="670"/>
      <c r="C588" s="670"/>
      <c r="D588" s="670"/>
      <c r="E588" s="670"/>
      <c r="F588" s="670"/>
      <c r="G588" s="670"/>
      <c r="H588" s="670"/>
      <c r="I588" s="670"/>
      <c r="J588" s="26">
        <v>3</v>
      </c>
      <c r="K588" s="27"/>
    </row>
    <row r="590" spans="1:12" x14ac:dyDescent="0.3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 x14ac:dyDescent="0.3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 x14ac:dyDescent="0.3">
      <c r="A592" s="672" t="s">
        <v>2417</v>
      </c>
      <c r="B592" s="672"/>
      <c r="C592" s="672"/>
      <c r="D592" s="672"/>
      <c r="E592" s="672"/>
      <c r="F592" s="672"/>
      <c r="G592" s="672"/>
      <c r="H592" s="672"/>
      <c r="I592" s="672"/>
      <c r="J592" s="26">
        <v>1</v>
      </c>
      <c r="K592" s="26"/>
    </row>
    <row r="594" spans="1:12" x14ac:dyDescent="0.3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 x14ac:dyDescent="0.3">
      <c r="A595" s="67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 x14ac:dyDescent="0.3">
      <c r="A596" s="67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 x14ac:dyDescent="0.3">
      <c r="A597" s="67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 x14ac:dyDescent="0.3">
      <c r="A598" s="67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 x14ac:dyDescent="0.3">
      <c r="A599" s="67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 x14ac:dyDescent="0.3">
      <c r="A600" s="67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 x14ac:dyDescent="0.3">
      <c r="A601" s="672" t="s">
        <v>2417</v>
      </c>
      <c r="B601" s="672"/>
      <c r="C601" s="672"/>
      <c r="D601" s="672"/>
      <c r="E601" s="672"/>
      <c r="F601" s="672"/>
      <c r="G601" s="672"/>
      <c r="H601" s="672"/>
      <c r="I601" s="672"/>
      <c r="J601" s="26">
        <v>9</v>
      </c>
      <c r="K601" s="26"/>
    </row>
    <row r="604" spans="1:12" ht="27" x14ac:dyDescent="0.3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 x14ac:dyDescent="0.3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 x14ac:dyDescent="0.3">
      <c r="A606" s="670" t="s">
        <v>2448</v>
      </c>
      <c r="B606" s="670"/>
      <c r="C606" s="670"/>
      <c r="D606" s="670"/>
      <c r="E606" s="670"/>
      <c r="F606" s="670"/>
      <c r="G606" s="670"/>
      <c r="H606" s="670"/>
      <c r="I606" s="670"/>
      <c r="J606" s="26">
        <v>1</v>
      </c>
      <c r="K606" s="26"/>
      <c r="L606" s="26"/>
    </row>
    <row r="609" spans="1:12" ht="27" x14ac:dyDescent="0.3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 x14ac:dyDescent="0.3">
      <c r="A610" s="67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 x14ac:dyDescent="0.3">
      <c r="A611" s="67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 x14ac:dyDescent="0.3">
      <c r="A612" s="67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 x14ac:dyDescent="0.3">
      <c r="A613" s="670" t="s">
        <v>2417</v>
      </c>
      <c r="B613" s="670"/>
      <c r="C613" s="670"/>
      <c r="D613" s="670"/>
      <c r="E613" s="670"/>
      <c r="F613" s="670"/>
      <c r="G613" s="670"/>
      <c r="H613" s="670"/>
      <c r="I613" s="670"/>
      <c r="J613" s="26">
        <v>3</v>
      </c>
      <c r="K613" s="27"/>
    </row>
    <row r="616" spans="1:12" ht="27" x14ac:dyDescent="0.3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 x14ac:dyDescent="0.3">
      <c r="A617" s="671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 x14ac:dyDescent="0.3">
      <c r="A618" s="671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 x14ac:dyDescent="0.3">
      <c r="A619" s="671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 x14ac:dyDescent="0.3">
      <c r="A620" s="671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 x14ac:dyDescent="0.3">
      <c r="A621" s="671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 x14ac:dyDescent="0.3">
      <c r="A622" s="671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 x14ac:dyDescent="0.3">
      <c r="A623" s="671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 x14ac:dyDescent="0.3">
      <c r="A624" s="671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 x14ac:dyDescent="0.3">
      <c r="A625" s="671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 x14ac:dyDescent="0.3">
      <c r="A626" s="671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 x14ac:dyDescent="0.3">
      <c r="A627" s="670" t="s">
        <v>2417</v>
      </c>
      <c r="B627" s="670"/>
      <c r="C627" s="670"/>
      <c r="D627" s="670"/>
      <c r="E627" s="670"/>
      <c r="F627" s="670"/>
      <c r="G627" s="670"/>
      <c r="H627" s="670"/>
      <c r="I627" s="670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E7" sqref="E7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4781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 x14ac:dyDescent="0.3">
      <c r="A5" s="532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 x14ac:dyDescent="0.3">
      <c r="A6" s="532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 x14ac:dyDescent="0.3">
      <c r="A7" s="532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 x14ac:dyDescent="0.3">
      <c r="A8" s="532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 x14ac:dyDescent="0.3">
      <c r="A9" s="532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 x14ac:dyDescent="0.3">
      <c r="A10" s="532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 x14ac:dyDescent="0.3">
      <c r="A11" s="532"/>
      <c r="B11" s="532" t="s">
        <v>1139</v>
      </c>
      <c r="C11" s="532"/>
      <c r="D11" s="532"/>
      <c r="E11" s="532"/>
      <c r="F11" s="532"/>
      <c r="G11" s="532"/>
      <c r="H11" s="532"/>
      <c r="I11" s="532"/>
      <c r="J11" s="532"/>
      <c r="K11" s="532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 x14ac:dyDescent="0.3">
      <c r="A12" s="542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5502</v>
      </c>
      <c r="I12" s="34"/>
      <c r="J12" s="207" t="s">
        <v>68</v>
      </c>
      <c r="K12" s="133" t="s">
        <v>15</v>
      </c>
      <c r="L12" s="100">
        <v>300000</v>
      </c>
      <c r="M12" s="6" t="s">
        <v>5498</v>
      </c>
      <c r="N12" s="449"/>
      <c r="P12" s="34" t="s">
        <v>5234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 x14ac:dyDescent="0.3">
      <c r="A13" s="543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5497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5498</v>
      </c>
      <c r="P13" s="34" t="s">
        <v>5448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 x14ac:dyDescent="0.3">
      <c r="A14" s="543"/>
      <c r="B14" s="439"/>
      <c r="C14" s="4"/>
      <c r="D14" s="4"/>
      <c r="E14" s="34"/>
      <c r="F14" s="207"/>
      <c r="G14" s="17"/>
      <c r="H14" s="207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 x14ac:dyDescent="0.3">
      <c r="A15" s="54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 x14ac:dyDescent="0.3">
      <c r="A16" s="54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 x14ac:dyDescent="0.3">
      <c r="A17" s="54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 x14ac:dyDescent="0.3">
      <c r="A18" s="54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 x14ac:dyDescent="0.3">
      <c r="A19" s="54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 x14ac:dyDescent="0.3">
      <c r="A20" s="544"/>
      <c r="B20" s="724" t="s">
        <v>1138</v>
      </c>
      <c r="C20" s="725"/>
      <c r="D20" s="725"/>
      <c r="E20" s="725"/>
      <c r="F20" s="725"/>
      <c r="G20" s="725"/>
      <c r="H20" s="725"/>
      <c r="I20" s="725"/>
      <c r="J20" s="725"/>
      <c r="K20" s="726"/>
      <c r="L20" s="103">
        <f>SUM(L12:L19)</f>
        <v>800000</v>
      </c>
      <c r="M20" s="49"/>
      <c r="P20" s="18"/>
      <c r="Q20" s="18"/>
      <c r="R20" s="18"/>
      <c r="S20" s="18"/>
      <c r="T20" s="18"/>
    </row>
    <row r="21" spans="1:27" ht="25.5" customHeight="1" x14ac:dyDescent="0.3">
      <c r="A21" s="727" t="s">
        <v>62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403">
        <f>L11+L20</f>
        <v>800000</v>
      </c>
      <c r="M21" s="42"/>
      <c r="P21" s="18"/>
      <c r="Q21" s="18"/>
      <c r="R21" s="18"/>
      <c r="S21" s="18"/>
      <c r="T21" s="18"/>
    </row>
    <row r="22" spans="1:27" ht="26.25" customHeight="1" x14ac:dyDescent="0.3">
      <c r="P22" s="18"/>
      <c r="Q22" s="18"/>
      <c r="R22" s="18"/>
      <c r="S22" s="18"/>
      <c r="T22" s="18"/>
      <c r="U22" s="18"/>
    </row>
    <row r="23" spans="1:27" ht="26.25" customHeight="1" x14ac:dyDescent="0.3">
      <c r="O23" s="18"/>
      <c r="P23" s="18"/>
      <c r="Q23" s="18"/>
      <c r="R23" s="18"/>
      <c r="S23" s="18"/>
      <c r="T23" s="18"/>
      <c r="U23" s="18"/>
    </row>
    <row r="24" spans="1:27" ht="26.25" customHeight="1" x14ac:dyDescent="0.3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 x14ac:dyDescent="0.3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 x14ac:dyDescent="0.3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 x14ac:dyDescent="0.3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 x14ac:dyDescent="0.3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J32" s="159"/>
      <c r="O32" s="18"/>
      <c r="V32" s="18"/>
      <c r="W32" s="18"/>
      <c r="X32" s="18"/>
      <c r="Y32" s="18"/>
      <c r="Z32" s="18"/>
      <c r="AA32" s="18"/>
    </row>
    <row r="33" spans="1:27" x14ac:dyDescent="0.3">
      <c r="V33" s="18"/>
      <c r="W33" s="18"/>
      <c r="X33" s="18"/>
      <c r="Y33" s="18"/>
      <c r="Z33" s="18"/>
      <c r="AA33" s="18"/>
    </row>
    <row r="34" spans="1:27" x14ac:dyDescent="0.3">
      <c r="N34" s="18"/>
    </row>
    <row r="35" spans="1:27" ht="28.5" customHeight="1" x14ac:dyDescent="0.3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 x14ac:dyDescent="0.3">
      <c r="A36" s="728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 x14ac:dyDescent="0.3">
      <c r="A37" s="729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 x14ac:dyDescent="0.3">
      <c r="A38" s="729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 x14ac:dyDescent="0.3">
      <c r="A39" s="729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 x14ac:dyDescent="0.3">
      <c r="A40" s="729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 x14ac:dyDescent="0.3">
      <c r="A41" s="729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 x14ac:dyDescent="0.3">
      <c r="A42" s="729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 x14ac:dyDescent="0.3">
      <c r="A43" s="729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 x14ac:dyDescent="0.3">
      <c r="A44" s="729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 x14ac:dyDescent="0.3">
      <c r="A45" s="729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 x14ac:dyDescent="0.3">
      <c r="A46" s="729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 x14ac:dyDescent="0.3">
      <c r="A47" s="729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 x14ac:dyDescent="0.3">
      <c r="A48" s="730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3">
      <c r="M56" s="8" t="s">
        <v>2838</v>
      </c>
    </row>
    <row r="57" spans="1:28" x14ac:dyDescent="0.3">
      <c r="M57" s="8" t="s">
        <v>2835</v>
      </c>
    </row>
    <row r="58" spans="1:28" x14ac:dyDescent="0.3">
      <c r="M58" s="8" t="s">
        <v>2838</v>
      </c>
    </row>
    <row r="59" spans="1:28" x14ac:dyDescent="0.3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5355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 t="s">
        <v>5396</v>
      </c>
      <c r="C4" s="4" t="s">
        <v>19</v>
      </c>
      <c r="D4" s="4" t="s">
        <v>152</v>
      </c>
      <c r="E4" s="4" t="s">
        <v>308</v>
      </c>
      <c r="F4" s="207" t="s">
        <v>5494</v>
      </c>
      <c r="G4" s="17" t="s">
        <v>5495</v>
      </c>
      <c r="H4" s="441" t="s">
        <v>5407</v>
      </c>
      <c r="I4" s="4" t="s">
        <v>169</v>
      </c>
      <c r="J4" s="4" t="s">
        <v>5395</v>
      </c>
      <c r="K4" s="4"/>
      <c r="L4" s="103">
        <v>600000</v>
      </c>
      <c r="M4" s="6" t="s">
        <v>5220</v>
      </c>
    </row>
    <row r="5" spans="1:20" ht="27.75" customHeight="1" x14ac:dyDescent="0.3">
      <c r="A5" s="532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5380</v>
      </c>
    </row>
    <row r="6" spans="1:20" ht="27.75" customHeight="1" x14ac:dyDescent="0.3">
      <c r="A6" s="532"/>
      <c r="B6" s="439" t="s">
        <v>5452</v>
      </c>
      <c r="C6" s="4" t="s">
        <v>19</v>
      </c>
      <c r="D6" s="4" t="s">
        <v>25</v>
      </c>
      <c r="E6" s="4" t="s">
        <v>308</v>
      </c>
      <c r="F6" s="207" t="s">
        <v>5487</v>
      </c>
      <c r="G6" s="17" t="s">
        <v>5488</v>
      </c>
      <c r="H6" s="441" t="s">
        <v>5486</v>
      </c>
      <c r="I6" s="4" t="s">
        <v>221</v>
      </c>
      <c r="J6" s="4" t="s">
        <v>5483</v>
      </c>
      <c r="K6" s="4"/>
      <c r="L6" s="103">
        <v>500000</v>
      </c>
      <c r="M6" s="6"/>
    </row>
    <row r="7" spans="1:20" ht="27.75" customHeight="1" x14ac:dyDescent="0.3">
      <c r="A7" s="532"/>
      <c r="B7" s="439" t="s">
        <v>5450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5484</v>
      </c>
      <c r="H7" s="441" t="s">
        <v>5482</v>
      </c>
      <c r="I7" s="4" t="s">
        <v>221</v>
      </c>
      <c r="J7" s="4" t="s">
        <v>5483</v>
      </c>
      <c r="K7" s="4"/>
      <c r="L7" s="103">
        <v>500000</v>
      </c>
      <c r="M7" s="6"/>
    </row>
    <row r="8" spans="1:20" ht="27.75" customHeight="1" x14ac:dyDescent="0.3">
      <c r="A8" s="532"/>
      <c r="B8" s="439" t="s">
        <v>5451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5484</v>
      </c>
      <c r="H8" s="441" t="s">
        <v>5486</v>
      </c>
      <c r="I8" s="4" t="s">
        <v>221</v>
      </c>
      <c r="J8" s="4" t="s">
        <v>5453</v>
      </c>
      <c r="K8" s="4"/>
      <c r="L8" s="103">
        <v>1000000</v>
      </c>
      <c r="M8" s="6"/>
    </row>
    <row r="9" spans="1:20" ht="27.75" customHeight="1" x14ac:dyDescent="0.3">
      <c r="A9" s="532"/>
      <c r="B9" s="439" t="s">
        <v>5452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5491</v>
      </c>
      <c r="H9" s="441" t="s">
        <v>5492</v>
      </c>
      <c r="I9" s="4" t="s">
        <v>221</v>
      </c>
      <c r="J9" s="4" t="s">
        <v>5454</v>
      </c>
      <c r="K9" s="4"/>
      <c r="L9" s="103">
        <v>500000</v>
      </c>
      <c r="M9" s="6"/>
    </row>
    <row r="10" spans="1:20" ht="27.75" customHeight="1" x14ac:dyDescent="0.3">
      <c r="A10" s="532"/>
      <c r="B10" s="439" t="s">
        <v>5450</v>
      </c>
      <c r="C10" s="4" t="s">
        <v>19</v>
      </c>
      <c r="D10" s="4" t="s">
        <v>25</v>
      </c>
      <c r="E10" s="4" t="s">
        <v>308</v>
      </c>
      <c r="F10" s="207" t="s">
        <v>5490</v>
      </c>
      <c r="G10" s="17" t="s">
        <v>5489</v>
      </c>
      <c r="H10" s="441" t="s">
        <v>5485</v>
      </c>
      <c r="I10" s="4" t="s">
        <v>221</v>
      </c>
      <c r="J10" s="4" t="s">
        <v>5454</v>
      </c>
      <c r="K10" s="4"/>
      <c r="L10" s="103">
        <v>500000</v>
      </c>
      <c r="M10" s="6"/>
    </row>
    <row r="11" spans="1:20" ht="26.25" customHeight="1" x14ac:dyDescent="0.3">
      <c r="A11" s="532"/>
      <c r="B11" s="532" t="s">
        <v>1139</v>
      </c>
      <c r="C11" s="532"/>
      <c r="D11" s="532"/>
      <c r="E11" s="532"/>
      <c r="F11" s="532"/>
      <c r="G11" s="532"/>
      <c r="H11" s="532"/>
      <c r="I11" s="532"/>
      <c r="J11" s="532"/>
      <c r="K11" s="532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 x14ac:dyDescent="0.3">
      <c r="A12" s="54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5356</v>
      </c>
      <c r="I12" s="207"/>
      <c r="J12" s="207" t="s">
        <v>5353</v>
      </c>
      <c r="K12" s="133" t="s">
        <v>5354</v>
      </c>
      <c r="L12" s="100">
        <v>500000</v>
      </c>
      <c r="M12" s="6" t="s">
        <v>5381</v>
      </c>
      <c r="P12" s="34" t="s">
        <v>5447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 x14ac:dyDescent="0.3">
      <c r="A13" s="543"/>
      <c r="B13" s="439">
        <v>46080</v>
      </c>
      <c r="C13" s="4" t="s">
        <v>64</v>
      </c>
      <c r="D13" s="4" t="s">
        <v>77</v>
      </c>
      <c r="E13" s="34" t="s">
        <v>5417</v>
      </c>
      <c r="F13" s="34" t="s">
        <v>364</v>
      </c>
      <c r="G13" s="17" t="s">
        <v>3425</v>
      </c>
      <c r="H13" s="207" t="s">
        <v>5418</v>
      </c>
      <c r="I13" s="34"/>
      <c r="J13" s="207" t="s">
        <v>4214</v>
      </c>
      <c r="K13" s="133" t="s">
        <v>106</v>
      </c>
      <c r="L13" s="100">
        <v>600000</v>
      </c>
      <c r="M13" s="6" t="s">
        <v>5381</v>
      </c>
      <c r="N13" s="449"/>
      <c r="P13" s="34" t="s">
        <v>5448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 x14ac:dyDescent="0.3">
      <c r="A14" s="54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5427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5476</v>
      </c>
      <c r="P14" s="34" t="s">
        <v>5449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 x14ac:dyDescent="0.3">
      <c r="A15" s="543"/>
      <c r="B15" s="439">
        <v>46084</v>
      </c>
      <c r="C15" s="4" t="s">
        <v>21</v>
      </c>
      <c r="D15" s="4" t="s">
        <v>14</v>
      </c>
      <c r="E15" s="34" t="s">
        <v>5441</v>
      </c>
      <c r="F15" s="207" t="s">
        <v>5436</v>
      </c>
      <c r="G15" s="17" t="s">
        <v>5438</v>
      </c>
      <c r="H15" s="207" t="s">
        <v>5465</v>
      </c>
      <c r="I15" s="34"/>
      <c r="J15" s="207" t="s">
        <v>5439</v>
      </c>
      <c r="K15" s="133" t="s">
        <v>15</v>
      </c>
      <c r="L15" s="100">
        <v>250000</v>
      </c>
      <c r="M15" s="6" t="s">
        <v>5477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 x14ac:dyDescent="0.3">
      <c r="A16" s="543"/>
      <c r="B16" s="439">
        <v>46084</v>
      </c>
      <c r="C16" s="4" t="s">
        <v>21</v>
      </c>
      <c r="D16" s="4" t="s">
        <v>14</v>
      </c>
      <c r="E16" s="207" t="s">
        <v>5435</v>
      </c>
      <c r="F16" s="34" t="s">
        <v>109</v>
      </c>
      <c r="G16" s="17" t="s">
        <v>143</v>
      </c>
      <c r="H16" s="334" t="s">
        <v>5464</v>
      </c>
      <c r="I16" s="34"/>
      <c r="J16" s="34" t="s">
        <v>5455</v>
      </c>
      <c r="K16" s="133" t="s">
        <v>15</v>
      </c>
      <c r="L16" s="100">
        <v>300000</v>
      </c>
      <c r="M16" s="6" t="s">
        <v>5478</v>
      </c>
      <c r="N16" s="449"/>
    </row>
    <row r="17" spans="1:27" ht="25.5" customHeight="1" x14ac:dyDescent="0.3">
      <c r="A17" s="54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5372</v>
      </c>
      <c r="G17" s="17" t="s">
        <v>5370</v>
      </c>
      <c r="H17" s="207" t="s">
        <v>5466</v>
      </c>
      <c r="I17" s="34"/>
      <c r="J17" s="207" t="s">
        <v>5456</v>
      </c>
      <c r="K17" s="133" t="s">
        <v>15</v>
      </c>
      <c r="L17" s="100">
        <v>500000</v>
      </c>
      <c r="M17" s="6" t="s">
        <v>5479</v>
      </c>
    </row>
    <row r="18" spans="1:27" ht="25.5" customHeight="1" x14ac:dyDescent="0.3">
      <c r="A18" s="54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5430</v>
      </c>
      <c r="H18" s="334" t="s">
        <v>5467</v>
      </c>
      <c r="I18" s="34"/>
      <c r="J18" s="34" t="s">
        <v>5428</v>
      </c>
      <c r="K18" s="133" t="s">
        <v>15</v>
      </c>
      <c r="L18" s="100">
        <v>300000</v>
      </c>
      <c r="M18" s="6" t="s">
        <v>5480</v>
      </c>
      <c r="N18" s="449"/>
    </row>
    <row r="19" spans="1:27" ht="25.5" customHeight="1" x14ac:dyDescent="0.3">
      <c r="A19" s="54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5412</v>
      </c>
      <c r="I19" s="34"/>
      <c r="J19" s="207" t="s">
        <v>643</v>
      </c>
      <c r="K19" s="133" t="s">
        <v>15</v>
      </c>
      <c r="L19" s="103">
        <v>500000</v>
      </c>
      <c r="M19" s="49" t="s">
        <v>5481</v>
      </c>
      <c r="P19" s="18"/>
      <c r="Q19" s="18"/>
      <c r="R19" s="18"/>
      <c r="S19" s="18"/>
      <c r="T19" s="18"/>
    </row>
    <row r="20" spans="1:27" ht="25.5" customHeight="1" x14ac:dyDescent="0.3">
      <c r="A20" s="544"/>
      <c r="B20" s="724" t="s">
        <v>1138</v>
      </c>
      <c r="C20" s="725"/>
      <c r="D20" s="725"/>
      <c r="E20" s="725"/>
      <c r="F20" s="725"/>
      <c r="G20" s="725"/>
      <c r="H20" s="725"/>
      <c r="I20" s="725"/>
      <c r="J20" s="725"/>
      <c r="K20" s="726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 x14ac:dyDescent="0.3">
      <c r="A21" s="727" t="s">
        <v>62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 x14ac:dyDescent="0.3">
      <c r="P22" s="18"/>
      <c r="Q22" s="18"/>
      <c r="R22" s="18"/>
      <c r="S22" s="18"/>
      <c r="T22" s="18"/>
      <c r="U22" s="18"/>
    </row>
    <row r="23" spans="1:27" ht="26.25" customHeight="1" x14ac:dyDescent="0.3">
      <c r="O23" s="18"/>
      <c r="P23" s="18"/>
      <c r="Q23" s="18"/>
      <c r="R23" s="18"/>
      <c r="S23" s="18"/>
      <c r="T23" s="18"/>
      <c r="U23" s="18"/>
    </row>
    <row r="24" spans="1:27" ht="26.25" customHeight="1" x14ac:dyDescent="0.3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 x14ac:dyDescent="0.3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 x14ac:dyDescent="0.3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 x14ac:dyDescent="0.3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 x14ac:dyDescent="0.3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J32" s="159"/>
      <c r="O32" s="18"/>
      <c r="V32" s="18"/>
      <c r="W32" s="18"/>
      <c r="X32" s="18"/>
      <c r="Y32" s="18"/>
      <c r="Z32" s="18"/>
      <c r="AA32" s="18"/>
    </row>
    <row r="33" spans="1:27" x14ac:dyDescent="0.3">
      <c r="V33" s="18"/>
      <c r="W33" s="18"/>
      <c r="X33" s="18"/>
      <c r="Y33" s="18"/>
      <c r="Z33" s="18"/>
      <c r="AA33" s="18"/>
    </row>
    <row r="34" spans="1:27" x14ac:dyDescent="0.3">
      <c r="N34" s="18"/>
    </row>
    <row r="35" spans="1:27" ht="28.5" customHeight="1" x14ac:dyDescent="0.3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 x14ac:dyDescent="0.3">
      <c r="A36" s="728" t="s">
        <v>5461</v>
      </c>
      <c r="B36" s="439">
        <v>46083</v>
      </c>
      <c r="C36" s="4"/>
      <c r="D36" s="4"/>
      <c r="E36" s="310"/>
      <c r="F36" s="34"/>
      <c r="G36" s="17"/>
      <c r="H36" s="488" t="s">
        <v>5228</v>
      </c>
      <c r="I36" s="34"/>
      <c r="J36" s="34"/>
      <c r="K36" s="133"/>
      <c r="L36" s="17"/>
      <c r="M36" s="484"/>
    </row>
    <row r="37" spans="1:27" ht="33" customHeight="1" x14ac:dyDescent="0.3">
      <c r="A37" s="729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 x14ac:dyDescent="0.3">
      <c r="A38" s="729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5427</v>
      </c>
      <c r="I38" s="34" t="s">
        <v>90</v>
      </c>
      <c r="J38" s="207" t="s">
        <v>688</v>
      </c>
      <c r="K38" s="133" t="s">
        <v>15</v>
      </c>
      <c r="L38" s="17"/>
      <c r="M38" s="484" t="s">
        <v>5468</v>
      </c>
    </row>
    <row r="39" spans="1:27" ht="33" customHeight="1" x14ac:dyDescent="0.3">
      <c r="A39" s="729"/>
      <c r="B39" s="439">
        <v>46084</v>
      </c>
      <c r="C39" s="4" t="s">
        <v>21</v>
      </c>
      <c r="D39" s="4" t="s">
        <v>14</v>
      </c>
      <c r="E39" s="34" t="s">
        <v>5441</v>
      </c>
      <c r="F39" s="207" t="s">
        <v>5436</v>
      </c>
      <c r="G39" s="17" t="s">
        <v>5438</v>
      </c>
      <c r="H39" s="207" t="s">
        <v>5440</v>
      </c>
      <c r="I39" s="34"/>
      <c r="J39" s="207" t="s">
        <v>5439</v>
      </c>
      <c r="K39" s="133" t="s">
        <v>15</v>
      </c>
      <c r="L39" s="17"/>
      <c r="M39" s="484" t="s">
        <v>5469</v>
      </c>
    </row>
    <row r="40" spans="1:27" ht="33" customHeight="1" x14ac:dyDescent="0.3">
      <c r="A40" s="729"/>
      <c r="B40" s="439">
        <v>46084</v>
      </c>
      <c r="C40" s="4" t="s">
        <v>21</v>
      </c>
      <c r="D40" s="4" t="s">
        <v>14</v>
      </c>
      <c r="E40" s="207" t="s">
        <v>5435</v>
      </c>
      <c r="F40" s="34" t="s">
        <v>109</v>
      </c>
      <c r="G40" s="17" t="s">
        <v>143</v>
      </c>
      <c r="H40" s="334" t="s">
        <v>5445</v>
      </c>
      <c r="I40" s="34"/>
      <c r="J40" s="34" t="s">
        <v>5455</v>
      </c>
      <c r="K40" s="133" t="s">
        <v>15</v>
      </c>
      <c r="L40" s="17"/>
      <c r="M40" s="484" t="s">
        <v>5470</v>
      </c>
    </row>
    <row r="41" spans="1:27" ht="33" customHeight="1" x14ac:dyDescent="0.3">
      <c r="A41" s="729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5372</v>
      </c>
      <c r="G41" s="17" t="s">
        <v>5370</v>
      </c>
      <c r="H41" s="207" t="s">
        <v>5460</v>
      </c>
      <c r="I41" s="34"/>
      <c r="J41" s="207" t="s">
        <v>5456</v>
      </c>
      <c r="K41" s="133" t="s">
        <v>15</v>
      </c>
      <c r="L41" s="17"/>
      <c r="M41" s="484" t="s">
        <v>5471</v>
      </c>
    </row>
    <row r="42" spans="1:27" ht="33" customHeight="1" x14ac:dyDescent="0.3">
      <c r="A42" s="729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5472</v>
      </c>
    </row>
    <row r="43" spans="1:27" ht="33" customHeight="1" x14ac:dyDescent="0.3">
      <c r="A43" s="729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5430</v>
      </c>
      <c r="H43" s="334" t="s">
        <v>5429</v>
      </c>
      <c r="I43" s="34"/>
      <c r="J43" s="34" t="s">
        <v>5428</v>
      </c>
      <c r="K43" s="133" t="s">
        <v>15</v>
      </c>
      <c r="L43" s="17"/>
      <c r="M43" s="484" t="s">
        <v>5473</v>
      </c>
    </row>
    <row r="44" spans="1:27" ht="33" customHeight="1" x14ac:dyDescent="0.3">
      <c r="A44" s="729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 x14ac:dyDescent="0.3">
      <c r="A45" s="729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5412</v>
      </c>
      <c r="I45" s="34"/>
      <c r="J45" s="207" t="s">
        <v>643</v>
      </c>
      <c r="K45" s="133" t="s">
        <v>15</v>
      </c>
      <c r="L45" s="17"/>
      <c r="M45" s="484" t="s">
        <v>5474</v>
      </c>
    </row>
    <row r="46" spans="1:27" ht="33" customHeight="1" x14ac:dyDescent="0.3">
      <c r="A46" s="729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5475</v>
      </c>
    </row>
    <row r="47" spans="1:27" ht="33" customHeight="1" x14ac:dyDescent="0.3">
      <c r="A47" s="729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 x14ac:dyDescent="0.3">
      <c r="A48" s="730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3">
      <c r="M56" s="8" t="s">
        <v>2838</v>
      </c>
    </row>
    <row r="57" spans="1:28" x14ac:dyDescent="0.3">
      <c r="M57" s="8" t="s">
        <v>2835</v>
      </c>
    </row>
    <row r="58" spans="1:28" x14ac:dyDescent="0.3">
      <c r="M58" s="8" t="s">
        <v>2838</v>
      </c>
    </row>
    <row r="59" spans="1:28" x14ac:dyDescent="0.3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4780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 t="s">
        <v>5322</v>
      </c>
      <c r="C4" s="4" t="s">
        <v>125</v>
      </c>
      <c r="D4" s="4" t="s">
        <v>152</v>
      </c>
      <c r="E4" s="4" t="s">
        <v>308</v>
      </c>
      <c r="F4" s="207" t="s">
        <v>5329</v>
      </c>
      <c r="G4" s="17" t="s">
        <v>5330</v>
      </c>
      <c r="H4" s="441" t="s">
        <v>5331</v>
      </c>
      <c r="I4" s="4" t="s">
        <v>5323</v>
      </c>
      <c r="J4" s="4" t="s">
        <v>3338</v>
      </c>
      <c r="K4" s="4"/>
      <c r="L4" s="103">
        <v>1250000</v>
      </c>
      <c r="M4" s="6"/>
    </row>
    <row r="5" spans="1:20" ht="27.75" customHeight="1" x14ac:dyDescent="0.3">
      <c r="A5" s="532"/>
      <c r="B5" s="439" t="s">
        <v>5322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5332</v>
      </c>
      <c r="H5" s="441" t="s">
        <v>5333</v>
      </c>
      <c r="I5" s="4" t="s">
        <v>5323</v>
      </c>
      <c r="J5" s="4" t="s">
        <v>3626</v>
      </c>
      <c r="K5" s="4"/>
      <c r="L5" s="103">
        <v>1250000</v>
      </c>
      <c r="M5" s="6"/>
    </row>
    <row r="6" spans="1:20" ht="27.75" customHeight="1" x14ac:dyDescent="0.3">
      <c r="A6" s="532"/>
      <c r="B6" s="439" t="s">
        <v>5320</v>
      </c>
      <c r="C6" s="4" t="s">
        <v>125</v>
      </c>
      <c r="D6" s="4" t="s">
        <v>152</v>
      </c>
      <c r="E6" s="4" t="s">
        <v>308</v>
      </c>
      <c r="F6" s="207" t="s">
        <v>5343</v>
      </c>
      <c r="G6" s="17" t="s">
        <v>5335</v>
      </c>
      <c r="H6" s="441" t="s">
        <v>5344</v>
      </c>
      <c r="I6" s="4" t="s">
        <v>5323</v>
      </c>
      <c r="J6" s="4" t="s">
        <v>3074</v>
      </c>
      <c r="K6" s="4"/>
      <c r="L6" s="103">
        <v>750000</v>
      </c>
      <c r="M6" s="6"/>
    </row>
    <row r="7" spans="1:20" ht="27.75" customHeight="1" x14ac:dyDescent="0.3">
      <c r="A7" s="532"/>
      <c r="B7" s="439" t="s">
        <v>5321</v>
      </c>
      <c r="C7" s="4" t="s">
        <v>125</v>
      </c>
      <c r="D7" s="4" t="s">
        <v>152</v>
      </c>
      <c r="E7" s="4" t="s">
        <v>308</v>
      </c>
      <c r="F7" s="207" t="s">
        <v>5340</v>
      </c>
      <c r="G7" s="17" t="s">
        <v>5341</v>
      </c>
      <c r="H7" s="441" t="s">
        <v>5342</v>
      </c>
      <c r="I7" s="4" t="s">
        <v>5323</v>
      </c>
      <c r="J7" s="4" t="s">
        <v>2861</v>
      </c>
      <c r="K7" s="4"/>
      <c r="L7" s="103">
        <v>500000</v>
      </c>
      <c r="M7" s="6"/>
    </row>
    <row r="8" spans="1:20" ht="26.25" customHeight="1" x14ac:dyDescent="0.3">
      <c r="A8" s="532"/>
      <c r="B8" s="532" t="s">
        <v>1139</v>
      </c>
      <c r="C8" s="532"/>
      <c r="D8" s="532"/>
      <c r="E8" s="532"/>
      <c r="F8" s="532"/>
      <c r="G8" s="532"/>
      <c r="H8" s="532"/>
      <c r="I8" s="532"/>
      <c r="J8" s="532"/>
      <c r="K8" s="532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 x14ac:dyDescent="0.3">
      <c r="A9" s="54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5277</v>
      </c>
      <c r="I9" s="207"/>
      <c r="J9" s="207" t="s">
        <v>5288</v>
      </c>
      <c r="K9" s="133" t="s">
        <v>15</v>
      </c>
      <c r="L9" s="100">
        <v>250000</v>
      </c>
      <c r="M9" s="6" t="s">
        <v>5289</v>
      </c>
      <c r="P9" s="34" t="s">
        <v>5334</v>
      </c>
      <c r="Q9" s="442"/>
      <c r="R9" s="442">
        <v>500000</v>
      </c>
      <c r="S9" s="438"/>
      <c r="T9" s="438">
        <f>SUM(Q9:S9)</f>
        <v>500000</v>
      </c>
    </row>
    <row r="10" spans="1:20" ht="25.5" customHeight="1" x14ac:dyDescent="0.3">
      <c r="A10" s="54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5347</v>
      </c>
      <c r="G10" s="17" t="s">
        <v>5348</v>
      </c>
      <c r="H10" s="207" t="s">
        <v>5349</v>
      </c>
      <c r="I10" s="34"/>
      <c r="J10" s="207" t="s">
        <v>154</v>
      </c>
      <c r="K10" s="133" t="s">
        <v>15</v>
      </c>
      <c r="L10" s="100">
        <v>250000</v>
      </c>
      <c r="M10" s="6" t="s">
        <v>5289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 x14ac:dyDescent="0.3">
      <c r="A11" s="54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5324</v>
      </c>
      <c r="I11" s="34"/>
      <c r="J11" s="207" t="s">
        <v>3161</v>
      </c>
      <c r="K11" s="133" t="s">
        <v>15</v>
      </c>
      <c r="L11" s="100">
        <v>300000</v>
      </c>
      <c r="M11" s="6" t="s">
        <v>5325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 x14ac:dyDescent="0.3">
      <c r="A12" s="543"/>
      <c r="B12" s="439">
        <v>46077</v>
      </c>
      <c r="C12" s="4" t="s">
        <v>21</v>
      </c>
      <c r="D12" s="4" t="s">
        <v>30</v>
      </c>
      <c r="E12" s="34" t="s">
        <v>5301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5326</v>
      </c>
      <c r="N12" s="449"/>
    </row>
    <row r="13" spans="1:20" ht="25.5" customHeight="1" x14ac:dyDescent="0.3">
      <c r="A13" s="54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5310</v>
      </c>
      <c r="I13" s="34"/>
      <c r="J13" s="207" t="s">
        <v>643</v>
      </c>
      <c r="K13" s="133" t="s">
        <v>15</v>
      </c>
      <c r="L13" s="100">
        <v>500000</v>
      </c>
      <c r="M13" s="6" t="s">
        <v>5327</v>
      </c>
    </row>
    <row r="14" spans="1:20" ht="25.5" customHeight="1" x14ac:dyDescent="0.3">
      <c r="A14" s="54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5308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5328</v>
      </c>
    </row>
    <row r="15" spans="1:20" ht="25.5" customHeight="1" x14ac:dyDescent="0.3">
      <c r="A15" s="54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5305</v>
      </c>
      <c r="I15" s="34" t="s">
        <v>90</v>
      </c>
      <c r="J15" s="207" t="s">
        <v>5299</v>
      </c>
      <c r="K15" s="133" t="s">
        <v>15</v>
      </c>
      <c r="L15" s="100">
        <v>500000</v>
      </c>
      <c r="M15" s="6" t="s">
        <v>5325</v>
      </c>
    </row>
    <row r="16" spans="1:20" ht="25.5" customHeight="1" x14ac:dyDescent="0.3">
      <c r="A16" s="544"/>
      <c r="B16" s="724" t="s">
        <v>1138</v>
      </c>
      <c r="C16" s="725"/>
      <c r="D16" s="725"/>
      <c r="E16" s="725"/>
      <c r="F16" s="725"/>
      <c r="G16" s="725"/>
      <c r="H16" s="725"/>
      <c r="I16" s="725"/>
      <c r="J16" s="725"/>
      <c r="K16" s="726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 x14ac:dyDescent="0.3">
      <c r="A17" s="727" t="s">
        <v>62</v>
      </c>
      <c r="B17" s="727"/>
      <c r="C17" s="727"/>
      <c r="D17" s="727"/>
      <c r="E17" s="727"/>
      <c r="F17" s="727"/>
      <c r="G17" s="727"/>
      <c r="H17" s="727"/>
      <c r="I17" s="727"/>
      <c r="J17" s="727"/>
      <c r="K17" s="727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 x14ac:dyDescent="0.3">
      <c r="P18" s="18"/>
      <c r="Q18" s="18"/>
      <c r="R18" s="18"/>
      <c r="S18" s="18"/>
      <c r="T18" s="18"/>
      <c r="U18" s="18"/>
    </row>
    <row r="19" spans="1:27" ht="26.25" customHeight="1" x14ac:dyDescent="0.3">
      <c r="O19" s="18"/>
      <c r="P19" s="18"/>
      <c r="Q19" s="18"/>
      <c r="R19" s="18"/>
      <c r="S19" s="18"/>
      <c r="T19" s="18"/>
      <c r="U19" s="18"/>
    </row>
    <row r="20" spans="1:27" ht="26.25" customHeight="1" x14ac:dyDescent="0.3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 x14ac:dyDescent="0.3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 x14ac:dyDescent="0.3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 x14ac:dyDescent="0.3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 x14ac:dyDescent="0.3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J28" s="159"/>
      <c r="O28" s="18"/>
      <c r="V28" s="18"/>
      <c r="W28" s="18"/>
      <c r="X28" s="18"/>
      <c r="Y28" s="18"/>
      <c r="Z28" s="18"/>
      <c r="AA28" s="18"/>
    </row>
    <row r="29" spans="1:27" x14ac:dyDescent="0.3">
      <c r="V29" s="18"/>
      <c r="W29" s="18"/>
      <c r="X29" s="18"/>
      <c r="Y29" s="18"/>
      <c r="Z29" s="18"/>
      <c r="AA29" s="18"/>
    </row>
    <row r="30" spans="1:27" x14ac:dyDescent="0.3">
      <c r="N30" s="18"/>
    </row>
    <row r="31" spans="1:27" ht="28.5" customHeight="1" x14ac:dyDescent="0.3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 x14ac:dyDescent="0.3">
      <c r="A32" s="728" t="s">
        <v>5307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5246</v>
      </c>
      <c r="J32" s="207"/>
      <c r="K32" s="133" t="s">
        <v>182</v>
      </c>
      <c r="L32" s="17">
        <v>1</v>
      </c>
      <c r="M32" s="484" t="s">
        <v>5312</v>
      </c>
    </row>
    <row r="33" spans="1:21" ht="33" customHeight="1" x14ac:dyDescent="0.3">
      <c r="A33" s="729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5309</v>
      </c>
      <c r="I33" s="34"/>
      <c r="J33" s="207" t="s">
        <v>5311</v>
      </c>
      <c r="K33" s="133" t="s">
        <v>15</v>
      </c>
      <c r="L33" s="17">
        <v>2</v>
      </c>
      <c r="M33" s="484" t="s">
        <v>5313</v>
      </c>
    </row>
    <row r="34" spans="1:21" ht="33" customHeight="1" x14ac:dyDescent="0.3">
      <c r="A34" s="729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5246</v>
      </c>
      <c r="J34" s="207"/>
      <c r="K34" s="133" t="s">
        <v>182</v>
      </c>
      <c r="L34" s="17">
        <v>1</v>
      </c>
      <c r="M34" s="8" t="s">
        <v>5314</v>
      </c>
    </row>
    <row r="35" spans="1:21" ht="33" customHeight="1" x14ac:dyDescent="0.3">
      <c r="A35" s="729"/>
      <c r="B35" s="444"/>
      <c r="C35" s="4" t="s">
        <v>21</v>
      </c>
      <c r="D35" s="4" t="s">
        <v>30</v>
      </c>
      <c r="E35" s="34" t="s">
        <v>5301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 x14ac:dyDescent="0.3">
      <c r="A36" s="729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5310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 x14ac:dyDescent="0.3">
      <c r="A37" s="729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5247</v>
      </c>
      <c r="I37" s="34" t="s">
        <v>5246</v>
      </c>
      <c r="J37" s="207"/>
      <c r="K37" s="133" t="s">
        <v>182</v>
      </c>
      <c r="L37" s="17">
        <v>1</v>
      </c>
      <c r="M37" s="8" t="s">
        <v>5315</v>
      </c>
    </row>
    <row r="38" spans="1:21" ht="33" customHeight="1" x14ac:dyDescent="0.3">
      <c r="A38" s="729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5308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 x14ac:dyDescent="0.3">
      <c r="A39" s="729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5316</v>
      </c>
    </row>
    <row r="40" spans="1:21" ht="33" customHeight="1" x14ac:dyDescent="0.3">
      <c r="A40" s="72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5317</v>
      </c>
    </row>
    <row r="41" spans="1:21" ht="33" customHeight="1" x14ac:dyDescent="0.3">
      <c r="A41" s="729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5305</v>
      </c>
      <c r="I41" s="34" t="s">
        <v>90</v>
      </c>
      <c r="J41" s="207" t="s">
        <v>5299</v>
      </c>
      <c r="K41" s="133" t="s">
        <v>15</v>
      </c>
      <c r="L41" s="17">
        <v>3</v>
      </c>
      <c r="M41" s="8" t="s">
        <v>5318</v>
      </c>
    </row>
    <row r="42" spans="1:21" ht="33" customHeight="1" x14ac:dyDescent="0.3">
      <c r="A42" s="729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5319</v>
      </c>
    </row>
    <row r="43" spans="1:21" ht="33" customHeight="1" x14ac:dyDescent="0.3">
      <c r="A43" s="729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 x14ac:dyDescent="0.3">
      <c r="A44" s="730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3">
      <c r="M52" s="8" t="s">
        <v>2838</v>
      </c>
    </row>
    <row r="53" spans="1:28" x14ac:dyDescent="0.3">
      <c r="M53" s="8" t="s">
        <v>2835</v>
      </c>
    </row>
    <row r="54" spans="1:28" x14ac:dyDescent="0.3">
      <c r="M54" s="8" t="s">
        <v>2838</v>
      </c>
    </row>
    <row r="55" spans="1:28" x14ac:dyDescent="0.3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 x14ac:dyDescent="0.3">
      <c r="A2" s="731" t="s">
        <v>5212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1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1" ht="27.75" customHeight="1" x14ac:dyDescent="0.3">
      <c r="A4" s="53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 x14ac:dyDescent="0.3">
      <c r="A5" s="532"/>
      <c r="B5" s="439" t="s">
        <v>5253</v>
      </c>
      <c r="C5" s="4" t="s">
        <v>19</v>
      </c>
      <c r="D5" s="4" t="s">
        <v>25</v>
      </c>
      <c r="E5" s="4" t="s">
        <v>308</v>
      </c>
      <c r="F5" s="207" t="s">
        <v>5257</v>
      </c>
      <c r="G5" s="17" t="s">
        <v>5258</v>
      </c>
      <c r="H5" s="441" t="s">
        <v>5259</v>
      </c>
      <c r="I5" s="4" t="s">
        <v>169</v>
      </c>
      <c r="J5" s="4" t="s">
        <v>5254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 x14ac:dyDescent="0.3">
      <c r="A6" s="532"/>
      <c r="B6" s="439" t="s">
        <v>5253</v>
      </c>
      <c r="C6" s="4" t="s">
        <v>19</v>
      </c>
      <c r="D6" s="4" t="s">
        <v>25</v>
      </c>
      <c r="E6" s="4" t="s">
        <v>308</v>
      </c>
      <c r="F6" s="155" t="s">
        <v>5260</v>
      </c>
      <c r="G6" s="17" t="s">
        <v>5261</v>
      </c>
      <c r="H6" s="441" t="s">
        <v>5262</v>
      </c>
      <c r="I6" s="4" t="s">
        <v>169</v>
      </c>
      <c r="J6" s="4" t="s">
        <v>5254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 x14ac:dyDescent="0.3">
      <c r="A7" s="532"/>
      <c r="B7" s="439" t="s">
        <v>5253</v>
      </c>
      <c r="C7" s="4" t="s">
        <v>19</v>
      </c>
      <c r="D7" s="4" t="s">
        <v>25</v>
      </c>
      <c r="E7" s="4" t="s">
        <v>308</v>
      </c>
      <c r="F7" s="207" t="s">
        <v>5264</v>
      </c>
      <c r="G7" s="17" t="s">
        <v>5265</v>
      </c>
      <c r="H7" s="441" t="s">
        <v>5266</v>
      </c>
      <c r="I7" s="4" t="s">
        <v>169</v>
      </c>
      <c r="J7" s="4" t="s">
        <v>5255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 x14ac:dyDescent="0.3">
      <c r="A8" s="532"/>
      <c r="B8" s="439" t="s">
        <v>5386</v>
      </c>
      <c r="C8" s="4" t="s">
        <v>19</v>
      </c>
      <c r="D8" s="4" t="s">
        <v>25</v>
      </c>
      <c r="E8" s="4" t="s">
        <v>308</v>
      </c>
      <c r="F8" s="207" t="s">
        <v>5387</v>
      </c>
      <c r="G8" s="17" t="s">
        <v>265</v>
      </c>
      <c r="H8" s="441" t="s">
        <v>5388</v>
      </c>
      <c r="I8" s="4" t="s">
        <v>5250</v>
      </c>
      <c r="J8" s="4" t="s">
        <v>5251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 x14ac:dyDescent="0.3">
      <c r="A9" s="532"/>
      <c r="B9" s="532" t="s">
        <v>1139</v>
      </c>
      <c r="C9" s="532"/>
      <c r="D9" s="532"/>
      <c r="E9" s="532"/>
      <c r="F9" s="532"/>
      <c r="G9" s="532"/>
      <c r="H9" s="532"/>
      <c r="I9" s="532"/>
      <c r="J9" s="532"/>
      <c r="K9" s="532"/>
      <c r="L9" s="103">
        <f>SUM(L4:L8)</f>
        <v>3000000</v>
      </c>
      <c r="M9" s="49"/>
    </row>
    <row r="10" spans="1:21" ht="25.5" customHeight="1" x14ac:dyDescent="0.3">
      <c r="A10" s="54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5263</v>
      </c>
    </row>
    <row r="11" spans="1:21" ht="25.5" customHeight="1" x14ac:dyDescent="0.3">
      <c r="A11" s="54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5252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5263</v>
      </c>
      <c r="N11" s="449"/>
    </row>
    <row r="12" spans="1:21" ht="25.5" customHeight="1" x14ac:dyDescent="0.3">
      <c r="A12" s="54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5243</v>
      </c>
      <c r="I12" s="34"/>
      <c r="J12" s="207" t="s">
        <v>5283</v>
      </c>
      <c r="K12" s="133" t="s">
        <v>15</v>
      </c>
      <c r="L12" s="100">
        <v>500000</v>
      </c>
      <c r="M12" s="6" t="s">
        <v>5263</v>
      </c>
    </row>
    <row r="13" spans="1:21" ht="25.5" customHeight="1" x14ac:dyDescent="0.3">
      <c r="A13" s="543"/>
      <c r="B13" s="439">
        <v>46074</v>
      </c>
      <c r="C13" s="4" t="s">
        <v>21</v>
      </c>
      <c r="D13" s="4" t="s">
        <v>14</v>
      </c>
      <c r="E13" s="34" t="s">
        <v>5279</v>
      </c>
      <c r="F13" s="207">
        <v>222003</v>
      </c>
      <c r="G13" s="17" t="s">
        <v>5280</v>
      </c>
      <c r="H13" s="207" t="s">
        <v>5281</v>
      </c>
      <c r="I13" s="34"/>
      <c r="J13" s="207" t="s">
        <v>5278</v>
      </c>
      <c r="K13" s="133" t="s">
        <v>15</v>
      </c>
      <c r="L13" s="100">
        <v>300000</v>
      </c>
      <c r="M13" s="6" t="s">
        <v>5263</v>
      </c>
      <c r="N13" s="449"/>
    </row>
    <row r="14" spans="1:21" ht="25.5" customHeight="1" x14ac:dyDescent="0.3">
      <c r="A14" s="544"/>
      <c r="B14" s="724" t="s">
        <v>1138</v>
      </c>
      <c r="C14" s="725"/>
      <c r="D14" s="725"/>
      <c r="E14" s="725"/>
      <c r="F14" s="725"/>
      <c r="G14" s="725"/>
      <c r="H14" s="725"/>
      <c r="I14" s="725"/>
      <c r="J14" s="725"/>
      <c r="K14" s="726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 x14ac:dyDescent="0.3">
      <c r="A15" s="727" t="s">
        <v>62</v>
      </c>
      <c r="B15" s="727"/>
      <c r="C15" s="727"/>
      <c r="D15" s="727"/>
      <c r="E15" s="727"/>
      <c r="F15" s="727"/>
      <c r="G15" s="727"/>
      <c r="H15" s="727"/>
      <c r="I15" s="727"/>
      <c r="J15" s="727"/>
      <c r="K15" s="727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 x14ac:dyDescent="0.3">
      <c r="P16" s="18"/>
      <c r="Q16" s="18"/>
      <c r="R16" s="18"/>
      <c r="S16" s="18"/>
      <c r="T16" s="18"/>
      <c r="U16" s="18"/>
    </row>
    <row r="17" spans="1:27" ht="26.25" customHeight="1" x14ac:dyDescent="0.3">
      <c r="O17" s="18"/>
      <c r="P17" s="18"/>
      <c r="Q17" s="18"/>
      <c r="R17" s="18"/>
      <c r="S17" s="18"/>
      <c r="T17" s="18"/>
      <c r="U17" s="18"/>
    </row>
    <row r="18" spans="1:27" ht="26.25" customHeight="1" x14ac:dyDescent="0.3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 x14ac:dyDescent="0.3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 x14ac:dyDescent="0.3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 x14ac:dyDescent="0.3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 x14ac:dyDescent="0.3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 x14ac:dyDescent="0.3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 x14ac:dyDescent="0.3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 x14ac:dyDescent="0.3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J26" s="159"/>
      <c r="O26" s="18"/>
      <c r="V26" s="18"/>
      <c r="W26" s="18"/>
      <c r="X26" s="18"/>
      <c r="Y26" s="18"/>
      <c r="Z26" s="18"/>
      <c r="AA26" s="18"/>
    </row>
    <row r="27" spans="1:27" x14ac:dyDescent="0.3">
      <c r="V27" s="18"/>
      <c r="W27" s="18"/>
      <c r="X27" s="18"/>
      <c r="Y27" s="18"/>
      <c r="Z27" s="18"/>
      <c r="AA27" s="18"/>
    </row>
    <row r="28" spans="1:27" x14ac:dyDescent="0.3">
      <c r="N28" s="18"/>
    </row>
    <row r="29" spans="1:27" ht="28.5" customHeight="1" x14ac:dyDescent="0.3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 x14ac:dyDescent="0.3">
      <c r="A30" s="728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 x14ac:dyDescent="0.3">
      <c r="A31" s="729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 x14ac:dyDescent="0.3">
      <c r="A32" s="729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 x14ac:dyDescent="0.3">
      <c r="A33" s="729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 x14ac:dyDescent="0.3">
      <c r="A34" s="729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 x14ac:dyDescent="0.3">
      <c r="A35" s="729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 x14ac:dyDescent="0.3">
      <c r="A36" s="729"/>
      <c r="B36" s="439">
        <v>46072</v>
      </c>
      <c r="C36" s="4" t="s">
        <v>21</v>
      </c>
      <c r="D36" s="4" t="s">
        <v>17</v>
      </c>
      <c r="E36" s="310" t="s">
        <v>5225</v>
      </c>
      <c r="F36" s="34">
        <v>3307</v>
      </c>
      <c r="G36" s="17" t="s">
        <v>813</v>
      </c>
      <c r="H36" s="207" t="s">
        <v>5232</v>
      </c>
      <c r="I36" s="34" t="s">
        <v>5226</v>
      </c>
      <c r="J36" s="34" t="s">
        <v>5227</v>
      </c>
      <c r="K36" s="133"/>
      <c r="L36" s="17">
        <v>2</v>
      </c>
      <c r="M36" s="484" t="s">
        <v>5267</v>
      </c>
    </row>
    <row r="37" spans="1:28" ht="33" customHeight="1" x14ac:dyDescent="0.3">
      <c r="A37" s="729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5268</v>
      </c>
    </row>
    <row r="38" spans="1:28" ht="33" customHeight="1" x14ac:dyDescent="0.3">
      <c r="A38" s="729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5237</v>
      </c>
      <c r="I38" s="34" t="s">
        <v>90</v>
      </c>
      <c r="J38" s="207" t="s">
        <v>5240</v>
      </c>
      <c r="K38" s="133" t="s">
        <v>15</v>
      </c>
      <c r="L38" s="17">
        <v>4</v>
      </c>
      <c r="M38" s="321" t="s">
        <v>5269</v>
      </c>
    </row>
    <row r="39" spans="1:28" ht="33" customHeight="1" x14ac:dyDescent="0.3">
      <c r="A39" s="729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 x14ac:dyDescent="0.3">
      <c r="A40" s="729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5243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 x14ac:dyDescent="0.3">
      <c r="A41" s="730"/>
      <c r="B41" s="440"/>
      <c r="C41" s="4" t="s">
        <v>312</v>
      </c>
      <c r="D41" s="4" t="s">
        <v>321</v>
      </c>
      <c r="E41" s="34" t="s">
        <v>5271</v>
      </c>
      <c r="F41" s="34">
        <v>222003</v>
      </c>
      <c r="G41" s="17" t="s">
        <v>3152</v>
      </c>
      <c r="H41" s="207" t="s">
        <v>5277</v>
      </c>
      <c r="I41" s="207"/>
      <c r="J41" s="207" t="s">
        <v>5274</v>
      </c>
      <c r="K41" s="133" t="s">
        <v>15</v>
      </c>
      <c r="L41" s="17">
        <v>1</v>
      </c>
      <c r="M41" s="8"/>
    </row>
    <row r="42" spans="1:28" s="18" customFormat="1" ht="28.5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 x14ac:dyDescent="0.3">
      <c r="M49" s="8" t="s">
        <v>2838</v>
      </c>
    </row>
    <row r="50" spans="13:13" x14ac:dyDescent="0.3">
      <c r="M50" s="8" t="s">
        <v>2835</v>
      </c>
    </row>
    <row r="51" spans="13:13" x14ac:dyDescent="0.3">
      <c r="M51" s="8" t="s">
        <v>2838</v>
      </c>
    </row>
    <row r="52" spans="13:13" x14ac:dyDescent="0.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5141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 x14ac:dyDescent="0.3">
      <c r="A5" s="532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 x14ac:dyDescent="0.3">
      <c r="A6" s="532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 x14ac:dyDescent="0.3">
      <c r="A7" s="532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 x14ac:dyDescent="0.3">
      <c r="A8" s="532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 x14ac:dyDescent="0.3">
      <c r="A9" s="532"/>
      <c r="B9" s="532" t="s">
        <v>1139</v>
      </c>
      <c r="C9" s="532"/>
      <c r="D9" s="532"/>
      <c r="E9" s="532"/>
      <c r="F9" s="532"/>
      <c r="G9" s="532"/>
      <c r="H9" s="532"/>
      <c r="I9" s="532"/>
      <c r="J9" s="532"/>
      <c r="K9" s="532"/>
      <c r="L9" s="103">
        <f>SUM(L4:L8)</f>
        <v>3750000</v>
      </c>
      <c r="M9" s="49"/>
    </row>
    <row r="10" spans="1:20" ht="25.5" customHeight="1" x14ac:dyDescent="0.3">
      <c r="A10" s="542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 x14ac:dyDescent="0.3">
      <c r="A11" s="54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 x14ac:dyDescent="0.3">
      <c r="A12" s="54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 x14ac:dyDescent="0.3">
      <c r="A13" s="54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 x14ac:dyDescent="0.3">
      <c r="A14" s="54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 x14ac:dyDescent="0.3">
      <c r="A15" s="543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 x14ac:dyDescent="0.3">
      <c r="A16" s="54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 x14ac:dyDescent="0.3">
      <c r="A17" s="544"/>
      <c r="B17" s="724" t="s">
        <v>1138</v>
      </c>
      <c r="C17" s="725"/>
      <c r="D17" s="725"/>
      <c r="E17" s="725"/>
      <c r="F17" s="725"/>
      <c r="G17" s="725"/>
      <c r="H17" s="725"/>
      <c r="I17" s="725"/>
      <c r="J17" s="725"/>
      <c r="K17" s="726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 x14ac:dyDescent="0.3">
      <c r="A18" s="727" t="s">
        <v>62</v>
      </c>
      <c r="B18" s="727"/>
      <c r="C18" s="727"/>
      <c r="D18" s="727"/>
      <c r="E18" s="727"/>
      <c r="F18" s="727"/>
      <c r="G18" s="727"/>
      <c r="H18" s="727"/>
      <c r="I18" s="727"/>
      <c r="J18" s="727"/>
      <c r="K18" s="727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 x14ac:dyDescent="0.3">
      <c r="P19" s="18"/>
      <c r="Q19" s="18"/>
      <c r="R19" s="18"/>
      <c r="S19" s="18"/>
      <c r="T19" s="18"/>
      <c r="U19" s="18"/>
    </row>
    <row r="20" spans="1:27" ht="26.25" customHeight="1" x14ac:dyDescent="0.3">
      <c r="O20" s="18"/>
      <c r="P20" s="18"/>
      <c r="Q20" s="18"/>
      <c r="R20" s="18"/>
      <c r="S20" s="18"/>
      <c r="T20" s="18"/>
      <c r="U20" s="18"/>
    </row>
    <row r="21" spans="1:27" ht="26.25" customHeight="1" x14ac:dyDescent="0.3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 x14ac:dyDescent="0.3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 x14ac:dyDescent="0.3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J29" s="159"/>
      <c r="O29" s="18"/>
      <c r="V29" s="18"/>
      <c r="W29" s="18"/>
      <c r="X29" s="18"/>
      <c r="Y29" s="18"/>
      <c r="Z29" s="18"/>
      <c r="AA29" s="18"/>
    </row>
    <row r="30" spans="1:27" x14ac:dyDescent="0.3">
      <c r="V30" s="18"/>
      <c r="W30" s="18"/>
      <c r="X30" s="18"/>
      <c r="Y30" s="18"/>
      <c r="Z30" s="18"/>
      <c r="AA30" s="18"/>
    </row>
    <row r="31" spans="1:27" x14ac:dyDescent="0.3">
      <c r="N31" s="18"/>
    </row>
    <row r="32" spans="1:27" ht="28.5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 x14ac:dyDescent="0.3">
      <c r="A33" s="728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 x14ac:dyDescent="0.3">
      <c r="A34" s="72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 x14ac:dyDescent="0.3">
      <c r="A35" s="72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 x14ac:dyDescent="0.3">
      <c r="A36" s="72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 x14ac:dyDescent="0.3">
      <c r="A37" s="72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 x14ac:dyDescent="0.3">
      <c r="A38" s="72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 x14ac:dyDescent="0.3">
      <c r="A39" s="72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 x14ac:dyDescent="0.3">
      <c r="A40" s="72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 x14ac:dyDescent="0.3">
      <c r="A41" s="72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 x14ac:dyDescent="0.3">
      <c r="A42" s="72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 x14ac:dyDescent="0.3">
      <c r="A43" s="729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 x14ac:dyDescent="0.3">
      <c r="A44" s="72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 x14ac:dyDescent="0.3">
      <c r="A45" s="73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x14ac:dyDescent="0.3">
      <c r="M53" s="8" t="s">
        <v>2838</v>
      </c>
    </row>
    <row r="54" spans="1:28" x14ac:dyDescent="0.3">
      <c r="M54" s="8" t="s">
        <v>2835</v>
      </c>
    </row>
    <row r="55" spans="1:28" x14ac:dyDescent="0.3">
      <c r="M55" s="8" t="s">
        <v>2838</v>
      </c>
    </row>
    <row r="56" spans="1:28" x14ac:dyDescent="0.3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4936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 x14ac:dyDescent="0.3">
      <c r="A5" s="532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532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 x14ac:dyDescent="0.3">
      <c r="A7" s="532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 x14ac:dyDescent="0.3">
      <c r="A8" s="532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 x14ac:dyDescent="0.3">
      <c r="A9" s="532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 x14ac:dyDescent="0.3">
      <c r="A10" s="532"/>
      <c r="B10" s="532" t="s">
        <v>1139</v>
      </c>
      <c r="C10" s="532"/>
      <c r="D10" s="532"/>
      <c r="E10" s="532"/>
      <c r="F10" s="532"/>
      <c r="G10" s="532"/>
      <c r="H10" s="532"/>
      <c r="I10" s="532"/>
      <c r="J10" s="532"/>
      <c r="K10" s="532"/>
      <c r="L10" s="103">
        <f>SUM(L4:L9)</f>
        <v>4750000</v>
      </c>
      <c r="M10" s="49"/>
    </row>
    <row r="11" spans="1:20" ht="25.5" customHeight="1" x14ac:dyDescent="0.3">
      <c r="A11" s="54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 x14ac:dyDescent="0.3">
      <c r="A12" s="54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 x14ac:dyDescent="0.3">
      <c r="A13" s="54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 x14ac:dyDescent="0.3">
      <c r="A14" s="54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 x14ac:dyDescent="0.3">
      <c r="A15" s="54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 x14ac:dyDescent="0.3">
      <c r="A16" s="54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 x14ac:dyDescent="0.3">
      <c r="A17" s="54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 x14ac:dyDescent="0.3">
      <c r="A18" s="480"/>
      <c r="B18" s="724" t="s">
        <v>1138</v>
      </c>
      <c r="C18" s="725"/>
      <c r="D18" s="725"/>
      <c r="E18" s="725"/>
      <c r="F18" s="725"/>
      <c r="G18" s="725"/>
      <c r="H18" s="725"/>
      <c r="I18" s="725"/>
      <c r="J18" s="725"/>
      <c r="K18" s="726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27" t="s">
        <v>62</v>
      </c>
      <c r="B19" s="727"/>
      <c r="C19" s="727"/>
      <c r="D19" s="727"/>
      <c r="E19" s="727"/>
      <c r="F19" s="727"/>
      <c r="G19" s="727"/>
      <c r="H19" s="727"/>
      <c r="I19" s="727"/>
      <c r="J19" s="727"/>
      <c r="K19" s="727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0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 x14ac:dyDescent="0.3">
      <c r="A34" s="728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 x14ac:dyDescent="0.3">
      <c r="A35" s="729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 x14ac:dyDescent="0.3">
      <c r="A36" s="729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 x14ac:dyDescent="0.3">
      <c r="A37" s="729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 x14ac:dyDescent="0.3">
      <c r="A38" s="72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 x14ac:dyDescent="0.3">
      <c r="A39" s="729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 x14ac:dyDescent="0.3">
      <c r="A40" s="729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 x14ac:dyDescent="0.3">
      <c r="A41" s="729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 x14ac:dyDescent="0.3">
      <c r="A42" s="72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 x14ac:dyDescent="0.3">
      <c r="A43" s="72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 x14ac:dyDescent="0.3">
      <c r="A44" s="72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 x14ac:dyDescent="0.3">
      <c r="A45" s="72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 x14ac:dyDescent="0.3">
      <c r="A46" s="72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 x14ac:dyDescent="0.3">
      <c r="A47" s="73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4935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 x14ac:dyDescent="0.3">
      <c r="A5" s="532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53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 x14ac:dyDescent="0.3">
      <c r="A7" s="532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 x14ac:dyDescent="0.3">
      <c r="A8" s="532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 x14ac:dyDescent="0.3">
      <c r="A9" s="532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 x14ac:dyDescent="0.3">
      <c r="A10" s="532"/>
      <c r="B10" s="532" t="s">
        <v>1139</v>
      </c>
      <c r="C10" s="532"/>
      <c r="D10" s="532"/>
      <c r="E10" s="532"/>
      <c r="F10" s="532"/>
      <c r="G10" s="532"/>
      <c r="H10" s="532"/>
      <c r="I10" s="532"/>
      <c r="J10" s="532"/>
      <c r="K10" s="53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 x14ac:dyDescent="0.3">
      <c r="A11" s="54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 x14ac:dyDescent="0.3">
      <c r="A12" s="54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 x14ac:dyDescent="0.3">
      <c r="A13" s="54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 x14ac:dyDescent="0.3">
      <c r="A14" s="54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 x14ac:dyDescent="0.3">
      <c r="A15" s="54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 x14ac:dyDescent="0.3">
      <c r="A16" s="54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 x14ac:dyDescent="0.3">
      <c r="A17" s="54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 x14ac:dyDescent="0.3">
      <c r="A18" s="54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 x14ac:dyDescent="0.3">
      <c r="A19" s="480"/>
      <c r="B19" s="724" t="s">
        <v>1138</v>
      </c>
      <c r="C19" s="725"/>
      <c r="D19" s="725"/>
      <c r="E19" s="725"/>
      <c r="F19" s="725"/>
      <c r="G19" s="725"/>
      <c r="H19" s="725"/>
      <c r="I19" s="725"/>
      <c r="J19" s="725"/>
      <c r="K19" s="726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 x14ac:dyDescent="0.3">
      <c r="A20" s="727" t="s">
        <v>62</v>
      </c>
      <c r="B20" s="727"/>
      <c r="C20" s="727"/>
      <c r="D20" s="727"/>
      <c r="E20" s="727"/>
      <c r="F20" s="727"/>
      <c r="G20" s="727"/>
      <c r="H20" s="727"/>
      <c r="I20" s="727"/>
      <c r="J20" s="727"/>
      <c r="K20" s="727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 x14ac:dyDescent="0.3">
      <c r="P21" s="18"/>
      <c r="Q21" s="18"/>
      <c r="R21" s="18"/>
      <c r="S21" s="18"/>
      <c r="T21" s="18"/>
      <c r="U21" s="18"/>
    </row>
    <row r="22" spans="1:27" ht="26.25" customHeight="1" x14ac:dyDescent="0.3">
      <c r="O22" s="18"/>
      <c r="P22" s="18"/>
      <c r="Q22" s="18"/>
      <c r="R22" s="18"/>
      <c r="S22" s="18"/>
      <c r="T22" s="18"/>
      <c r="U22" s="18"/>
    </row>
    <row r="23" spans="1:27" ht="26.25" customHeight="1" x14ac:dyDescent="0.3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 x14ac:dyDescent="0.3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 x14ac:dyDescent="0.3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 x14ac:dyDescent="0.3">
      <c r="J31" s="159"/>
      <c r="O31" s="18"/>
      <c r="V31" s="18"/>
      <c r="W31" s="18"/>
      <c r="X31" s="18"/>
      <c r="Y31" s="18"/>
      <c r="Z31" s="18"/>
      <c r="AA31" s="18"/>
    </row>
    <row r="32" spans="1:27" x14ac:dyDescent="0.3">
      <c r="V32" s="18"/>
      <c r="W32" s="18"/>
      <c r="X32" s="18"/>
      <c r="Y32" s="18"/>
      <c r="Z32" s="18"/>
      <c r="AA32" s="18"/>
    </row>
    <row r="33" spans="1:20" x14ac:dyDescent="0.3">
      <c r="N33" s="18"/>
    </row>
    <row r="34" spans="1:20" ht="28.5" customHeight="1" x14ac:dyDescent="0.3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 x14ac:dyDescent="0.3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 x14ac:dyDescent="0.3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 x14ac:dyDescent="0.3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 x14ac:dyDescent="0.3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 x14ac:dyDescent="0.3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 x14ac:dyDescent="0.3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 x14ac:dyDescent="0.3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 x14ac:dyDescent="0.3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 x14ac:dyDescent="0.3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 x14ac:dyDescent="0.3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 x14ac:dyDescent="0.3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 x14ac:dyDescent="0.3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 x14ac:dyDescent="0.3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4689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 x14ac:dyDescent="0.3">
      <c r="A5" s="53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 x14ac:dyDescent="0.3">
      <c r="A6" s="532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 x14ac:dyDescent="0.3">
      <c r="A7" s="532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 x14ac:dyDescent="0.3">
      <c r="A8" s="532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 x14ac:dyDescent="0.3">
      <c r="A9" s="532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532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 x14ac:dyDescent="0.3">
      <c r="A11" s="532"/>
      <c r="B11" s="532" t="s">
        <v>1139</v>
      </c>
      <c r="C11" s="532"/>
      <c r="D11" s="532"/>
      <c r="E11" s="532"/>
      <c r="F11" s="532"/>
      <c r="G11" s="532"/>
      <c r="H11" s="532"/>
      <c r="I11" s="532"/>
      <c r="J11" s="532"/>
      <c r="K11" s="53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 x14ac:dyDescent="0.3">
      <c r="A12" s="54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 x14ac:dyDescent="0.3">
      <c r="A13" s="54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 x14ac:dyDescent="0.3">
      <c r="A14" s="54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 x14ac:dyDescent="0.3">
      <c r="A15" s="54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 x14ac:dyDescent="0.3">
      <c r="A16" s="54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 x14ac:dyDescent="0.3">
      <c r="A17" s="54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 x14ac:dyDescent="0.3">
      <c r="A18" s="54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 x14ac:dyDescent="0.3">
      <c r="A19" s="54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 x14ac:dyDescent="0.3">
      <c r="A20" s="54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 x14ac:dyDescent="0.3">
      <c r="A21" s="54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 x14ac:dyDescent="0.3">
      <c r="A22" s="480"/>
      <c r="B22" s="724" t="s">
        <v>1138</v>
      </c>
      <c r="C22" s="725"/>
      <c r="D22" s="725"/>
      <c r="E22" s="725"/>
      <c r="F22" s="725"/>
      <c r="G22" s="725"/>
      <c r="H22" s="725"/>
      <c r="I22" s="725"/>
      <c r="J22" s="725"/>
      <c r="K22" s="726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 x14ac:dyDescent="0.3">
      <c r="A23" s="727" t="s">
        <v>62</v>
      </c>
      <c r="B23" s="727"/>
      <c r="C23" s="727"/>
      <c r="D23" s="727"/>
      <c r="E23" s="727"/>
      <c r="F23" s="727"/>
      <c r="G23" s="727"/>
      <c r="H23" s="727"/>
      <c r="I23" s="727"/>
      <c r="J23" s="727"/>
      <c r="K23" s="727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 x14ac:dyDescent="0.3">
      <c r="P24" s="18"/>
      <c r="Q24" s="18"/>
      <c r="R24" s="18"/>
      <c r="S24" s="18"/>
      <c r="T24" s="18"/>
      <c r="U24" s="18"/>
    </row>
    <row r="25" spans="1:27" ht="26.25" customHeight="1" x14ac:dyDescent="0.3">
      <c r="O25" s="18"/>
      <c r="P25" s="18"/>
      <c r="Q25" s="18"/>
      <c r="R25" s="18"/>
      <c r="S25" s="18"/>
      <c r="T25" s="18"/>
      <c r="U25" s="18"/>
    </row>
    <row r="26" spans="1:27" ht="26.25" customHeight="1" x14ac:dyDescent="0.3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 x14ac:dyDescent="0.3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 x14ac:dyDescent="0.3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 x14ac:dyDescent="0.3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 x14ac:dyDescent="0.3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 x14ac:dyDescent="0.3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 x14ac:dyDescent="0.3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 x14ac:dyDescent="0.3">
      <c r="J34" s="159"/>
      <c r="O34" s="18"/>
      <c r="V34" s="18"/>
      <c r="W34" s="18"/>
      <c r="X34" s="18"/>
      <c r="Y34" s="18"/>
      <c r="Z34" s="18"/>
      <c r="AA34" s="18"/>
    </row>
    <row r="35" spans="1:27" x14ac:dyDescent="0.3">
      <c r="V35" s="18"/>
      <c r="W35" s="18"/>
      <c r="X35" s="18"/>
      <c r="Y35" s="18"/>
      <c r="Z35" s="18"/>
      <c r="AA35" s="18"/>
    </row>
    <row r="36" spans="1:27" x14ac:dyDescent="0.3">
      <c r="N36" s="18"/>
    </row>
    <row r="37" spans="1:27" ht="28.5" customHeight="1" x14ac:dyDescent="0.3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 x14ac:dyDescent="0.3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 x14ac:dyDescent="0.3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 x14ac:dyDescent="0.3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 x14ac:dyDescent="0.3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 x14ac:dyDescent="0.3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 x14ac:dyDescent="0.3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 x14ac:dyDescent="0.3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 x14ac:dyDescent="0.3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 x14ac:dyDescent="0.3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 x14ac:dyDescent="0.3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 x14ac:dyDescent="0.3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 x14ac:dyDescent="0.3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 x14ac:dyDescent="0.3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 x14ac:dyDescent="0.3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 x14ac:dyDescent="0.3">
      <c r="M59" s="8" t="s">
        <v>2838</v>
      </c>
    </row>
    <row r="60" spans="1:28" x14ac:dyDescent="0.3">
      <c r="M60" s="8" t="s">
        <v>2835</v>
      </c>
    </row>
    <row r="61" spans="1:28" x14ac:dyDescent="0.3">
      <c r="M61" s="8" t="s">
        <v>2838</v>
      </c>
    </row>
    <row r="62" spans="1:28" x14ac:dyDescent="0.3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3349</v>
      </c>
      <c r="B2" s="731" t="s">
        <v>1</v>
      </c>
      <c r="C2" s="731" t="s">
        <v>2</v>
      </c>
      <c r="D2" s="731" t="s">
        <v>3</v>
      </c>
      <c r="E2" s="455" t="s">
        <v>2636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1733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 x14ac:dyDescent="0.3">
      <c r="A5" s="53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 x14ac:dyDescent="0.3">
      <c r="A6" s="532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 x14ac:dyDescent="0.3">
      <c r="A7" s="532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 x14ac:dyDescent="0.3">
      <c r="A8" s="532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 x14ac:dyDescent="0.3">
      <c r="A9" s="532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532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 x14ac:dyDescent="0.3">
      <c r="A11" s="532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 x14ac:dyDescent="0.3">
      <c r="A12" s="532"/>
      <c r="B12" s="532" t="s">
        <v>1139</v>
      </c>
      <c r="C12" s="532"/>
      <c r="D12" s="532"/>
      <c r="E12" s="532"/>
      <c r="F12" s="532"/>
      <c r="G12" s="532"/>
      <c r="H12" s="532"/>
      <c r="I12" s="532"/>
      <c r="J12" s="532"/>
      <c r="K12" s="53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 x14ac:dyDescent="0.3">
      <c r="A13" s="54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 x14ac:dyDescent="0.3">
      <c r="A14" s="54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 x14ac:dyDescent="0.3">
      <c r="A15" s="54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 x14ac:dyDescent="0.3">
      <c r="A16" s="54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 x14ac:dyDescent="0.3">
      <c r="A17" s="54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 x14ac:dyDescent="0.3">
      <c r="A18" s="54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 x14ac:dyDescent="0.3">
      <c r="A19" s="54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 x14ac:dyDescent="0.3">
      <c r="A20" s="54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 x14ac:dyDescent="0.3">
      <c r="A21" s="54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 x14ac:dyDescent="0.3">
      <c r="A22" s="54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 x14ac:dyDescent="0.3">
      <c r="A23" s="54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 x14ac:dyDescent="0.3">
      <c r="A24" s="54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 x14ac:dyDescent="0.3">
      <c r="A25" s="54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 x14ac:dyDescent="0.3">
      <c r="A26" s="544"/>
      <c r="B26" s="724" t="s">
        <v>1138</v>
      </c>
      <c r="C26" s="725"/>
      <c r="D26" s="725"/>
      <c r="E26" s="725"/>
      <c r="F26" s="725"/>
      <c r="G26" s="725"/>
      <c r="H26" s="725"/>
      <c r="I26" s="725"/>
      <c r="J26" s="725"/>
      <c r="K26" s="726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 x14ac:dyDescent="0.3">
      <c r="A27" s="727" t="s">
        <v>62</v>
      </c>
      <c r="B27" s="727"/>
      <c r="C27" s="727"/>
      <c r="D27" s="727"/>
      <c r="E27" s="727"/>
      <c r="F27" s="727"/>
      <c r="G27" s="727"/>
      <c r="H27" s="727"/>
      <c r="I27" s="727"/>
      <c r="J27" s="727"/>
      <c r="K27" s="727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 x14ac:dyDescent="0.3">
      <c r="P28" s="18"/>
      <c r="Q28" s="18"/>
      <c r="R28" s="18"/>
      <c r="S28" s="18"/>
      <c r="T28" s="18"/>
      <c r="U28" s="18"/>
    </row>
    <row r="29" spans="1:26" ht="26.25" customHeight="1" x14ac:dyDescent="0.3">
      <c r="O29" s="18"/>
      <c r="P29" s="18"/>
      <c r="Q29" s="18"/>
      <c r="R29" s="18"/>
      <c r="S29" s="18"/>
      <c r="T29" s="18"/>
      <c r="U29" s="18"/>
    </row>
    <row r="30" spans="1:26" ht="26.25" customHeight="1" x14ac:dyDescent="0.3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 x14ac:dyDescent="0.3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 x14ac:dyDescent="0.3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 x14ac:dyDescent="0.3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 x14ac:dyDescent="0.3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 x14ac:dyDescent="0.3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 x14ac:dyDescent="0.3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 x14ac:dyDescent="0.3">
      <c r="J38" s="159"/>
      <c r="O38" s="18"/>
      <c r="V38" s="18"/>
      <c r="W38" s="18"/>
      <c r="X38" s="18"/>
      <c r="Y38" s="18"/>
      <c r="Z38" s="18"/>
      <c r="AA38" s="18"/>
    </row>
    <row r="39" spans="1:27" x14ac:dyDescent="0.3">
      <c r="V39" s="18"/>
      <c r="W39" s="18"/>
      <c r="X39" s="18"/>
      <c r="Y39" s="18"/>
      <c r="Z39" s="18"/>
      <c r="AA39" s="18"/>
    </row>
    <row r="40" spans="1:27" x14ac:dyDescent="0.3">
      <c r="N40" s="18"/>
    </row>
    <row r="41" spans="1:27" ht="28.5" customHeight="1" x14ac:dyDescent="0.3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 x14ac:dyDescent="0.3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 x14ac:dyDescent="0.3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 x14ac:dyDescent="0.3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 x14ac:dyDescent="0.3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 x14ac:dyDescent="0.3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 x14ac:dyDescent="0.3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 x14ac:dyDescent="0.3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 x14ac:dyDescent="0.3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 x14ac:dyDescent="0.3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 x14ac:dyDescent="0.3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 x14ac:dyDescent="0.3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 x14ac:dyDescent="0.3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 x14ac:dyDescent="0.3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 x14ac:dyDescent="0.3">
      <c r="M62" s="8" t="s">
        <v>2838</v>
      </c>
    </row>
    <row r="63" spans="1:28" x14ac:dyDescent="0.3">
      <c r="M63" s="8" t="s">
        <v>2835</v>
      </c>
    </row>
    <row r="64" spans="1:28" x14ac:dyDescent="0.3">
      <c r="M64" s="8" t="s">
        <v>2838</v>
      </c>
    </row>
    <row r="65" spans="13:13" x14ac:dyDescent="0.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3604</v>
      </c>
      <c r="B2" s="731" t="s">
        <v>1</v>
      </c>
      <c r="C2" s="731" t="s">
        <v>2</v>
      </c>
      <c r="D2" s="731" t="s">
        <v>3</v>
      </c>
      <c r="E2" s="455" t="s">
        <v>3486</v>
      </c>
      <c r="F2" s="731" t="s">
        <v>5</v>
      </c>
      <c r="G2" s="731" t="s">
        <v>6</v>
      </c>
      <c r="H2" s="731" t="s">
        <v>2638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3488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 x14ac:dyDescent="0.3">
      <c r="A5" s="53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 x14ac:dyDescent="0.3">
      <c r="A6" s="53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 x14ac:dyDescent="0.3">
      <c r="A7" s="53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 x14ac:dyDescent="0.3">
      <c r="A8" s="532"/>
      <c r="B8" s="532" t="s">
        <v>1139</v>
      </c>
      <c r="C8" s="532"/>
      <c r="D8" s="532"/>
      <c r="E8" s="532"/>
      <c r="F8" s="532"/>
      <c r="G8" s="532"/>
      <c r="H8" s="532"/>
      <c r="I8" s="532"/>
      <c r="J8" s="532"/>
      <c r="K8" s="53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 x14ac:dyDescent="0.3">
      <c r="A9" s="53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 x14ac:dyDescent="0.3">
      <c r="A10" s="53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 x14ac:dyDescent="0.3">
      <c r="A11" s="53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 x14ac:dyDescent="0.3">
      <c r="A12" s="53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 x14ac:dyDescent="0.3">
      <c r="A13" s="53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 x14ac:dyDescent="0.3">
      <c r="A14" s="53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 x14ac:dyDescent="0.3">
      <c r="A15" s="53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 x14ac:dyDescent="0.3">
      <c r="A16" s="53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 x14ac:dyDescent="0.3">
      <c r="A17" s="53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 x14ac:dyDescent="0.3">
      <c r="A18" s="532"/>
      <c r="B18" s="724" t="s">
        <v>3550</v>
      </c>
      <c r="C18" s="725"/>
      <c r="D18" s="725"/>
      <c r="E18" s="725"/>
      <c r="F18" s="725"/>
      <c r="G18" s="725"/>
      <c r="H18" s="725"/>
      <c r="I18" s="725"/>
      <c r="J18" s="725"/>
      <c r="K18" s="726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27" t="s">
        <v>62</v>
      </c>
      <c r="B19" s="727"/>
      <c r="C19" s="727"/>
      <c r="D19" s="727"/>
      <c r="E19" s="727"/>
      <c r="F19" s="727"/>
      <c r="G19" s="727"/>
      <c r="H19" s="727"/>
      <c r="I19" s="727"/>
      <c r="J19" s="727"/>
      <c r="K19" s="727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1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 x14ac:dyDescent="0.3">
      <c r="A34" s="72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 x14ac:dyDescent="0.3">
      <c r="A35" s="72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 x14ac:dyDescent="0.3">
      <c r="A36" s="72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 x14ac:dyDescent="0.3">
      <c r="A37" s="72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 x14ac:dyDescent="0.3">
      <c r="A38" s="72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 x14ac:dyDescent="0.3">
      <c r="A39" s="72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 x14ac:dyDescent="0.3">
      <c r="A40" s="72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 x14ac:dyDescent="0.3">
      <c r="A41" s="72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 x14ac:dyDescent="0.3">
      <c r="A42" s="72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 x14ac:dyDescent="0.3">
      <c r="A43" s="72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 x14ac:dyDescent="0.3">
      <c r="A44" s="72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 x14ac:dyDescent="0.3">
      <c r="A45" s="72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 x14ac:dyDescent="0.3">
      <c r="A46" s="73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x14ac:dyDescent="0.3">
      <c r="M54" s="8" t="s">
        <v>3596</v>
      </c>
    </row>
    <row r="55" spans="1:28" x14ac:dyDescent="0.3">
      <c r="M55" s="8" t="s">
        <v>2835</v>
      </c>
    </row>
    <row r="56" spans="1:28" x14ac:dyDescent="0.3">
      <c r="M56" s="8" t="s">
        <v>3596</v>
      </c>
    </row>
    <row r="57" spans="1:28" x14ac:dyDescent="0.3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31" t="s">
        <v>3485</v>
      </c>
      <c r="B2" s="731" t="s">
        <v>1</v>
      </c>
      <c r="C2" s="731" t="s">
        <v>2</v>
      </c>
      <c r="D2" s="731" t="s">
        <v>3</v>
      </c>
      <c r="E2" s="455" t="s">
        <v>3486</v>
      </c>
      <c r="F2" s="731" t="s">
        <v>5</v>
      </c>
      <c r="G2" s="731" t="s">
        <v>6</v>
      </c>
      <c r="H2" s="731" t="s">
        <v>3487</v>
      </c>
      <c r="I2" s="731" t="s">
        <v>55</v>
      </c>
      <c r="J2" s="731" t="s">
        <v>9</v>
      </c>
      <c r="K2" s="732" t="s">
        <v>56</v>
      </c>
      <c r="L2" s="731" t="s">
        <v>57</v>
      </c>
      <c r="M2" s="731" t="s">
        <v>58</v>
      </c>
    </row>
    <row r="3" spans="1:20" x14ac:dyDescent="0.3">
      <c r="A3" s="731"/>
      <c r="B3" s="731"/>
      <c r="C3" s="731"/>
      <c r="D3" s="731"/>
      <c r="E3" s="456" t="s">
        <v>3488</v>
      </c>
      <c r="F3" s="731"/>
      <c r="G3" s="731"/>
      <c r="H3" s="731"/>
      <c r="I3" s="731"/>
      <c r="J3" s="731"/>
      <c r="K3" s="732"/>
      <c r="L3" s="731"/>
      <c r="M3" s="731"/>
    </row>
    <row r="4" spans="1:20" ht="27.75" customHeight="1" x14ac:dyDescent="0.3">
      <c r="A4" s="53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 x14ac:dyDescent="0.3">
      <c r="A5" s="53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 x14ac:dyDescent="0.3">
      <c r="A6" s="53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 x14ac:dyDescent="0.3">
      <c r="A7" s="53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 x14ac:dyDescent="0.3">
      <c r="A8" s="53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 x14ac:dyDescent="0.3">
      <c r="A9" s="53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 x14ac:dyDescent="0.3">
      <c r="A10" s="53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 x14ac:dyDescent="0.3">
      <c r="A11" s="532"/>
      <c r="B11" s="532" t="s">
        <v>3505</v>
      </c>
      <c r="C11" s="532"/>
      <c r="D11" s="532"/>
      <c r="E11" s="532"/>
      <c r="F11" s="532"/>
      <c r="G11" s="532"/>
      <c r="H11" s="532"/>
      <c r="I11" s="532"/>
      <c r="J11" s="532"/>
      <c r="K11" s="53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 x14ac:dyDescent="0.3">
      <c r="A12" s="53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 x14ac:dyDescent="0.3">
      <c r="A13" s="53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 x14ac:dyDescent="0.3">
      <c r="A14" s="53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 x14ac:dyDescent="0.3">
      <c r="A15" s="53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 x14ac:dyDescent="0.3">
      <c r="A16" s="53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 x14ac:dyDescent="0.3">
      <c r="A17" s="53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 x14ac:dyDescent="0.3">
      <c r="A18" s="53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 x14ac:dyDescent="0.3">
      <c r="A19" s="53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 x14ac:dyDescent="0.3">
      <c r="A20" s="53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 x14ac:dyDescent="0.3">
      <c r="A21" s="53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 x14ac:dyDescent="0.3">
      <c r="A22" s="53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 x14ac:dyDescent="0.3">
      <c r="A23" s="53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 x14ac:dyDescent="0.3">
      <c r="A24" s="53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 x14ac:dyDescent="0.3">
      <c r="A25" s="532"/>
      <c r="B25" s="724" t="s">
        <v>3550</v>
      </c>
      <c r="C25" s="725"/>
      <c r="D25" s="725"/>
      <c r="E25" s="725"/>
      <c r="F25" s="725"/>
      <c r="G25" s="725"/>
      <c r="H25" s="725"/>
      <c r="I25" s="725"/>
      <c r="J25" s="725"/>
      <c r="K25" s="726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 x14ac:dyDescent="0.3">
      <c r="A26" s="727" t="s">
        <v>62</v>
      </c>
      <c r="B26" s="727"/>
      <c r="C26" s="727"/>
      <c r="D26" s="727"/>
      <c r="E26" s="727"/>
      <c r="F26" s="727"/>
      <c r="G26" s="727"/>
      <c r="H26" s="727"/>
      <c r="I26" s="727"/>
      <c r="J26" s="727"/>
      <c r="K26" s="727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 x14ac:dyDescent="0.3">
      <c r="P27" s="18"/>
      <c r="Q27" s="18"/>
      <c r="R27" s="18"/>
      <c r="S27" s="18"/>
      <c r="T27" s="18"/>
      <c r="U27" s="18"/>
    </row>
    <row r="28" spans="1:27" ht="26.25" customHeight="1" x14ac:dyDescent="0.3">
      <c r="O28" s="18"/>
      <c r="P28" s="18"/>
      <c r="Q28" s="18"/>
      <c r="R28" s="18"/>
      <c r="S28" s="18"/>
      <c r="T28" s="18"/>
      <c r="U28" s="18"/>
    </row>
    <row r="29" spans="1:27" ht="26.25" customHeight="1" x14ac:dyDescent="0.3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 x14ac:dyDescent="0.3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 x14ac:dyDescent="0.3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 x14ac:dyDescent="0.3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 x14ac:dyDescent="0.3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 x14ac:dyDescent="0.3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 x14ac:dyDescent="0.3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 x14ac:dyDescent="0.3">
      <c r="J37" s="159"/>
      <c r="O37" s="18"/>
      <c r="V37" s="18"/>
      <c r="W37" s="18"/>
      <c r="X37" s="18"/>
      <c r="Y37" s="18"/>
      <c r="Z37" s="18"/>
      <c r="AA37" s="18"/>
    </row>
    <row r="38" spans="1:27" x14ac:dyDescent="0.3">
      <c r="V38" s="18"/>
      <c r="W38" s="18"/>
      <c r="X38" s="18"/>
      <c r="Y38" s="18"/>
      <c r="Z38" s="18"/>
      <c r="AA38" s="18"/>
    </row>
    <row r="39" spans="1:27" x14ac:dyDescent="0.3">
      <c r="N39" s="18"/>
    </row>
    <row r="40" spans="1:27" ht="28.5" customHeight="1" x14ac:dyDescent="0.3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 x14ac:dyDescent="0.3">
      <c r="A41" s="728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 x14ac:dyDescent="0.3">
      <c r="A42" s="729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 x14ac:dyDescent="0.3">
      <c r="A43" s="729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 x14ac:dyDescent="0.3">
      <c r="A44" s="729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 x14ac:dyDescent="0.3">
      <c r="A45" s="729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 x14ac:dyDescent="0.3">
      <c r="A46" s="729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 x14ac:dyDescent="0.3">
      <c r="A47" s="729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 x14ac:dyDescent="0.3">
      <c r="A48" s="729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 x14ac:dyDescent="0.3">
      <c r="A49" s="729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 x14ac:dyDescent="0.3">
      <c r="A50" s="72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 x14ac:dyDescent="0.3">
      <c r="A51" s="729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 x14ac:dyDescent="0.3">
      <c r="A52" s="729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 x14ac:dyDescent="0.3">
      <c r="A53" s="730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x14ac:dyDescent="0.3">
      <c r="M61" s="8" t="s">
        <v>3596</v>
      </c>
    </row>
    <row r="62" spans="1:28" x14ac:dyDescent="0.3">
      <c r="M62" s="8" t="s">
        <v>3598</v>
      </c>
    </row>
    <row r="63" spans="1:28" x14ac:dyDescent="0.3">
      <c r="M63" s="8" t="s">
        <v>3596</v>
      </c>
    </row>
    <row r="64" spans="1:28" x14ac:dyDescent="0.3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 x14ac:dyDescent="0.3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 x14ac:dyDescent="0.3"/>
    <row r="2" spans="1:13" x14ac:dyDescent="0.3">
      <c r="A2" s="731" t="s">
        <v>1956</v>
      </c>
      <c r="B2" s="739" t="s">
        <v>1</v>
      </c>
      <c r="C2" s="739" t="s">
        <v>2</v>
      </c>
      <c r="D2" s="739" t="s">
        <v>3</v>
      </c>
      <c r="E2" s="350" t="s">
        <v>2636</v>
      </c>
      <c r="F2" s="739" t="s">
        <v>5</v>
      </c>
      <c r="G2" s="739" t="s">
        <v>6</v>
      </c>
      <c r="H2" s="739" t="s">
        <v>2638</v>
      </c>
      <c r="I2" s="739" t="s">
        <v>55</v>
      </c>
      <c r="J2" s="739" t="s">
        <v>9</v>
      </c>
      <c r="K2" s="741" t="s">
        <v>56</v>
      </c>
      <c r="L2" s="739" t="s">
        <v>57</v>
      </c>
      <c r="M2" s="739" t="s">
        <v>58</v>
      </c>
    </row>
    <row r="3" spans="1:13" x14ac:dyDescent="0.3">
      <c r="A3" s="731"/>
      <c r="B3" s="740"/>
      <c r="C3" s="740"/>
      <c r="D3" s="740"/>
      <c r="E3" s="351" t="s">
        <v>2637</v>
      </c>
      <c r="F3" s="740"/>
      <c r="G3" s="740"/>
      <c r="H3" s="740"/>
      <c r="I3" s="740"/>
      <c r="J3" s="740"/>
      <c r="K3" s="742"/>
      <c r="L3" s="740"/>
      <c r="M3" s="740"/>
    </row>
    <row r="4" spans="1:13" ht="26.25" customHeight="1" x14ac:dyDescent="0.3">
      <c r="A4" s="53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 x14ac:dyDescent="0.3">
      <c r="A5" s="53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 x14ac:dyDescent="0.3">
      <c r="A6" s="53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 x14ac:dyDescent="0.3">
      <c r="A7" s="53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 x14ac:dyDescent="0.3">
      <c r="A8" s="53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 x14ac:dyDescent="0.3">
      <c r="A9" s="53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 x14ac:dyDescent="0.3">
      <c r="A10" s="53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 x14ac:dyDescent="0.3">
      <c r="A11" s="532"/>
      <c r="B11" s="532" t="s">
        <v>1139</v>
      </c>
      <c r="C11" s="532"/>
      <c r="D11" s="532"/>
      <c r="E11" s="532"/>
      <c r="F11" s="532"/>
      <c r="G11" s="532"/>
      <c r="H11" s="532"/>
      <c r="I11" s="532"/>
      <c r="J11" s="532"/>
      <c r="K11" s="532"/>
      <c r="L11" s="103">
        <f>SUM(L4:L10)</f>
        <v>4500000</v>
      </c>
      <c r="M11" s="49"/>
    </row>
    <row r="12" spans="1:13" ht="25.5" customHeight="1" x14ac:dyDescent="0.3">
      <c r="A12" s="54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 x14ac:dyDescent="0.3">
      <c r="A13" s="54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 x14ac:dyDescent="0.3">
      <c r="A14" s="54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 x14ac:dyDescent="0.3">
      <c r="A15" s="54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 x14ac:dyDescent="0.3">
      <c r="A16" s="54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 x14ac:dyDescent="0.3">
      <c r="A17" s="54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 x14ac:dyDescent="0.3">
      <c r="A18" s="54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 x14ac:dyDescent="0.3">
      <c r="A19" s="54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 x14ac:dyDescent="0.3">
      <c r="A20" s="544"/>
      <c r="B20" s="532" t="s">
        <v>1138</v>
      </c>
      <c r="C20" s="532"/>
      <c r="D20" s="532"/>
      <c r="E20" s="532"/>
      <c r="F20" s="532"/>
      <c r="G20" s="532"/>
      <c r="H20" s="532"/>
      <c r="I20" s="532"/>
      <c r="J20" s="532"/>
      <c r="K20" s="532"/>
      <c r="L20" s="103">
        <v>2150000</v>
      </c>
      <c r="M20" s="49"/>
    </row>
    <row r="21" spans="1:13" ht="20.100000000000001" customHeight="1" x14ac:dyDescent="0.3">
      <c r="A21" s="727" t="s">
        <v>62</v>
      </c>
      <c r="B21" s="727"/>
      <c r="C21" s="727"/>
      <c r="D21" s="727"/>
      <c r="E21" s="727"/>
      <c r="F21" s="727"/>
      <c r="G21" s="727"/>
      <c r="H21" s="727"/>
      <c r="I21" s="727"/>
      <c r="J21" s="727"/>
      <c r="K21" s="727"/>
      <c r="L21" s="403">
        <f>L11+L20</f>
        <v>6650000</v>
      </c>
      <c r="M21" s="49"/>
    </row>
    <row r="23" spans="1:13" hidden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 x14ac:dyDescent="0.3"/>
    <row r="29" spans="1:13" hidden="1" x14ac:dyDescent="0.3">
      <c r="J29" s="159"/>
    </row>
    <row r="30" spans="1:13" hidden="1" x14ac:dyDescent="0.3"/>
    <row r="31" spans="1:13" hidden="1" x14ac:dyDescent="0.3"/>
    <row r="32" spans="1:13" s="18" customFormat="1" ht="27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 x14ac:dyDescent="0.3">
      <c r="A33" s="73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 x14ac:dyDescent="0.3">
      <c r="A34" s="73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 x14ac:dyDescent="0.3">
      <c r="A35" s="73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 x14ac:dyDescent="0.3">
      <c r="A36" s="73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 x14ac:dyDescent="0.3">
      <c r="A37" s="73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 x14ac:dyDescent="0.3">
      <c r="A38" s="73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 x14ac:dyDescent="0.3">
      <c r="A39" s="73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 x14ac:dyDescent="0.3">
      <c r="A40" s="73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 x14ac:dyDescent="0.3">
      <c r="A41" s="73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 x14ac:dyDescent="0.3">
      <c r="A42" s="73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 x14ac:dyDescent="0.3">
      <c r="A43" s="73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 x14ac:dyDescent="0.3">
      <c r="A44" s="73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 x14ac:dyDescent="0.3">
      <c r="B47" s="411" t="s">
        <v>2983</v>
      </c>
    </row>
    <row r="49" spans="2:13" ht="18.75" x14ac:dyDescent="0.3">
      <c r="B49" s="411" t="s">
        <v>3070</v>
      </c>
    </row>
    <row r="50" spans="2:13" ht="18" x14ac:dyDescent="0.3">
      <c r="B50" s="411"/>
    </row>
    <row r="61" spans="2:13" x14ac:dyDescent="0.3">
      <c r="M61" s="8" t="s">
        <v>2833</v>
      </c>
    </row>
    <row r="62" spans="2:13" x14ac:dyDescent="0.3">
      <c r="M62" s="8" t="s">
        <v>2837</v>
      </c>
    </row>
    <row r="63" spans="2:13" x14ac:dyDescent="0.3">
      <c r="M63" s="8" t="s">
        <v>2834</v>
      </c>
    </row>
    <row r="64" spans="2:13" x14ac:dyDescent="0.3">
      <c r="M64" s="8" t="s">
        <v>2838</v>
      </c>
    </row>
    <row r="65" spans="13:13" x14ac:dyDescent="0.3">
      <c r="M65" s="8" t="s">
        <v>2832</v>
      </c>
    </row>
    <row r="66" spans="13:13" x14ac:dyDescent="0.3">
      <c r="M66" s="8" t="s">
        <v>2835</v>
      </c>
    </row>
    <row r="67" spans="13:13" x14ac:dyDescent="0.3">
      <c r="M67" s="8" t="s">
        <v>2838</v>
      </c>
    </row>
    <row r="68" spans="13:13" x14ac:dyDescent="0.3">
      <c r="M68" s="8" t="s">
        <v>2836</v>
      </c>
    </row>
    <row r="69" spans="13:13" x14ac:dyDescent="0.3">
      <c r="M69" s="8" t="s">
        <v>2838</v>
      </c>
    </row>
    <row r="70" spans="13:13" x14ac:dyDescent="0.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2026-03-04T02:52:08Z</dcterms:modified>
</cp:coreProperties>
</file>