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bookViews>
    <workbookView xWindow="-120" yWindow="-120" windowWidth="29040" windowHeight="15840" tabRatio="924" activeTab="3"/>
  </bookViews>
  <sheets>
    <sheet name="스케줄(2026)" sheetId="57" r:id="rId1"/>
    <sheet name="사전품의내역" sheetId="2" r:id="rId2"/>
    <sheet name="사전품의보고" sheetId="130" r:id="rId3"/>
    <sheet name="사전품의양식 (12)" sheetId="129" r:id="rId4"/>
    <sheet name="발주양식" sheetId="4" r:id="rId5"/>
    <sheet name="Sheet1" sheetId="131" r:id="rId6"/>
    <sheet name="Sheet2" sheetId="132" r:id="rId7"/>
  </sheets>
  <definedNames>
    <definedName name="_xlnm._FilterDatabase" localSheetId="4" hidden="1">발주양식!$A$349:$L$357</definedName>
    <definedName name="_xlnm._FilterDatabase" localSheetId="1" hidden="1">사전품의내역!$A$1:$N$1714</definedName>
    <definedName name="DDD" localSheetId="3">#REF!</definedName>
    <definedName name="DDD">#REF!</definedName>
    <definedName name="DF" localSheetId="3">#REF!</definedName>
    <definedName name="DF">#REF!</definedName>
    <definedName name="DFSFSFSFSF" localSheetId="3">#REF!</definedName>
    <definedName name="DFSFSFSFSF">#REF!</definedName>
    <definedName name="_xlnm.Print_Area" localSheetId="4">발주양식!$A$278:$M$284</definedName>
    <definedName name="_xlnm.Print_Area" localSheetId="1">사전품의내역!$A$531:$N$553</definedName>
    <definedName name="_xlnm.Print_Area" localSheetId="3">'사전품의양식 (12)'!$A$1:$M$16</definedName>
    <definedName name="www">#REF!</definedName>
    <definedName name="납품" localSheetId="3">#REF!</definedName>
    <definedName name="납품">#REF!</definedName>
    <definedName name="유무상" localSheetId="3">#REF!</definedName>
    <definedName name="유무상">#REF!</definedName>
    <definedName name="인도구분" localSheetId="3">#REF!</definedName>
    <definedName name="인도구분">#REF!</definedName>
    <definedName name="조선소" localSheetId="3">#REF!</definedName>
    <definedName name="조선소">#REF!</definedName>
    <definedName name="차량" localSheetId="3">#REF!</definedName>
    <definedName name="차량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" i="129" l="1"/>
  <c r="L6" i="129"/>
  <c r="L4" i="129"/>
  <c r="M1721" i="2"/>
  <c r="M1716" i="2"/>
  <c r="M1715" i="2"/>
  <c r="L9" i="129" l="1"/>
  <c r="L14" i="129"/>
  <c r="J1142" i="4" l="1"/>
  <c r="J1045" i="4"/>
  <c r="J1121" i="4" l="1"/>
  <c r="J1102" i="4" l="1"/>
  <c r="M1681" i="2"/>
  <c r="M1680" i="2"/>
  <c r="J1090" i="4" l="1"/>
  <c r="J1082" i="4"/>
  <c r="J1064" i="4"/>
  <c r="M1651" i="2"/>
  <c r="M1650" i="2"/>
  <c r="M1649" i="2"/>
  <c r="M1648" i="2"/>
  <c r="M1647" i="2"/>
  <c r="M1646" i="2"/>
  <c r="J1056" i="4"/>
  <c r="J1032" i="4"/>
  <c r="I1034" i="4" s="1"/>
  <c r="M1633" i="2" l="1"/>
  <c r="M1624" i="2" l="1"/>
  <c r="M1623" i="2"/>
  <c r="M1622" i="2"/>
  <c r="M1603" i="2" l="1"/>
  <c r="M1602" i="2"/>
  <c r="M1601" i="2"/>
  <c r="M1600" i="2"/>
  <c r="J1018" i="4" l="1"/>
  <c r="J1003" i="4"/>
  <c r="J989" i="4"/>
  <c r="J982" i="4"/>
  <c r="J976" i="4"/>
  <c r="J964" i="4"/>
  <c r="J956" i="4"/>
  <c r="J952" i="4"/>
  <c r="M1593" i="2" l="1"/>
  <c r="M1570" i="2" l="1"/>
  <c r="M1560" i="2" l="1"/>
  <c r="M1559" i="2"/>
  <c r="M1558" i="2"/>
  <c r="M1546" i="2" l="1"/>
  <c r="M1545" i="2"/>
  <c r="M1544" i="2"/>
  <c r="M1543" i="2"/>
  <c r="M1542" i="2"/>
  <c r="M1532" i="2" l="1"/>
  <c r="M1531" i="2"/>
  <c r="M1529" i="2"/>
  <c r="M1528" i="2"/>
  <c r="O882" i="4" l="1"/>
  <c r="J944" i="4" l="1"/>
  <c r="J930" i="4"/>
  <c r="J919" i="4"/>
  <c r="J904" i="4"/>
  <c r="J876" i="4" l="1"/>
  <c r="J887" i="4"/>
  <c r="J853" i="4"/>
  <c r="M1512" i="2" l="1"/>
  <c r="M1470" i="2" l="1"/>
  <c r="M1469" i="2"/>
  <c r="M1468" i="2"/>
  <c r="M1467" i="2"/>
  <c r="J834" i="4" l="1"/>
  <c r="J841" i="4"/>
  <c r="J819" i="4" l="1"/>
  <c r="J812" i="4"/>
  <c r="J802" i="4" l="1"/>
  <c r="J770" i="4"/>
  <c r="M1456" i="2" l="1"/>
  <c r="M1455" i="2"/>
  <c r="M1447" i="2" l="1"/>
  <c r="M1446" i="2"/>
  <c r="M1445" i="2"/>
  <c r="M1444" i="2"/>
  <c r="M1418" i="2" l="1"/>
  <c r="M1417" i="2"/>
  <c r="M1416" i="2"/>
  <c r="M1415" i="2"/>
  <c r="J790" i="4"/>
  <c r="J778" i="4"/>
  <c r="J762" i="4"/>
  <c r="J749" i="4"/>
  <c r="L749" i="4"/>
  <c r="L762" i="4" s="1"/>
  <c r="L770" i="4" s="1"/>
  <c r="J731" i="4"/>
  <c r="L778" i="4" l="1"/>
  <c r="L717" i="4" l="1"/>
  <c r="L731" i="4" s="1"/>
  <c r="J717" i="4"/>
  <c r="M1409" i="2" l="1"/>
  <c r="M1408" i="2"/>
  <c r="M1407" i="2"/>
  <c r="M1405" i="2"/>
  <c r="M1401" i="2" l="1"/>
  <c r="M1400" i="2"/>
  <c r="M1399" i="2"/>
  <c r="M1398" i="2"/>
  <c r="M1395" i="2" l="1"/>
  <c r="M1394" i="2"/>
  <c r="M1388" i="2"/>
  <c r="M1387" i="2"/>
  <c r="M1386" i="2"/>
  <c r="J8" i="131" l="1"/>
  <c r="I17" i="131"/>
  <c r="L17" i="131" s="1"/>
  <c r="I9" i="131"/>
  <c r="K18" i="131"/>
  <c r="K10" i="131"/>
  <c r="L9" i="131"/>
  <c r="I18" i="131"/>
  <c r="J16" i="131"/>
  <c r="L19" i="131"/>
  <c r="L11" i="131"/>
  <c r="I8" i="131"/>
  <c r="L8" i="131" s="1"/>
  <c r="I10" i="131"/>
  <c r="L10" i="131" s="1"/>
  <c r="D6" i="131"/>
  <c r="C6" i="131"/>
  <c r="I16" i="131" s="1"/>
  <c r="L16" i="131" s="1"/>
  <c r="L18" i="131" l="1"/>
  <c r="L20" i="131" s="1"/>
  <c r="L12" i="131"/>
  <c r="J699" i="4"/>
  <c r="L698" i="4"/>
  <c r="J688" i="4"/>
  <c r="J681" i="4"/>
  <c r="J674" i="4"/>
  <c r="J655" i="4"/>
  <c r="I22" i="131" l="1"/>
  <c r="M1368" i="2"/>
  <c r="M1367" i="2"/>
  <c r="M1362" i="2"/>
  <c r="M1361" i="2"/>
  <c r="M1360" i="2"/>
  <c r="M1359" i="2"/>
  <c r="M1358" i="2"/>
  <c r="C12" i="130" l="1"/>
  <c r="C18" i="130" s="1"/>
  <c r="C11" i="130"/>
  <c r="B18" i="130" s="1"/>
  <c r="M1349" i="2" l="1"/>
  <c r="M1348" i="2"/>
  <c r="M1347" i="2"/>
  <c r="M1346" i="2"/>
  <c r="M1345" i="2"/>
  <c r="C13" i="130" l="1"/>
  <c r="B8" i="130" s="1"/>
  <c r="B19" i="130"/>
  <c r="C19" i="130"/>
  <c r="D18" i="130"/>
  <c r="D17" i="130"/>
  <c r="B13" i="130"/>
  <c r="D19" i="130" l="1"/>
  <c r="L15" i="129"/>
  <c r="M991" i="2" l="1"/>
  <c r="M971" i="2"/>
  <c r="M959" i="2"/>
  <c r="M942" i="2"/>
  <c r="M941" i="2"/>
  <c r="M940" i="2"/>
  <c r="M939" i="2"/>
  <c r="M931" i="2"/>
  <c r="M930" i="2"/>
  <c r="M929" i="2"/>
  <c r="M928" i="2"/>
  <c r="M927" i="2"/>
  <c r="C15" i="2" l="1"/>
  <c r="M22" i="2"/>
  <c r="M23" i="2"/>
  <c r="M29" i="2"/>
  <c r="O33" i="2"/>
  <c r="M35" i="2"/>
  <c r="M36" i="2"/>
  <c r="M37" i="2"/>
  <c r="M38" i="2"/>
  <c r="M48" i="2"/>
  <c r="M55" i="2"/>
  <c r="M56" i="2"/>
  <c r="M57" i="2"/>
  <c r="M58" i="2"/>
  <c r="M66" i="2"/>
  <c r="M84" i="2"/>
  <c r="M85" i="2"/>
  <c r="M87" i="2"/>
  <c r="M88" i="2"/>
  <c r="C96" i="2"/>
  <c r="M117" i="2"/>
  <c r="M121" i="2"/>
  <c r="M135" i="2"/>
  <c r="M136" i="2"/>
  <c r="M137" i="2"/>
  <c r="M138" i="2"/>
  <c r="M139" i="2"/>
  <c r="M140" i="2"/>
  <c r="M141" i="2"/>
  <c r="M142" i="2"/>
  <c r="M145" i="2"/>
  <c r="M147" i="2"/>
  <c r="M148" i="2"/>
  <c r="M149" i="2"/>
  <c r="M153" i="2"/>
  <c r="M154" i="2"/>
  <c r="M155" i="2"/>
  <c r="M156" i="2"/>
  <c r="M157" i="2"/>
  <c r="M158" i="2"/>
  <c r="M159" i="2"/>
  <c r="M160" i="2"/>
  <c r="M161" i="2"/>
  <c r="M162" i="2"/>
  <c r="M164" i="2"/>
  <c r="M165" i="2"/>
  <c r="M167" i="2"/>
  <c r="M168" i="2"/>
  <c r="M169" i="2"/>
  <c r="M170" i="2"/>
  <c r="M172" i="2"/>
  <c r="M173" i="2"/>
  <c r="M176" i="2"/>
  <c r="M177" i="2"/>
  <c r="M178" i="2"/>
  <c r="M179" i="2"/>
  <c r="M181" i="2"/>
  <c r="M185" i="2"/>
  <c r="M186" i="2"/>
  <c r="M187" i="2"/>
  <c r="M188" i="2"/>
  <c r="M202" i="2"/>
  <c r="M203" i="2"/>
  <c r="M207" i="2"/>
  <c r="M209" i="2"/>
  <c r="M210" i="2"/>
  <c r="M211" i="2"/>
  <c r="M212" i="2"/>
  <c r="M213" i="2"/>
  <c r="M214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4" i="2"/>
  <c r="M245" i="2"/>
  <c r="M248" i="2"/>
  <c r="M250" i="2"/>
  <c r="M255" i="2"/>
  <c r="M256" i="2"/>
  <c r="M257" i="2"/>
  <c r="M259" i="2"/>
  <c r="M263" i="2"/>
  <c r="M264" i="2"/>
  <c r="M265" i="2"/>
  <c r="M266" i="2"/>
  <c r="M267" i="2"/>
  <c r="M271" i="2"/>
  <c r="M272" i="2"/>
  <c r="M273" i="2"/>
  <c r="M274" i="2"/>
  <c r="M275" i="2"/>
  <c r="M276" i="2"/>
  <c r="M277" i="2"/>
  <c r="M279" i="2"/>
  <c r="M280" i="2"/>
  <c r="M296" i="2"/>
  <c r="M297" i="2"/>
  <c r="M298" i="2"/>
  <c r="M302" i="2"/>
  <c r="M303" i="2"/>
  <c r="M304" i="2"/>
  <c r="M305" i="2"/>
  <c r="M306" i="2"/>
  <c r="M308" i="2"/>
  <c r="M309" i="2"/>
  <c r="M316" i="2"/>
  <c r="M317" i="2"/>
  <c r="M318" i="2"/>
  <c r="M322" i="2"/>
  <c r="M323" i="2"/>
  <c r="M329" i="2"/>
  <c r="M330" i="2"/>
  <c r="M331" i="2"/>
  <c r="M334" i="2"/>
  <c r="M335" i="2"/>
  <c r="M336" i="2"/>
  <c r="M337" i="2"/>
  <c r="M342" i="2"/>
  <c r="M343" i="2"/>
  <c r="M344" i="2"/>
  <c r="C384" i="2"/>
  <c r="M900" i="2"/>
  <c r="J479" i="4" l="1"/>
  <c r="J459" i="4"/>
  <c r="J435" i="4"/>
  <c r="J431" i="4"/>
  <c r="L387" i="4" l="1"/>
  <c r="J370" i="4" l="1"/>
  <c r="J361" i="4"/>
  <c r="J357" i="4"/>
  <c r="J330" i="4"/>
  <c r="J321" i="4"/>
  <c r="J314" i="4"/>
  <c r="J305" i="4"/>
  <c r="J275" i="4" l="1"/>
  <c r="J271" i="4" l="1"/>
  <c r="J262" i="4"/>
  <c r="J257" i="4" l="1"/>
  <c r="J250" i="4"/>
  <c r="J244" i="4"/>
  <c r="J236" i="4" l="1"/>
  <c r="J226" i="4"/>
  <c r="J154" i="4" l="1"/>
  <c r="J70" i="4" l="1"/>
  <c r="J137" i="4"/>
  <c r="J203" i="4"/>
  <c r="J214" i="4" l="1"/>
  <c r="J145" i="4"/>
  <c r="J163" i="4" l="1"/>
  <c r="J183" i="4" l="1"/>
  <c r="J193" i="4" l="1"/>
  <c r="J167" i="4" l="1"/>
  <c r="J121" i="4" l="1"/>
  <c r="J112" i="4" l="1"/>
  <c r="J78" i="4" l="1"/>
  <c r="J101" i="4"/>
  <c r="J92" i="4"/>
  <c r="J86" i="4" l="1"/>
  <c r="J64" i="4"/>
  <c r="J42" i="4" l="1"/>
  <c r="J54" i="4"/>
  <c r="J35" i="4" l="1"/>
  <c r="J21" i="4" l="1"/>
  <c r="J48" i="4" l="1"/>
  <c r="J26" i="4"/>
</calcChain>
</file>

<file path=xl/comments1.xml><?xml version="1.0" encoding="utf-8"?>
<comments xmlns="http://schemas.openxmlformats.org/spreadsheetml/2006/main">
  <authors>
    <author>user</author>
    <author>TF</author>
  </authors>
  <commentList>
    <comment ref="J3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김현우</t>
        </r>
      </text>
    </comment>
    <comment ref="I4" authorId="0" shapeId="0">
      <text>
        <r>
          <rPr>
            <b/>
            <sz val="9"/>
            <color indexed="81"/>
            <rFont val="Tahoma"/>
            <family val="2"/>
          </rPr>
          <t xml:space="preserve">12/24~30
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안된다고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하심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4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오태호
</t>
        </r>
      </text>
    </comment>
    <comment ref="J5" authorId="0" shapeId="0">
      <text>
        <r>
          <rPr>
            <b/>
            <sz val="9"/>
            <color indexed="81"/>
            <rFont val="돋움"/>
            <family val="3"/>
            <charset val="129"/>
          </rPr>
          <t>이재원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김용훈
</t>
        </r>
        <r>
          <rPr>
            <b/>
            <sz val="9"/>
            <color indexed="81"/>
            <rFont val="Tahoma"/>
            <family val="2"/>
          </rPr>
          <t>6556</t>
        </r>
        <r>
          <rPr>
            <b/>
            <sz val="9"/>
            <color indexed="81"/>
            <rFont val="돋움"/>
            <family val="3"/>
            <charset val="129"/>
          </rPr>
          <t xml:space="preserve">
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천상욱
권용연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최병경</t>
        </r>
      </text>
    </comment>
    <comment ref="I7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이시맥
</t>
        </r>
        <r>
          <rPr>
            <b/>
            <sz val="9"/>
            <color indexed="81"/>
            <rFont val="Tahoma"/>
            <family val="2"/>
          </rPr>
          <t xml:space="preserve">12/31~1/5
</t>
        </r>
        <r>
          <rPr>
            <b/>
            <sz val="9"/>
            <color indexed="81"/>
            <rFont val="돋움"/>
            <family val="3"/>
            <charset val="129"/>
          </rPr>
          <t>박주성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오태호
</t>
        </r>
        <r>
          <rPr>
            <b/>
            <sz val="9"/>
            <color indexed="81"/>
            <rFont val="Tahoma"/>
            <family val="2"/>
          </rPr>
          <t>12/30~1/5</t>
        </r>
      </text>
    </comment>
    <comment ref="J7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오태호
</t>
        </r>
      </text>
    </comment>
    <comment ref="H8" authorId="0" shapeId="0">
      <text>
        <r>
          <rPr>
            <b/>
            <sz val="9"/>
            <color indexed="81"/>
            <rFont val="돋움"/>
            <family val="3"/>
            <charset val="129"/>
          </rPr>
          <t>신한전자 점검인지 해결인지 별도로 확인해야함</t>
        </r>
      </text>
    </comment>
    <comment ref="J8" authorId="0" shapeId="0">
      <text>
        <r>
          <rPr>
            <b/>
            <sz val="9"/>
            <color indexed="81"/>
            <rFont val="돋움"/>
            <family val="3"/>
            <charset val="129"/>
          </rPr>
          <t>정수용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차장님</t>
        </r>
      </text>
    </comment>
    <comment ref="J9" authorId="0" shapeId="0">
      <text>
        <r>
          <rPr>
            <b/>
            <sz val="9"/>
            <color indexed="81"/>
            <rFont val="돋움"/>
            <family val="3"/>
            <charset val="129"/>
          </rPr>
          <t>이재원
6556
권용연,최병경
81오0676</t>
        </r>
      </text>
    </comment>
    <comment ref="J10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김유신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3" authorId="0" shapeId="0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 xml:space="preserve"> 
252</t>
        </r>
        <r>
          <rPr>
            <b/>
            <sz val="9"/>
            <color indexed="81"/>
            <rFont val="돋움"/>
            <family val="3"/>
            <charset val="129"/>
          </rPr>
          <t>라</t>
        </r>
        <r>
          <rPr>
            <b/>
            <sz val="9"/>
            <color indexed="81"/>
            <rFont val="Tahoma"/>
            <family val="2"/>
          </rPr>
          <t xml:space="preserve"> 6355
</t>
        </r>
        <r>
          <rPr>
            <b/>
            <sz val="9"/>
            <color indexed="81"/>
            <rFont val="돋움"/>
            <family val="3"/>
            <charset val="129"/>
          </rPr>
          <t>이준호반장님</t>
        </r>
        <r>
          <rPr>
            <b/>
            <sz val="9"/>
            <color indexed="81"/>
            <rFont val="Tahoma"/>
            <family val="2"/>
          </rPr>
          <t>(97</t>
        </r>
        <r>
          <rPr>
            <b/>
            <sz val="9"/>
            <color indexed="81"/>
            <rFont val="돋움"/>
            <family val="3"/>
            <charset val="129"/>
          </rPr>
          <t>부</t>
        </r>
        <r>
          <rPr>
            <b/>
            <sz val="9"/>
            <color indexed="81"/>
            <rFont val="Tahoma"/>
            <family val="2"/>
          </rPr>
          <t xml:space="preserve"> 9080)
</t>
        </r>
        <r>
          <rPr>
            <b/>
            <sz val="9"/>
            <color indexed="81"/>
            <rFont val="돋움"/>
            <family val="3"/>
            <charset val="129"/>
          </rPr>
          <t>오태호반장님</t>
        </r>
        <r>
          <rPr>
            <b/>
            <sz val="9"/>
            <color indexed="81"/>
            <rFont val="Tahoma"/>
            <family val="2"/>
          </rPr>
          <t>(34</t>
        </r>
        <r>
          <rPr>
            <b/>
            <sz val="9"/>
            <color indexed="81"/>
            <rFont val="돋움"/>
            <family val="3"/>
            <charset val="129"/>
          </rPr>
          <t>어</t>
        </r>
        <r>
          <rPr>
            <b/>
            <sz val="9"/>
            <color indexed="81"/>
            <rFont val="Tahoma"/>
            <family val="2"/>
          </rPr>
          <t xml:space="preserve">2424)
</t>
        </r>
        <r>
          <rPr>
            <b/>
            <sz val="9"/>
            <color indexed="81"/>
            <rFont val="돋움"/>
            <family val="3"/>
            <charset val="129"/>
          </rPr>
          <t>신종욱</t>
        </r>
        <r>
          <rPr>
            <b/>
            <sz val="9"/>
            <color indexed="81"/>
            <rFont val="Tahoma"/>
            <family val="2"/>
          </rPr>
          <t xml:space="preserve"> 360</t>
        </r>
        <r>
          <rPr>
            <b/>
            <sz val="9"/>
            <color indexed="81"/>
            <rFont val="돋움"/>
            <family val="3"/>
            <charset val="129"/>
          </rPr>
          <t>버</t>
        </r>
        <r>
          <rPr>
            <b/>
            <sz val="9"/>
            <color indexed="81"/>
            <rFont val="Tahoma"/>
            <family val="2"/>
          </rPr>
          <t xml:space="preserve">6974
</t>
        </r>
      </text>
    </comment>
    <comment ref="H18" authorId="0" shapeId="0">
      <text>
        <r>
          <rPr>
            <b/>
            <sz val="9"/>
            <color indexed="81"/>
            <rFont val="돋움"/>
            <family val="3"/>
            <charset val="129"/>
          </rPr>
          <t>와이어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입고언제</t>
        </r>
        <r>
          <rPr>
            <b/>
            <sz val="9"/>
            <color indexed="81"/>
            <rFont val="Tahoma"/>
            <family val="2"/>
          </rPr>
          <t>?
PIPE,</t>
        </r>
        <r>
          <rPr>
            <b/>
            <sz val="9"/>
            <color indexed="81"/>
            <rFont val="돋움"/>
            <family val="3"/>
            <charset val="129"/>
          </rPr>
          <t>마그네틱드릴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도면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엔코더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커버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전달드리기</t>
        </r>
      </text>
    </comment>
    <comment ref="J18" authorId="0" shapeId="0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 xml:space="preserve"> 
252</t>
        </r>
        <r>
          <rPr>
            <b/>
            <sz val="9"/>
            <color indexed="81"/>
            <rFont val="돋움"/>
            <family val="3"/>
            <charset val="129"/>
          </rPr>
          <t>라</t>
        </r>
        <r>
          <rPr>
            <b/>
            <sz val="9"/>
            <color indexed="81"/>
            <rFont val="Tahoma"/>
            <family val="2"/>
          </rPr>
          <t xml:space="preserve"> 6355
</t>
        </r>
        <r>
          <rPr>
            <b/>
            <sz val="9"/>
            <color indexed="81"/>
            <rFont val="돋움"/>
            <family val="3"/>
            <charset val="129"/>
          </rPr>
          <t>이준호반장님</t>
        </r>
        <r>
          <rPr>
            <b/>
            <sz val="9"/>
            <color indexed="81"/>
            <rFont val="Tahoma"/>
            <family val="2"/>
          </rPr>
          <t>(97</t>
        </r>
        <r>
          <rPr>
            <b/>
            <sz val="9"/>
            <color indexed="81"/>
            <rFont val="돋움"/>
            <family val="3"/>
            <charset val="129"/>
          </rPr>
          <t>부</t>
        </r>
        <r>
          <rPr>
            <b/>
            <sz val="9"/>
            <color indexed="81"/>
            <rFont val="Tahoma"/>
            <family val="2"/>
          </rPr>
          <t xml:space="preserve"> 9080)
</t>
        </r>
        <r>
          <rPr>
            <b/>
            <sz val="9"/>
            <color indexed="81"/>
            <rFont val="돋움"/>
            <family val="3"/>
            <charset val="129"/>
          </rPr>
          <t>오태호반장님</t>
        </r>
        <r>
          <rPr>
            <b/>
            <sz val="9"/>
            <color indexed="81"/>
            <rFont val="Tahoma"/>
            <family val="2"/>
          </rPr>
          <t>(34</t>
        </r>
        <r>
          <rPr>
            <b/>
            <sz val="9"/>
            <color indexed="81"/>
            <rFont val="돋움"/>
            <family val="3"/>
            <charset val="129"/>
          </rPr>
          <t>어</t>
        </r>
        <r>
          <rPr>
            <b/>
            <sz val="9"/>
            <color indexed="81"/>
            <rFont val="Tahoma"/>
            <family val="2"/>
          </rPr>
          <t xml:space="preserve">2424)
</t>
        </r>
        <r>
          <rPr>
            <b/>
            <sz val="9"/>
            <color indexed="81"/>
            <rFont val="돋움"/>
            <family val="3"/>
            <charset val="129"/>
          </rPr>
          <t>신종욱</t>
        </r>
        <r>
          <rPr>
            <b/>
            <sz val="9"/>
            <color indexed="81"/>
            <rFont val="Tahoma"/>
            <family val="2"/>
          </rPr>
          <t xml:space="preserve"> 360</t>
        </r>
        <r>
          <rPr>
            <b/>
            <sz val="9"/>
            <color indexed="81"/>
            <rFont val="돋움"/>
            <family val="3"/>
            <charset val="129"/>
          </rPr>
          <t>버</t>
        </r>
        <r>
          <rPr>
            <b/>
            <sz val="9"/>
            <color indexed="81"/>
            <rFont val="Tahoma"/>
            <family val="2"/>
          </rPr>
          <t xml:space="preserve">6974
</t>
        </r>
      </text>
    </comment>
    <comment ref="H24" authorId="0" shapeId="0">
      <text>
        <r>
          <rPr>
            <b/>
            <sz val="9"/>
            <color indexed="81"/>
            <rFont val="돋움"/>
            <family val="3"/>
            <charset val="129"/>
          </rPr>
          <t>출입신청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필요한지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확인해야함</t>
        </r>
        <r>
          <rPr>
            <b/>
            <sz val="9"/>
            <color indexed="81"/>
            <rFont val="Tahoma"/>
            <family val="2"/>
          </rPr>
          <t xml:space="preserve"> ~5</t>
        </r>
        <r>
          <rPr>
            <b/>
            <sz val="9"/>
            <color indexed="81"/>
            <rFont val="돋움"/>
            <family val="3"/>
            <charset val="129"/>
          </rPr>
          <t>일까지만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되어있음</t>
        </r>
      </text>
    </comment>
    <comment ref="J24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김유신,김현우
최재호, 유동현, 이재원
차량 - 87거6556</t>
        </r>
      </text>
    </comment>
    <comment ref="H25" authorId="0" shapeId="0">
      <text>
        <r>
          <rPr>
            <b/>
            <sz val="9"/>
            <color indexed="81"/>
            <rFont val="돋움"/>
            <family val="3"/>
            <charset val="129"/>
          </rPr>
          <t>해군의집</t>
        </r>
        <r>
          <rPr>
            <b/>
            <sz val="9"/>
            <color indexed="81"/>
            <rFont val="Tahoma"/>
            <family val="2"/>
          </rPr>
          <t xml:space="preserve"> 8:30</t>
        </r>
      </text>
    </comment>
    <comment ref="J25" authorId="0" shapeId="0">
      <text>
        <r>
          <rPr>
            <b/>
            <sz val="9"/>
            <color indexed="81"/>
            <rFont val="돋움"/>
            <family val="3"/>
            <charset val="129"/>
          </rPr>
          <t>권용연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김정웅</t>
        </r>
      </text>
    </comment>
    <comment ref="J26" authorId="0" shapeId="0">
      <text>
        <r>
          <rPr>
            <b/>
            <sz val="9"/>
            <color indexed="81"/>
            <rFont val="돋움"/>
            <family val="3"/>
            <charset val="129"/>
          </rPr>
          <t>천상욱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오태호</t>
        </r>
      </text>
    </comment>
    <comment ref="H27" authorId="0" shapeId="0">
      <text>
        <r>
          <rPr>
            <b/>
            <sz val="9"/>
            <color indexed="81"/>
            <rFont val="돋움"/>
            <family val="3"/>
            <charset val="129"/>
          </rPr>
          <t>출입신청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필요한지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확인해야함</t>
        </r>
        <r>
          <rPr>
            <b/>
            <sz val="9"/>
            <color indexed="81"/>
            <rFont val="Tahoma"/>
            <family val="2"/>
          </rPr>
          <t xml:space="preserve"> ~5</t>
        </r>
        <r>
          <rPr>
            <b/>
            <sz val="9"/>
            <color indexed="81"/>
            <rFont val="돋움"/>
            <family val="3"/>
            <charset val="129"/>
          </rPr>
          <t>일까지만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되어있음</t>
        </r>
      </text>
    </comment>
    <comment ref="J27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김유신,김현우
최재호, 유동현, 이재원
차량 - 87거6556</t>
        </r>
      </text>
    </comment>
    <comment ref="H28" authorId="0" shapeId="0">
      <text>
        <r>
          <rPr>
            <b/>
            <sz val="9"/>
            <color indexed="81"/>
            <rFont val="Tahoma"/>
            <family val="2"/>
          </rPr>
          <t xml:space="preserve">HHD </t>
        </r>
        <r>
          <rPr>
            <b/>
            <sz val="9"/>
            <color indexed="81"/>
            <rFont val="돋움"/>
            <family val="3"/>
            <charset val="129"/>
          </rPr>
          <t>자체점검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취소됨</t>
        </r>
      </text>
    </comment>
    <comment ref="J30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</text>
    </comment>
    <comment ref="H33" authorId="0" shapeId="0">
      <text>
        <r>
          <rPr>
            <b/>
            <sz val="9"/>
            <color indexed="81"/>
            <rFont val="Tahoma"/>
            <family val="2"/>
          </rPr>
          <t xml:space="preserve">SKMT-GNN0017-RB
- </t>
        </r>
        <r>
          <rPr>
            <b/>
            <sz val="9"/>
            <color indexed="81"/>
            <rFont val="돋움"/>
            <family val="3"/>
            <charset val="129"/>
          </rPr>
          <t>고장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램프에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들어오는건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했지만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기능이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몇가지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빠져있어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필요함
</t>
        </r>
        <r>
          <rPr>
            <b/>
            <sz val="9"/>
            <color indexed="81"/>
            <rFont val="Tahoma"/>
            <family val="2"/>
          </rPr>
          <t xml:space="preserve">SKMT-GNN0017-HHD
- </t>
        </r>
        <r>
          <rPr>
            <b/>
            <sz val="9"/>
            <color indexed="81"/>
            <rFont val="돋움"/>
            <family val="3"/>
            <charset val="129"/>
          </rPr>
          <t>포터센서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불량으로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필요함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임시방편으로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하였고</t>
        </r>
        <r>
          <rPr>
            <b/>
            <sz val="9"/>
            <color indexed="81"/>
            <rFont val="Tahoma"/>
            <family val="2"/>
          </rPr>
          <t xml:space="preserve">, 0018/19 </t>
        </r>
        <r>
          <rPr>
            <b/>
            <sz val="9"/>
            <color indexed="81"/>
            <rFont val="돋움"/>
            <family val="3"/>
            <charset val="129"/>
          </rPr>
          <t>중에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자재를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것같음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포터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센서</t>
        </r>
        <r>
          <rPr>
            <b/>
            <sz val="9"/>
            <color indexed="81"/>
            <rFont val="Tahoma"/>
            <family val="2"/>
          </rPr>
          <t xml:space="preserve"> 1/8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발주하면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J33" authorId="0" shapeId="0">
      <text>
        <r>
          <rPr>
            <b/>
            <sz val="9"/>
            <color indexed="81"/>
            <rFont val="Tahoma"/>
            <family val="2"/>
          </rPr>
          <t>30</t>
        </r>
        <r>
          <rPr>
            <b/>
            <sz val="9"/>
            <color indexed="81"/>
            <rFont val="돋움"/>
            <family val="3"/>
            <charset val="129"/>
          </rPr>
          <t>서</t>
        </r>
        <r>
          <rPr>
            <b/>
            <sz val="9"/>
            <color indexed="81"/>
            <rFont val="Tahoma"/>
            <family val="2"/>
          </rPr>
          <t xml:space="preserve">8378
</t>
        </r>
        <r>
          <rPr>
            <b/>
            <sz val="9"/>
            <color indexed="81"/>
            <rFont val="돋움"/>
            <family val="3"/>
            <charset val="129"/>
          </rPr>
          <t>이재원</t>
        </r>
      </text>
    </comment>
    <comment ref="J34" authorId="0" shapeId="0">
      <text>
        <r>
          <rPr>
            <b/>
            <sz val="9"/>
            <color indexed="81"/>
            <rFont val="돋움"/>
            <family val="3"/>
            <charset val="129"/>
          </rPr>
          <t>최재호
252라6355
신종욱
9080</t>
        </r>
      </text>
    </comment>
    <comment ref="H36" authorId="0" shapeId="0">
      <text>
        <r>
          <rPr>
            <b/>
            <sz val="9"/>
            <color indexed="81"/>
            <rFont val="돋움"/>
            <family val="3"/>
            <charset val="129"/>
          </rPr>
          <t>하부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점검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어떻게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할지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보트를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들어야하는지</t>
        </r>
        <r>
          <rPr>
            <b/>
            <sz val="9"/>
            <color indexed="81"/>
            <rFont val="Tahoma"/>
            <family val="2"/>
          </rPr>
          <t xml:space="preserve">?) </t>
        </r>
        <r>
          <rPr>
            <b/>
            <sz val="9"/>
            <color indexed="81"/>
            <rFont val="돋움"/>
            <family val="3"/>
            <charset val="129"/>
          </rPr>
          <t>확인할것</t>
        </r>
      </text>
    </comment>
    <comment ref="J38" authorId="0" shapeId="0">
      <text>
        <r>
          <rPr>
            <b/>
            <sz val="9"/>
            <color indexed="81"/>
            <rFont val="Tahoma"/>
            <family val="2"/>
          </rPr>
          <t>37</t>
        </r>
        <r>
          <rPr>
            <b/>
            <sz val="9"/>
            <color indexed="81"/>
            <rFont val="돋움"/>
            <family val="3"/>
            <charset val="129"/>
          </rPr>
          <t>거</t>
        </r>
        <r>
          <rPr>
            <b/>
            <sz val="9"/>
            <color indexed="81"/>
            <rFont val="Tahoma"/>
            <family val="2"/>
          </rPr>
          <t xml:space="preserve">6556 </t>
        </r>
        <r>
          <rPr>
            <b/>
            <sz val="9"/>
            <color indexed="81"/>
            <rFont val="돋움"/>
            <family val="3"/>
            <charset val="129"/>
          </rPr>
          <t>이재원</t>
        </r>
      </text>
    </comment>
    <comment ref="I42" authorId="0" shapeId="0">
      <text>
        <r>
          <rPr>
            <b/>
            <sz val="9"/>
            <color indexed="81"/>
            <rFont val="Tahoma"/>
            <family val="2"/>
          </rPr>
          <t>9080</t>
        </r>
      </text>
    </comment>
    <comment ref="J42" authorId="0" shapeId="0">
      <text>
        <r>
          <rPr>
            <b/>
            <sz val="9"/>
            <color indexed="81"/>
            <rFont val="돋움"/>
            <family val="3"/>
            <charset val="129"/>
          </rPr>
          <t>천상욱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김현우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김유신</t>
        </r>
      </text>
    </comment>
    <comment ref="J44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김현우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천상욱</t>
        </r>
        <r>
          <rPr>
            <b/>
            <sz val="9"/>
            <color indexed="81"/>
            <rFont val="Tahoma"/>
            <family val="2"/>
          </rPr>
          <t xml:space="preserve">,
</t>
        </r>
        <r>
          <rPr>
            <b/>
            <sz val="9"/>
            <color indexed="81"/>
            <rFont val="돋움"/>
            <family val="3"/>
            <charset val="129"/>
          </rPr>
          <t>김동완</t>
        </r>
        <r>
          <rPr>
            <b/>
            <sz val="9"/>
            <color indexed="81"/>
            <rFont val="Tahoma"/>
            <family val="2"/>
          </rPr>
          <t xml:space="preserve"> 19911202
01084439391
</t>
        </r>
        <r>
          <rPr>
            <b/>
            <sz val="9"/>
            <color indexed="81"/>
            <rFont val="돋움"/>
            <family val="3"/>
            <charset val="129"/>
          </rPr>
          <t>경남거제시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장평로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>7</t>
        </r>
        <r>
          <rPr>
            <b/>
            <sz val="9"/>
            <color indexed="81"/>
            <rFont val="돋움"/>
            <family val="3"/>
            <charset val="129"/>
          </rPr>
          <t>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다인빌딩</t>
        </r>
        <r>
          <rPr>
            <b/>
            <sz val="9"/>
            <color indexed="81"/>
            <rFont val="Tahoma"/>
            <family val="2"/>
          </rPr>
          <t>206</t>
        </r>
        <r>
          <rPr>
            <b/>
            <sz val="9"/>
            <color indexed="81"/>
            <rFont val="돋움"/>
            <family val="3"/>
            <charset val="129"/>
          </rPr>
          <t>호
김기동</t>
        </r>
        <r>
          <rPr>
            <b/>
            <sz val="9"/>
            <color indexed="81"/>
            <rFont val="Tahoma"/>
            <family val="2"/>
          </rPr>
          <t xml:space="preserve"> 
1978.10.27
</t>
        </r>
        <r>
          <rPr>
            <b/>
            <sz val="9"/>
            <color indexed="81"/>
            <rFont val="돋움"/>
            <family val="3"/>
            <charset val="129"/>
          </rPr>
          <t>거제시거제중앙로</t>
        </r>
        <r>
          <rPr>
            <b/>
            <sz val="9"/>
            <color indexed="81"/>
            <rFont val="Tahoma"/>
            <family val="2"/>
          </rPr>
          <t>13</t>
        </r>
        <r>
          <rPr>
            <b/>
            <sz val="9"/>
            <color indexed="81"/>
            <rFont val="돋움"/>
            <family val="3"/>
            <charset val="129"/>
          </rPr>
          <t>길</t>
        </r>
        <r>
          <rPr>
            <b/>
            <sz val="9"/>
            <color indexed="81"/>
            <rFont val="Tahoma"/>
            <family val="2"/>
          </rPr>
          <t>34
010-3735-9725</t>
        </r>
      </text>
    </comment>
    <comment ref="J45" authorId="0" shapeId="0">
      <text>
        <r>
          <rPr>
            <b/>
            <sz val="9"/>
            <color indexed="81"/>
            <rFont val="돋움"/>
            <family val="3"/>
            <charset val="129"/>
          </rPr>
          <t>박재규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박석진</t>
        </r>
      </text>
    </comment>
    <comment ref="J48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최병경 이사님 오실예정
권용연전무님 못오실예정
</t>
        </r>
      </text>
    </comment>
    <comment ref="J49" authorId="0" shapeId="0">
      <text>
        <r>
          <rPr>
            <b/>
            <sz val="9"/>
            <color indexed="81"/>
            <rFont val="돋움"/>
            <family val="3"/>
            <charset val="129"/>
          </rPr>
          <t>한상준이사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권용연전무
</t>
        </r>
      </text>
    </comment>
    <comment ref="J52" authorId="0" shapeId="0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권용연
</t>
        </r>
      </text>
    </comment>
    <comment ref="H54" authorId="0" shapeId="0">
      <text>
        <r>
          <rPr>
            <b/>
            <sz val="9"/>
            <color indexed="81"/>
            <rFont val="돋움"/>
            <family val="3"/>
            <charset val="129"/>
          </rPr>
          <t>센서브라켓</t>
        </r>
        <r>
          <rPr>
            <b/>
            <sz val="9"/>
            <color indexed="81"/>
            <rFont val="Tahoma"/>
            <family val="2"/>
          </rPr>
          <t xml:space="preserve"> 1EA : CNM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  <comment ref="J55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김현우
</t>
        </r>
      </text>
    </comment>
    <comment ref="J56" authorId="0" shapeId="0">
      <text>
        <r>
          <rPr>
            <b/>
            <sz val="9"/>
            <color indexed="81"/>
            <rFont val="돋움"/>
            <family val="3"/>
            <charset val="129"/>
          </rPr>
          <t>김현우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천상욱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김유신</t>
        </r>
      </text>
    </comment>
    <comment ref="J57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김현우
</t>
        </r>
      </text>
    </comment>
    <comment ref="J61" authorId="0" shapeId="0">
      <text>
        <r>
          <rPr>
            <b/>
            <sz val="9"/>
            <color indexed="81"/>
            <rFont val="Tahoma"/>
            <family val="2"/>
          </rPr>
          <t>2-3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예상
</t>
        </r>
      </text>
    </comment>
    <comment ref="H63" authorId="0" shapeId="0">
      <text>
        <r>
          <rPr>
            <b/>
            <sz val="9"/>
            <color indexed="81"/>
            <rFont val="돋움"/>
            <family val="3"/>
            <charset val="129"/>
          </rPr>
          <t>오전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그물망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
오후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그물망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</text>
    </comment>
    <comment ref="J63" authorId="0" shapeId="0">
      <text>
        <r>
          <rPr>
            <b/>
            <sz val="9"/>
            <color indexed="81"/>
            <rFont val="돋움"/>
            <family val="3"/>
            <charset val="129"/>
          </rPr>
          <t>김현우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(8585),</t>
        </r>
        <r>
          <rPr>
            <b/>
            <sz val="9"/>
            <color indexed="81"/>
            <rFont val="돋움"/>
            <family val="3"/>
            <charset val="129"/>
          </rPr>
          <t>천상욱</t>
        </r>
      </text>
    </comment>
    <comment ref="H64" authorId="0" shapeId="0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명판</t>
        </r>
        <r>
          <rPr>
            <b/>
            <sz val="9"/>
            <color indexed="81"/>
            <rFont val="Tahoma"/>
            <family val="2"/>
          </rPr>
          <t>,ROPE,</t>
        </r>
        <r>
          <rPr>
            <b/>
            <sz val="9"/>
            <color indexed="81"/>
            <rFont val="돋움"/>
            <family val="3"/>
            <charset val="129"/>
          </rPr>
          <t>용접기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H66" authorId="0" shapeId="0">
      <text>
        <r>
          <rPr>
            <b/>
            <sz val="9"/>
            <color indexed="81"/>
            <rFont val="Tahoma"/>
            <family val="2"/>
          </rPr>
          <t xml:space="preserve">LUG 2EA </t>
        </r>
        <r>
          <rPr>
            <b/>
            <sz val="9"/>
            <color indexed="81"/>
            <rFont val="돋움"/>
            <family val="3"/>
            <charset val="129"/>
          </rPr>
          <t>챙기기</t>
        </r>
      </text>
    </comment>
    <comment ref="J66" authorId="0" shapeId="0">
      <text>
        <r>
          <rPr>
            <b/>
            <sz val="9"/>
            <color indexed="81"/>
            <rFont val="돋움"/>
            <family val="3"/>
            <charset val="129"/>
          </rPr>
          <t>김현우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천상욱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김유신</t>
        </r>
      </text>
    </comment>
    <comment ref="H67" authorId="0" shapeId="0">
      <text>
        <r>
          <rPr>
            <b/>
            <sz val="9"/>
            <color indexed="81"/>
            <rFont val="Tahoma"/>
            <family val="2"/>
          </rPr>
          <t xml:space="preserve">DSME-7060-ROVL 
</t>
        </r>
        <r>
          <rPr>
            <b/>
            <sz val="9"/>
            <color indexed="81"/>
            <rFont val="돋움"/>
            <family val="3"/>
            <charset val="129"/>
          </rPr>
          <t>격납시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고정시키는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장치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락킹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센서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두개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고장남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교체필요
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삼발이</t>
        </r>
        <r>
          <rPr>
            <b/>
            <sz val="9"/>
            <color indexed="81"/>
            <rFont val="Tahoma"/>
            <family val="2"/>
          </rPr>
          <t>,PIPE-3</t>
        </r>
        <r>
          <rPr>
            <b/>
            <sz val="9"/>
            <color indexed="81"/>
            <rFont val="돋움"/>
            <family val="3"/>
            <charset val="129"/>
          </rPr>
          <t>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토르크리미트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고정핀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67" authorId="0" shapeId="0">
      <text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30서8378 모닝
은색 / 블랙박스 X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최재호
252라6355</t>
        </r>
      </text>
    </comment>
    <comment ref="O67" authorId="0" shapeId="0">
      <text>
        <r>
          <rPr>
            <b/>
            <sz val="9"/>
            <color indexed="81"/>
            <rFont val="돋움"/>
            <family val="3"/>
            <charset val="129"/>
          </rPr>
          <t>이범수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상사</t>
        </r>
        <r>
          <rPr>
            <b/>
            <sz val="9"/>
            <color indexed="81"/>
            <rFont val="Tahoma"/>
            <family val="2"/>
          </rPr>
          <t xml:space="preserve"> ROVL </t>
        </r>
        <r>
          <rPr>
            <b/>
            <sz val="9"/>
            <color indexed="81"/>
            <rFont val="돋움"/>
            <family val="3"/>
            <charset val="129"/>
          </rPr>
          <t>담당</t>
        </r>
      </text>
    </comment>
    <comment ref="H70" authorId="0" shapeId="0">
      <text>
        <r>
          <rPr>
            <b/>
            <sz val="9"/>
            <color indexed="81"/>
            <rFont val="Tahoma"/>
            <family val="2"/>
          </rPr>
          <t xml:space="preserve">DSME-7060-ROVL 
</t>
        </r>
        <r>
          <rPr>
            <b/>
            <sz val="9"/>
            <color indexed="81"/>
            <rFont val="돋움"/>
            <family val="3"/>
            <charset val="129"/>
          </rPr>
          <t>격납시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고정시키는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장치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락킹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센서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두개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고장남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교체필요
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삼발이</t>
        </r>
        <r>
          <rPr>
            <b/>
            <sz val="9"/>
            <color indexed="81"/>
            <rFont val="Tahoma"/>
            <family val="2"/>
          </rPr>
          <t>,PIPE-3</t>
        </r>
        <r>
          <rPr>
            <b/>
            <sz val="9"/>
            <color indexed="81"/>
            <rFont val="돋움"/>
            <family val="3"/>
            <charset val="129"/>
          </rPr>
          <t>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토르크리미트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고정핀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70" authorId="0" shapeId="0">
      <text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30서8378 모닝
은색 / 블랙박스 X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최재호
252라6355</t>
        </r>
      </text>
    </comment>
    <comment ref="O70" authorId="0" shapeId="0">
      <text>
        <r>
          <rPr>
            <b/>
            <sz val="9"/>
            <color indexed="81"/>
            <rFont val="돋움"/>
            <family val="3"/>
            <charset val="129"/>
          </rPr>
          <t>이범수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상사</t>
        </r>
        <r>
          <rPr>
            <b/>
            <sz val="9"/>
            <color indexed="81"/>
            <rFont val="Tahoma"/>
            <family val="2"/>
          </rPr>
          <t xml:space="preserve"> ROVL </t>
        </r>
        <r>
          <rPr>
            <b/>
            <sz val="9"/>
            <color indexed="81"/>
            <rFont val="돋움"/>
            <family val="3"/>
            <charset val="129"/>
          </rPr>
          <t>담당</t>
        </r>
      </text>
    </comment>
    <comment ref="O72" authorId="0" shapeId="0">
      <text>
        <r>
          <rPr>
            <b/>
            <sz val="9"/>
            <color indexed="81"/>
            <rFont val="Tahoma"/>
            <family val="2"/>
          </rPr>
          <t xml:space="preserve">RD </t>
        </r>
        <r>
          <rPr>
            <b/>
            <sz val="9"/>
            <color indexed="81"/>
            <rFont val="돋움"/>
            <family val="3"/>
            <charset val="129"/>
          </rPr>
          <t>명판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류지환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매니저</t>
        </r>
        <r>
          <rPr>
            <b/>
            <sz val="9"/>
            <color indexed="81"/>
            <rFont val="Tahoma"/>
            <family val="2"/>
          </rPr>
          <t xml:space="preserve"> 010-3502-9825
</t>
        </r>
        <r>
          <rPr>
            <b/>
            <sz val="9"/>
            <color indexed="81"/>
            <rFont val="돋움"/>
            <family val="3"/>
            <charset val="129"/>
          </rPr>
          <t>출입신청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서류확인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레포트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</text>
    </comment>
    <comment ref="E77" authorId="0" shapeId="0">
      <text>
        <r>
          <rPr>
            <b/>
            <sz val="9"/>
            <color indexed="81"/>
            <rFont val="돋움"/>
            <family val="3"/>
            <charset val="129"/>
          </rPr>
          <t>서귀포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최남단관
화순중앙로</t>
        </r>
        <r>
          <rPr>
            <b/>
            <sz val="9"/>
            <color indexed="81"/>
            <rFont val="Tahoma"/>
            <family val="2"/>
          </rPr>
          <t>124</t>
        </r>
        <r>
          <rPr>
            <b/>
            <sz val="9"/>
            <color indexed="81"/>
            <rFont val="돋움"/>
            <family val="3"/>
            <charset val="129"/>
          </rPr>
          <t>번길</t>
        </r>
        <r>
          <rPr>
            <b/>
            <sz val="9"/>
            <color indexed="81"/>
            <rFont val="Tahoma"/>
            <family val="2"/>
          </rPr>
          <t xml:space="preserve"> 43
</t>
        </r>
      </text>
    </comment>
    <comment ref="J77" authorId="0" shapeId="0">
      <text>
        <r>
          <rPr>
            <b/>
            <sz val="9"/>
            <color indexed="81"/>
            <rFont val="돋움"/>
            <family val="3"/>
            <charset val="129"/>
          </rPr>
          <t>박석진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박재규</t>
        </r>
      </text>
    </comment>
    <comment ref="J80" authorId="0" shapeId="0">
      <text>
        <r>
          <rPr>
            <b/>
            <sz val="9"/>
            <color indexed="81"/>
            <rFont val="돋움"/>
            <family val="3"/>
            <charset val="129"/>
          </rPr>
          <t>박석진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박재규</t>
        </r>
      </text>
    </comment>
    <comment ref="H81" authorId="0" shapeId="0">
      <text>
        <r>
          <rPr>
            <b/>
            <sz val="9"/>
            <color indexed="81"/>
            <rFont val="돋움"/>
            <family val="3"/>
            <charset val="129"/>
          </rPr>
          <t>명판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서한교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주임님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가지고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
출입신청번호</t>
        </r>
        <r>
          <rPr>
            <b/>
            <sz val="9"/>
            <color indexed="81"/>
            <rFont val="Tahoma"/>
            <family val="2"/>
          </rPr>
          <t>: #REQ-20260127-002</t>
        </r>
      </text>
    </comment>
    <comment ref="O81" authorId="0" shapeId="0">
      <text>
        <r>
          <rPr>
            <b/>
            <sz val="9"/>
            <color indexed="81"/>
            <rFont val="돋움"/>
            <family val="3"/>
            <charset val="129"/>
          </rPr>
          <t>출입신청</t>
        </r>
        <r>
          <rPr>
            <b/>
            <sz val="9"/>
            <color indexed="81"/>
            <rFont val="Tahoma"/>
            <family val="2"/>
          </rPr>
          <t xml:space="preserve"> site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신청완료</t>
        </r>
      </text>
    </comment>
    <comment ref="J82" authorId="0" shapeId="0">
      <text>
        <r>
          <rPr>
            <b/>
            <sz val="9"/>
            <color indexed="81"/>
            <rFont val="돋움"/>
            <family val="3"/>
            <charset val="129"/>
          </rPr>
          <t>인원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차량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확인하기
권용연</t>
        </r>
        <r>
          <rPr>
            <b/>
            <sz val="9"/>
            <color indexed="81"/>
            <rFont val="Tahoma"/>
            <family val="2"/>
          </rPr>
          <t xml:space="preserve"> , </t>
        </r>
        <r>
          <rPr>
            <b/>
            <sz val="9"/>
            <color indexed="81"/>
            <rFont val="돋움"/>
            <family val="3"/>
            <charset val="129"/>
          </rPr>
          <t>한상준</t>
        </r>
        <r>
          <rPr>
            <b/>
            <sz val="9"/>
            <color indexed="81"/>
            <rFont val="Tahoma"/>
            <family val="2"/>
          </rPr>
          <t xml:space="preserve"> 0676</t>
        </r>
      </text>
    </comment>
    <comment ref="I86" authorId="0" shapeId="0">
      <text>
        <r>
          <rPr>
            <b/>
            <sz val="9"/>
            <color indexed="81"/>
            <rFont val="돋움"/>
            <family val="3"/>
            <charset val="129"/>
          </rPr>
          <t>인적사항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전달완료</t>
        </r>
      </text>
    </comment>
    <comment ref="H88" authorId="0" shapeId="0">
      <text>
        <r>
          <rPr>
            <b/>
            <sz val="9"/>
            <color indexed="81"/>
            <rFont val="돋움"/>
            <family val="3"/>
            <charset val="129"/>
          </rPr>
          <t>삼강</t>
        </r>
        <r>
          <rPr>
            <b/>
            <sz val="9"/>
            <color indexed="81"/>
            <rFont val="Tahoma"/>
            <family val="2"/>
          </rPr>
          <t xml:space="preserve"> S&amp;C</t>
        </r>
      </text>
    </comment>
    <comment ref="J88" authorId="0" shapeId="0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이사님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교육신청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</text>
    </comment>
    <comment ref="J93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I94" authorId="0" shapeId="0">
      <text>
        <r>
          <rPr>
            <b/>
            <sz val="9"/>
            <color indexed="81"/>
            <rFont val="Tahoma"/>
            <family val="2"/>
          </rPr>
          <t>86</t>
        </r>
        <r>
          <rPr>
            <b/>
            <sz val="9"/>
            <color indexed="81"/>
            <rFont val="돋움"/>
            <family val="3"/>
            <charset val="129"/>
          </rPr>
          <t>어</t>
        </r>
        <r>
          <rPr>
            <b/>
            <sz val="9"/>
            <color indexed="81"/>
            <rFont val="Tahoma"/>
            <family val="2"/>
          </rPr>
          <t>0160</t>
        </r>
      </text>
    </comment>
    <comment ref="J95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I96" authorId="0" shapeId="0">
      <text>
        <r>
          <rPr>
            <b/>
            <sz val="9"/>
            <color indexed="81"/>
            <rFont val="돋움"/>
            <family val="3"/>
            <charset val="129"/>
          </rPr>
          <t>출입신청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
이상기전무님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이상명이사님</t>
        </r>
        <r>
          <rPr>
            <b/>
            <sz val="9"/>
            <color indexed="81"/>
            <rFont val="Tahoma"/>
            <family val="2"/>
          </rPr>
          <t xml:space="preserve">,
</t>
        </r>
        <r>
          <rPr>
            <b/>
            <sz val="9"/>
            <color indexed="81"/>
            <rFont val="돋움"/>
            <family val="3"/>
            <charset val="129"/>
          </rPr>
          <t>전광진부장님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출입신청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</text>
    </comment>
    <comment ref="J99" authorId="0" shapeId="0">
      <text>
        <r>
          <rPr>
            <b/>
            <sz val="9"/>
            <color indexed="81"/>
            <rFont val="Tahoma"/>
            <family val="2"/>
          </rPr>
          <t>2461</t>
        </r>
        <r>
          <rPr>
            <b/>
            <sz val="9"/>
            <color indexed="81"/>
            <rFont val="돋움"/>
            <family val="3"/>
            <charset val="129"/>
          </rPr>
          <t xml:space="preserve">
이재원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정지훈
</t>
        </r>
      </text>
    </comment>
    <comment ref="J100" authorId="0" shapeId="0">
      <text>
        <r>
          <rPr>
            <b/>
            <sz val="9"/>
            <color indexed="81"/>
            <rFont val="Tahoma"/>
            <family val="2"/>
          </rPr>
          <t>2461</t>
        </r>
        <r>
          <rPr>
            <b/>
            <sz val="9"/>
            <color indexed="81"/>
            <rFont val="돋움"/>
            <family val="3"/>
            <charset val="129"/>
          </rPr>
          <t xml:space="preserve">
이재원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정지훈
정지훈씨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교육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  <comment ref="J101" authorId="0" shapeId="0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이사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서영우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별도로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출입신청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하신다고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:</t>
        </r>
        <r>
          <rPr>
            <b/>
            <sz val="9"/>
            <color indexed="81"/>
            <rFont val="돋움"/>
            <family val="3"/>
            <charset val="129"/>
          </rPr>
          <t>박성용기장님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최병경이사님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J102" authorId="0" shapeId="0">
      <text>
        <r>
          <rPr>
            <b/>
            <sz val="9"/>
            <color indexed="81"/>
            <rFont val="돋움"/>
            <family val="3"/>
            <charset val="129"/>
          </rPr>
          <t>?</t>
        </r>
      </text>
    </comment>
    <comment ref="H104" authorId="0" shapeId="0">
      <text>
        <r>
          <rPr>
            <b/>
            <sz val="9"/>
            <color indexed="81"/>
            <rFont val="Tahoma"/>
            <family val="2"/>
          </rPr>
          <t xml:space="preserve">RB </t>
        </r>
        <r>
          <rPr>
            <b/>
            <sz val="9"/>
            <color indexed="81"/>
            <rFont val="돋움"/>
            <family val="3"/>
            <charset val="129"/>
          </rPr>
          <t>커미셔닝은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진행예정</t>
        </r>
      </text>
    </comment>
    <comment ref="J104" authorId="0" shapeId="0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이사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김유신
김유신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반장님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교육</t>
        </r>
      </text>
    </comment>
    <comment ref="J105" authorId="0" shapeId="0">
      <text>
        <r>
          <rPr>
            <b/>
            <sz val="9"/>
            <color indexed="81"/>
            <rFont val="돋움"/>
            <family val="3"/>
            <charset val="129"/>
          </rPr>
          <t>박용웅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박석진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박재규</t>
        </r>
      </text>
    </comment>
    <comment ref="H107" authorId="0" shapeId="0">
      <text>
        <r>
          <rPr>
            <b/>
            <sz val="9"/>
            <color indexed="81"/>
            <rFont val="Tahoma"/>
            <family val="2"/>
          </rPr>
          <t xml:space="preserve">RB </t>
        </r>
        <r>
          <rPr>
            <b/>
            <sz val="9"/>
            <color indexed="81"/>
            <rFont val="돋움"/>
            <family val="3"/>
            <charset val="129"/>
          </rPr>
          <t>커미셔닝은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진행예정</t>
        </r>
      </text>
    </comment>
    <comment ref="J109" authorId="0" shapeId="0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이사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권용연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전무님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천상욱반장님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12" authorId="0" shapeId="0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이사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권용연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전무님</t>
        </r>
      </text>
    </comment>
    <comment ref="J113" authorId="0" shapeId="0">
      <text>
        <r>
          <rPr>
            <b/>
            <sz val="9"/>
            <color indexed="81"/>
            <rFont val="돋움"/>
            <family val="3"/>
            <charset val="129"/>
          </rPr>
          <t>신상훈</t>
        </r>
      </text>
    </comment>
    <comment ref="J114" authorId="0" shapeId="0">
      <text>
        <r>
          <rPr>
            <b/>
            <sz val="9"/>
            <color indexed="81"/>
            <rFont val="돋움"/>
            <family val="3"/>
            <charset val="129"/>
          </rPr>
          <t>권용연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전무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한상준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이사</t>
        </r>
      </text>
    </comment>
    <comment ref="J116" authorId="0" shapeId="0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이사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권용연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전무님</t>
        </r>
      </text>
    </comment>
    <comment ref="J118" authorId="0" shapeId="0">
      <text>
        <r>
          <rPr>
            <b/>
            <sz val="9"/>
            <color indexed="81"/>
            <rFont val="돋움"/>
            <family val="3"/>
            <charset val="129"/>
          </rPr>
          <t>신상훈</t>
        </r>
      </text>
    </comment>
    <comment ref="H122" authorId="0" shapeId="0">
      <text>
        <r>
          <rPr>
            <b/>
            <sz val="9"/>
            <color indexed="81"/>
            <rFont val="돋움"/>
            <family val="3"/>
            <charset val="129"/>
          </rPr>
          <t>고무패드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8EA
pulley : 4ea(</t>
        </r>
        <r>
          <rPr>
            <b/>
            <sz val="9"/>
            <color indexed="81"/>
            <rFont val="돋움"/>
            <family val="3"/>
            <charset val="129"/>
          </rPr>
          <t>입고</t>
        </r>
        <r>
          <rPr>
            <b/>
            <sz val="9"/>
            <color indexed="81"/>
            <rFont val="Tahoma"/>
            <family val="2"/>
          </rPr>
          <t>)
bearing : 8ea
spacer : 2ea(</t>
        </r>
        <r>
          <rPr>
            <b/>
            <sz val="9"/>
            <color indexed="81"/>
            <rFont val="돋움"/>
            <family val="3"/>
            <charset val="129"/>
          </rPr>
          <t>입고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TEFLON BUSH : 2/9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제작완료</t>
        </r>
      </text>
    </comment>
    <comment ref="J122" authorId="0" shapeId="0">
      <text>
        <r>
          <rPr>
            <sz val="9"/>
            <color indexed="81"/>
            <rFont val="돋움"/>
            <family val="3"/>
            <charset val="129"/>
          </rPr>
          <t>김유신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천상욱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김동명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박재규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박용웅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박석진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신종욱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오태호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22" authorId="0" shapeId="0">
      <text>
        <r>
          <rPr>
            <b/>
            <sz val="9"/>
            <color indexed="81"/>
            <rFont val="돋움"/>
            <family val="3"/>
            <charset val="129"/>
          </rPr>
          <t>박주성</t>
        </r>
        <r>
          <rPr>
            <b/>
            <sz val="9"/>
            <color indexed="81"/>
            <rFont val="Tahoma"/>
            <family val="2"/>
          </rPr>
          <t xml:space="preserve"> 9080
</t>
        </r>
        <r>
          <rPr>
            <b/>
            <sz val="9"/>
            <color indexed="81"/>
            <rFont val="돋움"/>
            <family val="3"/>
            <charset val="129"/>
          </rPr>
          <t>신종욱</t>
        </r>
        <r>
          <rPr>
            <b/>
            <sz val="9"/>
            <color indexed="81"/>
            <rFont val="Tahoma"/>
            <family val="2"/>
          </rPr>
          <t xml:space="preserve"> 0160</t>
        </r>
      </text>
    </comment>
    <comment ref="J134" authorId="0" shapeId="0">
      <text>
        <r>
          <rPr>
            <sz val="9"/>
            <color indexed="81"/>
            <rFont val="돋움"/>
            <family val="3"/>
            <charset val="129"/>
          </rPr>
          <t>최병경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이사님</t>
        </r>
        <r>
          <rPr>
            <sz val="9"/>
            <color indexed="81"/>
            <rFont val="Tahoma"/>
            <family val="2"/>
          </rPr>
          <t xml:space="preserve"> or </t>
        </r>
        <r>
          <rPr>
            <sz val="9"/>
            <color indexed="81"/>
            <rFont val="돋움"/>
            <family val="3"/>
            <charset val="129"/>
          </rPr>
          <t>권용연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전무님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34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리프트카 사용 요청 완료
</t>
        </r>
      </text>
    </comment>
    <comment ref="H135" authorId="0" shapeId="0">
      <text>
        <r>
          <rPr>
            <b/>
            <sz val="9"/>
            <color indexed="81"/>
            <rFont val="돋움"/>
            <family val="3"/>
            <charset val="129"/>
          </rPr>
          <t>월요일에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전광진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  <comment ref="J141" authorId="0" shapeId="0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권용연
</t>
        </r>
        <r>
          <rPr>
            <b/>
            <sz val="9"/>
            <color indexed="81"/>
            <rFont val="Tahoma"/>
            <family val="2"/>
          </rPr>
          <t xml:space="preserve">/ </t>
        </r>
        <r>
          <rPr>
            <b/>
            <sz val="9"/>
            <color indexed="81"/>
            <rFont val="돋움"/>
            <family val="3"/>
            <charset val="129"/>
          </rPr>
          <t>별도로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발주서가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있음</t>
        </r>
      </text>
    </comment>
    <comment ref="J143" authorId="0" shapeId="0">
      <text>
        <r>
          <rPr>
            <b/>
            <sz val="9"/>
            <color indexed="81"/>
            <rFont val="돋움"/>
            <family val="3"/>
            <charset val="129"/>
          </rPr>
          <t>최병경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44" authorId="0" shapeId="0">
      <text>
        <r>
          <rPr>
            <b/>
            <sz val="9"/>
            <color indexed="81"/>
            <rFont val="Tahoma"/>
            <family val="2"/>
          </rPr>
          <t>PE,RUBBER,12T</t>
        </r>
        <r>
          <rPr>
            <b/>
            <sz val="9"/>
            <color indexed="81"/>
            <rFont val="돋움"/>
            <family val="3"/>
            <charset val="129"/>
          </rPr>
          <t>팩킹</t>
        </r>
        <r>
          <rPr>
            <b/>
            <sz val="9"/>
            <color indexed="81"/>
            <rFont val="Tahoma"/>
            <family val="2"/>
          </rPr>
          <t xml:space="preserve">,BOLT,Report </t>
        </r>
        <r>
          <rPr>
            <b/>
            <sz val="9"/>
            <color indexed="81"/>
            <rFont val="돋움"/>
            <family val="3"/>
            <charset val="129"/>
          </rPr>
          <t>챙겨드림</t>
        </r>
      </text>
    </comment>
    <comment ref="H146" authorId="0" shapeId="0">
      <text>
        <r>
          <rPr>
            <b/>
            <sz val="9"/>
            <color indexed="81"/>
            <rFont val="Tahoma"/>
            <family val="2"/>
          </rPr>
          <t xml:space="preserve">1.M56/M58 BOLT 
</t>
        </r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>20</t>
        </r>
        <r>
          <rPr>
            <b/>
            <sz val="9"/>
            <color indexed="81"/>
            <rFont val="돋움"/>
            <family val="3"/>
            <charset val="129"/>
          </rPr>
          <t>개씩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가져가기
</t>
        </r>
        <r>
          <rPr>
            <b/>
            <sz val="9"/>
            <color indexed="81"/>
            <rFont val="Tahoma"/>
            <family val="2"/>
          </rPr>
          <t>2.</t>
        </r>
        <r>
          <rPr>
            <b/>
            <sz val="9"/>
            <color indexed="81"/>
            <rFont val="돋움"/>
            <family val="3"/>
            <charset val="129"/>
          </rPr>
          <t>리무버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챙겨가기</t>
        </r>
      </text>
    </comment>
    <comment ref="H150" authorId="0" shapeId="0">
      <text>
        <r>
          <rPr>
            <b/>
            <sz val="9"/>
            <color indexed="81"/>
            <rFont val="Tahoma"/>
            <family val="2"/>
          </rPr>
          <t>P169</t>
        </r>
        <r>
          <rPr>
            <b/>
            <sz val="9"/>
            <color indexed="81"/>
            <rFont val="돋움"/>
            <family val="3"/>
            <charset val="129"/>
          </rPr>
          <t>호선은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23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) 14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월초까지</t>
        </r>
        <r>
          <rPr>
            <b/>
            <sz val="9"/>
            <color indexed="81"/>
            <rFont val="Tahoma"/>
            <family val="2"/>
          </rPr>
          <t xml:space="preserve"> J-4Q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정박공사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예정입니다</t>
        </r>
        <r>
          <rPr>
            <b/>
            <sz val="9"/>
            <color indexed="81"/>
            <rFont val="Tahoma"/>
            <family val="2"/>
          </rPr>
          <t>.
24(</t>
        </r>
        <r>
          <rPr>
            <b/>
            <sz val="9"/>
            <color indexed="81"/>
            <rFont val="돋움"/>
            <family val="3"/>
            <charset val="129"/>
          </rPr>
          <t>화</t>
        </r>
        <r>
          <rPr>
            <b/>
            <sz val="9"/>
            <color indexed="81"/>
            <rFont val="Tahoma"/>
            <family val="2"/>
          </rPr>
          <t xml:space="preserve">)~ </t>
        </r>
        <r>
          <rPr>
            <b/>
            <sz val="9"/>
            <color indexed="81"/>
            <rFont val="돋움"/>
            <family val="3"/>
            <charset val="129"/>
          </rPr>
          <t>가능하신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인입식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패드아이</t>
        </r>
        <r>
          <rPr>
            <b/>
            <sz val="9"/>
            <color indexed="81"/>
            <rFont val="Tahoma"/>
            <family val="2"/>
          </rPr>
          <t xml:space="preserve"> STW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빌지센서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잡아주시면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됩니다</t>
        </r>
      </text>
    </comment>
    <comment ref="O150" authorId="0" shapeId="0">
      <text>
        <r>
          <rPr>
            <b/>
            <sz val="9"/>
            <color indexed="81"/>
            <rFont val="돋움"/>
            <family val="3"/>
            <charset val="129"/>
          </rPr>
          <t>빌지센서</t>
        </r>
        <r>
          <rPr>
            <b/>
            <sz val="9"/>
            <color indexed="81"/>
            <rFont val="Tahoma"/>
            <family val="2"/>
          </rPr>
          <t>,SEAT,PAINT,</t>
        </r>
        <r>
          <rPr>
            <b/>
            <sz val="9"/>
            <color indexed="81"/>
            <rFont val="돋움"/>
            <family val="3"/>
            <charset val="129"/>
          </rPr>
          <t>쇼바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쇼바</t>
        </r>
        <r>
          <rPr>
            <b/>
            <sz val="9"/>
            <color indexed="81"/>
            <rFont val="Tahoma"/>
            <family val="2"/>
          </rPr>
          <t>PL,</t>
        </r>
        <r>
          <rPr>
            <b/>
            <sz val="9"/>
            <color indexed="81"/>
            <rFont val="돋움"/>
            <family val="3"/>
            <charset val="129"/>
          </rPr>
          <t>가스농도측정기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현대요청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챙기기</t>
        </r>
      </text>
    </comment>
    <comment ref="J151" authorId="0" shapeId="0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예상
</t>
        </r>
      </text>
    </comment>
    <comment ref="J159" authorId="0" shapeId="0">
      <text>
        <r>
          <rPr>
            <b/>
            <sz val="9"/>
            <color indexed="81"/>
            <rFont val="돋움"/>
            <family val="3"/>
            <charset val="129"/>
          </rPr>
          <t>권용연,최병경
박주성</t>
        </r>
      </text>
    </comment>
    <comment ref="H163" authorId="0" shapeId="0">
      <text>
        <r>
          <rPr>
            <b/>
            <sz val="9"/>
            <color indexed="81"/>
            <rFont val="Tahoma"/>
            <family val="2"/>
          </rPr>
          <t xml:space="preserve">DSME-7060-ROVL 
</t>
        </r>
        <r>
          <rPr>
            <b/>
            <sz val="9"/>
            <color indexed="81"/>
            <rFont val="돋움"/>
            <family val="3"/>
            <charset val="129"/>
          </rPr>
          <t>격납시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고정시키는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장치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락킹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센서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두개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고장남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교체필요
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삼발이</t>
        </r>
        <r>
          <rPr>
            <b/>
            <sz val="9"/>
            <color indexed="81"/>
            <rFont val="Tahoma"/>
            <family val="2"/>
          </rPr>
          <t>,PIPE-3</t>
        </r>
        <r>
          <rPr>
            <b/>
            <sz val="9"/>
            <color indexed="81"/>
            <rFont val="돋움"/>
            <family val="3"/>
            <charset val="129"/>
          </rPr>
          <t>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토르크리미트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고정핀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163" authorId="0" shapeId="0">
      <text>
        <r>
          <rPr>
            <sz val="9"/>
            <color indexed="81"/>
            <rFont val="돋움"/>
            <family val="3"/>
            <charset val="129"/>
          </rPr>
          <t xml:space="preserve">유동현,정지훈 
8378
</t>
        </r>
        <r>
          <rPr>
            <b/>
            <sz val="9"/>
            <color indexed="81"/>
            <rFont val="돋움"/>
            <family val="3"/>
            <charset val="129"/>
          </rPr>
          <t>최재호
252라6355</t>
        </r>
      </text>
    </comment>
    <comment ref="E165" authorId="0" shapeId="0">
      <text>
        <r>
          <rPr>
            <b/>
            <sz val="9"/>
            <color indexed="81"/>
            <rFont val="돋움"/>
            <family val="3"/>
            <charset val="129"/>
          </rPr>
          <t>목포시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고하대로</t>
        </r>
        <r>
          <rPr>
            <b/>
            <sz val="9"/>
            <color indexed="81"/>
            <rFont val="Tahoma"/>
            <family val="2"/>
          </rPr>
          <t xml:space="preserve"> 597</t>
        </r>
        <r>
          <rPr>
            <b/>
            <sz val="9"/>
            <color indexed="81"/>
            <rFont val="돋움"/>
            <family val="3"/>
            <charset val="129"/>
          </rPr>
          <t>번길</t>
        </r>
        <r>
          <rPr>
            <b/>
            <sz val="9"/>
            <color indexed="81"/>
            <rFont val="Tahoma"/>
            <family val="2"/>
          </rPr>
          <t xml:space="preserve"> 75-55
</t>
        </r>
        <r>
          <rPr>
            <b/>
            <sz val="9"/>
            <color indexed="81"/>
            <rFont val="돋움"/>
            <family val="3"/>
            <charset val="129"/>
          </rPr>
          <t>부두에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차단기가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도착시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연락요청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65" authorId="0" shapeId="0">
      <text>
        <r>
          <rPr>
            <b/>
            <sz val="9"/>
            <color indexed="81"/>
            <rFont val="돋움"/>
            <family val="3"/>
            <charset val="129"/>
          </rPr>
          <t>가야에서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항해사님께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전화로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알려준다고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유압유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예열기</t>
        </r>
        <r>
          <rPr>
            <b/>
            <sz val="9"/>
            <color indexed="81"/>
            <rFont val="Tahoma"/>
            <family val="2"/>
          </rPr>
          <t xml:space="preserve"> 15</t>
        </r>
        <r>
          <rPr>
            <b/>
            <sz val="9"/>
            <color indexed="81"/>
            <rFont val="돋움"/>
            <family val="3"/>
            <charset val="129"/>
          </rPr>
          <t>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간격으로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꺼짐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켜짐</t>
        </r>
        <r>
          <rPr>
            <b/>
            <sz val="9"/>
            <color indexed="81"/>
            <rFont val="Tahoma"/>
            <family val="2"/>
          </rPr>
          <t xml:space="preserve">) : </t>
        </r>
        <r>
          <rPr>
            <b/>
            <sz val="9"/>
            <color indexed="81"/>
            <rFont val="돋움"/>
            <family val="3"/>
            <charset val="129"/>
          </rPr>
          <t>처리완료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항해사님과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통화함</t>
        </r>
        <r>
          <rPr>
            <b/>
            <sz val="9"/>
            <color indexed="81"/>
            <rFont val="Tahoma"/>
            <family val="2"/>
          </rPr>
          <t>12/17)
12T</t>
        </r>
        <r>
          <rPr>
            <b/>
            <sz val="9"/>
            <color indexed="81"/>
            <rFont val="돋움"/>
            <family val="3"/>
            <charset val="129"/>
          </rPr>
          <t>팩킹</t>
        </r>
        <r>
          <rPr>
            <b/>
            <sz val="9"/>
            <color indexed="81"/>
            <rFont val="Tahoma"/>
            <family val="2"/>
          </rPr>
          <t>,DOCKING LEG RUBBER(EPDM) -4EA,FENDER - 4EA(</t>
        </r>
        <r>
          <rPr>
            <b/>
            <sz val="9"/>
            <color indexed="81"/>
            <rFont val="돋움"/>
            <family val="3"/>
            <charset val="129"/>
          </rPr>
          <t>좌</t>
        </r>
        <r>
          <rPr>
            <b/>
            <sz val="9"/>
            <color indexed="81"/>
            <rFont val="Tahoma"/>
            <family val="2"/>
          </rPr>
          <t>.</t>
        </r>
        <r>
          <rPr>
            <b/>
            <sz val="9"/>
            <color indexed="81"/>
            <rFont val="돋움"/>
            <family val="3"/>
            <charset val="129"/>
          </rPr>
          <t>우현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167" authorId="1" shapeId="0">
      <text>
        <r>
          <rPr>
            <b/>
            <sz val="9"/>
            <color indexed="81"/>
            <rFont val="돋움"/>
            <family val="3"/>
            <charset val="129"/>
          </rPr>
          <t>백광덕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오태호</t>
        </r>
      </text>
    </comment>
    <comment ref="H172" authorId="0" shapeId="0">
      <text>
        <r>
          <rPr>
            <b/>
            <sz val="9"/>
            <color indexed="81"/>
            <rFont val="돋움"/>
            <family val="3"/>
            <charset val="129"/>
          </rPr>
          <t>신한전자 점검인지 해결인지 별도로 확인해야함</t>
        </r>
      </text>
    </comment>
    <comment ref="J172" authorId="0" shapeId="0">
      <text>
        <r>
          <rPr>
            <b/>
            <sz val="9"/>
            <color indexed="81"/>
            <rFont val="돋움"/>
            <family val="3"/>
            <charset val="129"/>
          </rPr>
          <t>정수용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차장님
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천상욱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김동명
김현우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박성용</t>
        </r>
      </text>
    </comment>
    <comment ref="J175" authorId="1" shapeId="0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유동현</t>
        </r>
        <r>
          <rPr>
            <b/>
            <sz val="9"/>
            <color indexed="81"/>
            <rFont val="Tahoma"/>
            <family val="2"/>
          </rPr>
          <t xml:space="preserve"> 6556</t>
        </r>
      </text>
    </comment>
    <comment ref="E176" authorId="1" shapeId="0">
      <text>
        <r>
          <rPr>
            <b/>
            <sz val="9"/>
            <color indexed="81"/>
            <rFont val="돋움"/>
            <family val="3"/>
            <charset val="129"/>
          </rPr>
          <t>해양로</t>
        </r>
        <r>
          <rPr>
            <b/>
            <sz val="9"/>
            <color indexed="81"/>
            <rFont val="Tahoma"/>
            <family val="2"/>
          </rPr>
          <t xml:space="preserve"> 293 </t>
        </r>
        <r>
          <rPr>
            <b/>
            <sz val="9"/>
            <color indexed="81"/>
            <rFont val="돋움"/>
            <family val="3"/>
            <charset val="129"/>
          </rPr>
          <t>해양경찰서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동삼동</t>
        </r>
        <r>
          <rPr>
            <b/>
            <sz val="9"/>
            <color indexed="81"/>
            <rFont val="Tahoma"/>
            <family val="2"/>
          </rPr>
          <t xml:space="preserve"> 1149</t>
        </r>
      </text>
    </comment>
    <comment ref="F178" authorId="1" shapeId="0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출입신청은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초소에서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출입증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됩니다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H178" authorId="0" shapeId="0">
      <text>
        <r>
          <rPr>
            <b/>
            <sz val="9"/>
            <color indexed="81"/>
            <rFont val="Tahoma"/>
            <family val="2"/>
          </rPr>
          <t>12T</t>
        </r>
        <r>
          <rPr>
            <b/>
            <sz val="9"/>
            <color indexed="81"/>
            <rFont val="돋움"/>
            <family val="3"/>
            <charset val="129"/>
          </rPr>
          <t>팩킹</t>
        </r>
        <r>
          <rPr>
            <b/>
            <sz val="9"/>
            <color indexed="81"/>
            <rFont val="Tahoma"/>
            <family val="2"/>
          </rPr>
          <t>,DOCKING LEG RUBBER(EPDM) -4EA,</t>
        </r>
        <r>
          <rPr>
            <b/>
            <sz val="9"/>
            <color indexed="81"/>
            <rFont val="돋움"/>
            <family val="3"/>
            <charset val="129"/>
          </rPr>
          <t>그라인더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J181" authorId="1" shapeId="0">
      <text>
        <r>
          <rPr>
            <b/>
            <sz val="9"/>
            <color indexed="81"/>
            <rFont val="돋움"/>
            <family val="3"/>
            <charset val="129"/>
          </rPr>
          <t>오태호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천상욱
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I1001" authorId="0" shapeId="0">
      <text>
        <r>
          <rPr>
            <b/>
            <sz val="9"/>
            <color indexed="81"/>
            <rFont val="돋움"/>
            <family val="3"/>
            <charset val="129"/>
          </rPr>
          <t>모터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결선해체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파운데이션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볼트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해체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크레인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준비</t>
        </r>
      </text>
    </comment>
    <comment ref="G1021" authorId="0" shapeId="0">
      <text>
        <r>
          <rPr>
            <b/>
            <sz val="9"/>
            <color indexed="81"/>
            <rFont val="Tahoma"/>
            <family val="2"/>
          </rPr>
          <t>HGS-1810-MR-SP1</t>
        </r>
      </text>
    </comment>
    <comment ref="K1042" authorId="0" shapeId="0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</text>
    </comment>
    <comment ref="I1044" authorId="0" shapeId="0">
      <text>
        <r>
          <rPr>
            <b/>
            <sz val="9"/>
            <color indexed="81"/>
            <rFont val="돋움"/>
            <family val="3"/>
            <charset val="129"/>
          </rPr>
          <t>구매요구서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박부장님이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</text>
    </comment>
    <comment ref="K1045" authorId="0" shapeId="0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유동현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이재원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>-1</t>
        </r>
        <r>
          <rPr>
            <b/>
            <sz val="9"/>
            <color indexed="81"/>
            <rFont val="돋움"/>
            <family val="3"/>
            <charset val="129"/>
          </rPr>
          <t>년
강석중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신상훈</t>
        </r>
        <r>
          <rPr>
            <b/>
            <sz val="9"/>
            <color indexed="81"/>
            <rFont val="Tahoma"/>
            <family val="2"/>
          </rPr>
          <t>-3</t>
        </r>
        <r>
          <rPr>
            <b/>
            <sz val="9"/>
            <color indexed="81"/>
            <rFont val="돋움"/>
            <family val="3"/>
            <charset val="129"/>
          </rPr>
          <t xml:space="preserve">일
</t>
        </r>
      </text>
    </comment>
    <comment ref="K1046" authorId="0" shapeId="0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유동현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이재원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>-1</t>
        </r>
        <r>
          <rPr>
            <b/>
            <sz val="9"/>
            <color indexed="81"/>
            <rFont val="돋움"/>
            <family val="3"/>
            <charset val="129"/>
          </rPr>
          <t>년
강석중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신상훈</t>
        </r>
        <r>
          <rPr>
            <b/>
            <sz val="9"/>
            <color indexed="81"/>
            <rFont val="Tahoma"/>
            <family val="2"/>
          </rPr>
          <t>-3</t>
        </r>
        <r>
          <rPr>
            <b/>
            <sz val="9"/>
            <color indexed="81"/>
            <rFont val="돋움"/>
            <family val="3"/>
            <charset val="129"/>
          </rPr>
          <t xml:space="preserve">일
</t>
        </r>
      </text>
    </comment>
    <comment ref="K1047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장재민
</t>
        </r>
      </text>
    </comment>
    <comment ref="K1054" authorId="0" shapeId="0">
      <text>
        <r>
          <rPr>
            <b/>
            <sz val="9"/>
            <color indexed="81"/>
            <rFont val="돋움"/>
            <family val="3"/>
            <charset val="129"/>
          </rPr>
          <t>이준호</t>
        </r>
        <r>
          <rPr>
            <b/>
            <sz val="9"/>
            <color indexed="81"/>
            <rFont val="Tahoma"/>
            <family val="2"/>
          </rPr>
          <t xml:space="preserve"> - HIO
DST - </t>
        </r>
        <r>
          <rPr>
            <b/>
            <sz val="9"/>
            <color indexed="81"/>
            <rFont val="돋움"/>
            <family val="3"/>
            <charset val="129"/>
          </rPr>
          <t>신성훈</t>
        </r>
        <r>
          <rPr>
            <b/>
            <sz val="9"/>
            <color indexed="81"/>
            <rFont val="Tahoma"/>
            <family val="2"/>
          </rPr>
          <t>or</t>
        </r>
        <r>
          <rPr>
            <b/>
            <sz val="9"/>
            <color indexed="81"/>
            <rFont val="돋움"/>
            <family val="3"/>
            <charset val="129"/>
          </rPr>
          <t>강석중</t>
        </r>
      </text>
    </comment>
    <comment ref="K1055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최재호
</t>
        </r>
      </text>
    </comment>
    <comment ref="I1056" authorId="0" shapeId="0">
      <text>
        <r>
          <rPr>
            <b/>
            <sz val="9"/>
            <color indexed="81"/>
            <rFont val="돋움"/>
            <family val="3"/>
            <charset val="129"/>
          </rPr>
          <t>만약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전기쪽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나올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월요일에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들어가기로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 xml:space="preserve">(11/12)
</t>
        </r>
      </text>
    </comment>
    <comment ref="K1056" authorId="0" shapeId="0">
      <text>
        <r>
          <rPr>
            <b/>
            <sz val="9"/>
            <color indexed="81"/>
            <rFont val="돋움"/>
            <family val="3"/>
            <charset val="129"/>
          </rPr>
          <t>이준호</t>
        </r>
        <r>
          <rPr>
            <b/>
            <sz val="9"/>
            <color indexed="81"/>
            <rFont val="Tahoma"/>
            <family val="2"/>
          </rPr>
          <t xml:space="preserve"> - HIO
DST - </t>
        </r>
        <r>
          <rPr>
            <b/>
            <sz val="9"/>
            <color indexed="81"/>
            <rFont val="돋움"/>
            <family val="3"/>
            <charset val="129"/>
          </rPr>
          <t>신성훈</t>
        </r>
        <r>
          <rPr>
            <b/>
            <sz val="9"/>
            <color indexed="81"/>
            <rFont val="Tahoma"/>
            <family val="2"/>
          </rPr>
          <t>or</t>
        </r>
        <r>
          <rPr>
            <b/>
            <sz val="9"/>
            <color indexed="81"/>
            <rFont val="돋움"/>
            <family val="3"/>
            <charset val="129"/>
          </rPr>
          <t>강석중</t>
        </r>
      </text>
    </comment>
    <comment ref="I1058" authorId="0" shapeId="0">
      <text>
        <r>
          <rPr>
            <b/>
            <sz val="9"/>
            <color indexed="81"/>
            <rFont val="돋움"/>
            <family val="3"/>
            <charset val="129"/>
          </rPr>
          <t>만약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전기쪽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나올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월요일에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들어가기로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 xml:space="preserve">(11/12)
</t>
        </r>
      </text>
    </comment>
    <comment ref="K1058" authorId="0" shapeId="0">
      <text>
        <r>
          <rPr>
            <b/>
            <sz val="9"/>
            <color indexed="81"/>
            <rFont val="돋움"/>
            <family val="3"/>
            <charset val="129"/>
          </rPr>
          <t>이준호</t>
        </r>
        <r>
          <rPr>
            <b/>
            <sz val="9"/>
            <color indexed="81"/>
            <rFont val="Tahoma"/>
            <family val="2"/>
          </rPr>
          <t xml:space="preserve"> - HIO
DST - </t>
        </r>
        <r>
          <rPr>
            <b/>
            <sz val="9"/>
            <color indexed="81"/>
            <rFont val="돋움"/>
            <family val="3"/>
            <charset val="129"/>
          </rPr>
          <t>신성훈</t>
        </r>
        <r>
          <rPr>
            <b/>
            <sz val="9"/>
            <color indexed="81"/>
            <rFont val="Tahoma"/>
            <family val="2"/>
          </rPr>
          <t>or</t>
        </r>
        <r>
          <rPr>
            <b/>
            <sz val="9"/>
            <color indexed="81"/>
            <rFont val="돋움"/>
            <family val="3"/>
            <charset val="129"/>
          </rPr>
          <t>강석중</t>
        </r>
      </text>
    </comment>
    <comment ref="K1059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천상욱 : 차량신청하기
</t>
        </r>
      </text>
    </comment>
    <comment ref="K1060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김유신
</t>
        </r>
      </text>
    </comment>
    <comment ref="K1062" authorId="0" shapeId="0">
      <text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공장장님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주신다고함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출입신청하기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셀렉트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스위치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되었는지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확인하기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강석중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신상훈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고태용</t>
        </r>
        <r>
          <rPr>
            <b/>
            <sz val="9"/>
            <color indexed="81"/>
            <rFont val="Tahoma"/>
            <family val="2"/>
          </rPr>
          <t>(8604)</t>
        </r>
      </text>
    </comment>
    <comment ref="K1063" authorId="0" shapeId="0">
      <text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공장장님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주신다고함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출입신청하기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셀렉트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스위치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되었는지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확인하기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강석중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신상훈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고태용</t>
        </r>
        <r>
          <rPr>
            <b/>
            <sz val="9"/>
            <color indexed="81"/>
            <rFont val="Tahoma"/>
            <family val="2"/>
          </rPr>
          <t>(8604)</t>
        </r>
      </text>
    </comment>
    <comment ref="K1064" authorId="0" shapeId="0">
      <text>
        <r>
          <rPr>
            <b/>
            <sz val="9"/>
            <color indexed="81"/>
            <rFont val="돋움"/>
            <family val="3"/>
            <charset val="129"/>
          </rPr>
          <t>천상욱반장님
강석중,신상훈,고태용(8604)</t>
        </r>
      </text>
    </comment>
    <comment ref="K1065" authorId="0" shapeId="0">
      <text>
        <r>
          <rPr>
            <b/>
            <sz val="9"/>
            <color indexed="81"/>
            <rFont val="돋움"/>
            <family val="3"/>
            <charset val="129"/>
          </rPr>
          <t>천상욱반장님
강석중,신상훈,고태용(8604)</t>
        </r>
      </text>
    </comment>
    <comment ref="K1066" authorId="0" shapeId="0">
      <text>
        <r>
          <rPr>
            <b/>
            <sz val="9"/>
            <color indexed="81"/>
            <rFont val="돋움"/>
            <family val="3"/>
            <charset val="129"/>
          </rPr>
          <t>동아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K1067" authorId="0" shapeId="0">
      <text>
        <r>
          <rPr>
            <b/>
            <sz val="9"/>
            <color indexed="81"/>
            <rFont val="돋움"/>
            <family val="3"/>
            <charset val="129"/>
          </rPr>
          <t>동아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K1068" authorId="0" shapeId="0">
      <text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공장장님</t>
        </r>
      </text>
    </comment>
    <comment ref="K1070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
HIO-오태호반장님
출입신청하기
동아-최재호씨(2461):출입신청하기
</t>
        </r>
      </text>
    </comment>
    <comment ref="K1071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
HIO-오태호반장님
출입신청하기
동아-최재호씨(2461):출입신청하기
</t>
        </r>
      </text>
    </comment>
    <comment ref="K1075" authorId="0" shapeId="0">
      <text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김민호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김진수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김정웅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출입신청함
동아</t>
        </r>
        <r>
          <rPr>
            <b/>
            <sz val="9"/>
            <color indexed="81"/>
            <rFont val="Tahoma"/>
            <family val="2"/>
          </rPr>
          <t>:</t>
        </r>
        <r>
          <rPr>
            <b/>
            <sz val="9"/>
            <color indexed="81"/>
            <rFont val="돋움"/>
            <family val="3"/>
            <charset val="129"/>
          </rPr>
          <t xml:space="preserve">김용훈차장님
</t>
        </r>
      </text>
    </comment>
    <comment ref="K1076" authorId="0" shapeId="0">
      <text>
        <r>
          <rPr>
            <b/>
            <sz val="9"/>
            <color indexed="81"/>
            <rFont val="돋움"/>
            <family val="3"/>
            <charset val="129"/>
          </rPr>
          <t>정주석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주임</t>
        </r>
      </text>
    </comment>
    <comment ref="K1079" authorId="0" shapeId="0">
      <text>
        <r>
          <rPr>
            <b/>
            <sz val="9"/>
            <color indexed="81"/>
            <rFont val="돋움"/>
            <family val="3"/>
            <charset val="129"/>
          </rPr>
          <t>정주석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주임</t>
        </r>
      </text>
    </comment>
    <comment ref="K1083" authorId="0" shapeId="0">
      <text>
        <r>
          <rPr>
            <b/>
            <sz val="9"/>
            <color indexed="81"/>
            <rFont val="돋움"/>
            <family val="3"/>
            <charset val="129"/>
          </rPr>
          <t>신종욱</t>
        </r>
      </text>
    </comment>
    <comment ref="K1085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</text>
    </comment>
    <comment ref="K1086" authorId="0" shapeId="0">
      <text>
        <r>
          <rPr>
            <b/>
            <sz val="9"/>
            <color indexed="81"/>
            <rFont val="돋움"/>
            <family val="3"/>
            <charset val="129"/>
          </rPr>
          <t>김용훈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공장장님</t>
        </r>
      </text>
    </comment>
    <comment ref="K1087" authorId="0" shapeId="0">
      <text>
        <r>
          <rPr>
            <b/>
            <sz val="9"/>
            <color indexed="81"/>
            <rFont val="돋움"/>
            <family val="3"/>
            <charset val="129"/>
          </rPr>
          <t>이준호</t>
        </r>
      </text>
    </comment>
    <comment ref="K1088" authorId="0" shapeId="0">
      <text>
        <r>
          <rPr>
            <b/>
            <sz val="9"/>
            <color indexed="81"/>
            <rFont val="돋움"/>
            <family val="3"/>
            <charset val="129"/>
          </rPr>
          <t>담당자들에게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출입방법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공지하기
강석중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신상훈</t>
        </r>
      </text>
    </comment>
    <comment ref="K1089" authorId="0" shapeId="0">
      <text>
        <r>
          <rPr>
            <b/>
            <sz val="9"/>
            <color indexed="81"/>
            <rFont val="돋움"/>
            <family val="3"/>
            <charset val="129"/>
          </rPr>
          <t>담당자들에게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출입방법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공지하기
강석중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신상훈</t>
        </r>
      </text>
    </comment>
    <comment ref="K1104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</text>
    </comment>
    <comment ref="K1106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최재호
</t>
        </r>
      </text>
    </comment>
    <comment ref="K1109" authorId="0" shapeId="0">
      <text>
        <r>
          <rPr>
            <b/>
            <sz val="9"/>
            <color indexed="81"/>
            <rFont val="돋움"/>
            <family val="3"/>
            <charset val="129"/>
          </rPr>
          <t>신종욱</t>
        </r>
      </text>
    </comment>
    <comment ref="K1113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반장님</t>
        </r>
      </text>
    </comment>
    <comment ref="K1120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반장님
천상욱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반장님
최재호</t>
        </r>
        <r>
          <rPr>
            <b/>
            <sz val="9"/>
            <color indexed="81"/>
            <rFont val="Tahoma"/>
            <family val="2"/>
          </rPr>
          <t xml:space="preserve"> , </t>
        </r>
        <r>
          <rPr>
            <b/>
            <sz val="9"/>
            <color indexed="81"/>
            <rFont val="돋움"/>
            <family val="3"/>
            <charset val="129"/>
          </rPr>
          <t xml:space="preserve">이재원
</t>
        </r>
        <r>
          <rPr>
            <b/>
            <sz val="9"/>
            <color indexed="81"/>
            <rFont val="Tahoma"/>
            <family val="2"/>
          </rPr>
          <t>87</t>
        </r>
        <r>
          <rPr>
            <b/>
            <sz val="9"/>
            <color indexed="81"/>
            <rFont val="돋움"/>
            <family val="3"/>
            <charset val="129"/>
          </rPr>
          <t>거</t>
        </r>
        <r>
          <rPr>
            <b/>
            <sz val="9"/>
            <color indexed="81"/>
            <rFont val="Tahoma"/>
            <family val="2"/>
          </rPr>
          <t>6556</t>
        </r>
      </text>
    </comment>
    <comment ref="K1123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남학봉
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톤</t>
        </r>
        <r>
          <rPr>
            <b/>
            <sz val="9"/>
            <color indexed="81"/>
            <rFont val="Tahoma"/>
            <family val="2"/>
          </rPr>
          <t xml:space="preserve"> 86</t>
        </r>
        <r>
          <rPr>
            <b/>
            <sz val="9"/>
            <color indexed="81"/>
            <rFont val="돋움"/>
            <family val="3"/>
            <charset val="129"/>
          </rPr>
          <t>모</t>
        </r>
        <r>
          <rPr>
            <b/>
            <sz val="9"/>
            <color indexed="81"/>
            <rFont val="Tahoma"/>
            <family val="2"/>
          </rPr>
          <t xml:space="preserve">8604
1969.10.09
010-2484-4616
</t>
        </r>
        <r>
          <rPr>
            <b/>
            <sz val="9"/>
            <color indexed="81"/>
            <rFont val="돋움"/>
            <family val="3"/>
            <charset val="129"/>
          </rPr>
          <t>부산시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새벽시장로</t>
        </r>
        <r>
          <rPr>
            <b/>
            <sz val="9"/>
            <color indexed="81"/>
            <rFont val="Tahoma"/>
            <family val="2"/>
          </rPr>
          <t>29</t>
        </r>
        <r>
          <rPr>
            <b/>
            <sz val="9"/>
            <color indexed="81"/>
            <rFont val="돋움"/>
            <family val="3"/>
            <charset val="129"/>
          </rPr>
          <t>번길</t>
        </r>
        <r>
          <rPr>
            <b/>
            <sz val="9"/>
            <color indexed="81"/>
            <rFont val="Tahoma"/>
            <family val="2"/>
          </rPr>
          <t xml:space="preserve"> 14</t>
        </r>
      </text>
    </comment>
    <comment ref="K1127" authorId="0" shapeId="0">
      <text>
        <r>
          <rPr>
            <b/>
            <sz val="9"/>
            <color indexed="81"/>
            <rFont val="돋움"/>
            <family val="3"/>
            <charset val="129"/>
          </rPr>
          <t>고태용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김민호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김진수
(신분증,안전밸트 챙겨서 본관3층 안전교육 9:00)</t>
        </r>
      </text>
    </comment>
    <comment ref="K1128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권용연 전무님
</t>
        </r>
      </text>
    </comment>
    <comment ref="K1129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최재호
</t>
        </r>
        <r>
          <rPr>
            <b/>
            <sz val="9"/>
            <color indexed="81"/>
            <rFont val="Tahoma"/>
            <family val="2"/>
          </rPr>
          <t>2461</t>
        </r>
      </text>
    </comment>
    <comment ref="K1130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권용연 전무님
</t>
        </r>
      </text>
    </comment>
    <comment ref="K1140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이준호
</t>
        </r>
      </text>
    </comment>
    <comment ref="K1141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오태호
</t>
        </r>
      </text>
    </comment>
    <comment ref="K1143" authorId="0" shapeId="0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</text>
    </comment>
    <comment ref="K1146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이재원
30서8378
</t>
        </r>
      </text>
    </comment>
    <comment ref="F1148" authorId="0" shapeId="0">
      <text>
        <r>
          <rPr>
            <b/>
            <sz val="9"/>
            <color indexed="81"/>
            <rFont val="돋움"/>
            <family val="3"/>
            <charset val="129"/>
          </rPr>
          <t>목포시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고하대로</t>
        </r>
        <r>
          <rPr>
            <b/>
            <sz val="9"/>
            <color indexed="81"/>
            <rFont val="Tahoma"/>
            <family val="2"/>
          </rPr>
          <t xml:space="preserve"> 597</t>
        </r>
        <r>
          <rPr>
            <b/>
            <sz val="9"/>
            <color indexed="81"/>
            <rFont val="돋움"/>
            <family val="3"/>
            <charset val="129"/>
          </rPr>
          <t>번길</t>
        </r>
        <r>
          <rPr>
            <b/>
            <sz val="9"/>
            <color indexed="81"/>
            <rFont val="Tahoma"/>
            <family val="2"/>
          </rPr>
          <t xml:space="preserve"> 75-55
</t>
        </r>
        <r>
          <rPr>
            <b/>
            <sz val="9"/>
            <color indexed="81"/>
            <rFont val="돋움"/>
            <family val="3"/>
            <charset val="129"/>
          </rPr>
          <t>부두에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차단기가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도착시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연락요청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149" authorId="0" shapeId="0">
      <text>
        <r>
          <rPr>
            <b/>
            <sz val="9"/>
            <color indexed="81"/>
            <rFont val="돋움"/>
            <family val="3"/>
            <charset val="129"/>
          </rPr>
          <t>목포시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고하대로</t>
        </r>
        <r>
          <rPr>
            <b/>
            <sz val="9"/>
            <color indexed="81"/>
            <rFont val="Tahoma"/>
            <family val="2"/>
          </rPr>
          <t xml:space="preserve"> 597</t>
        </r>
        <r>
          <rPr>
            <b/>
            <sz val="9"/>
            <color indexed="81"/>
            <rFont val="돋움"/>
            <family val="3"/>
            <charset val="129"/>
          </rPr>
          <t>번길</t>
        </r>
        <r>
          <rPr>
            <b/>
            <sz val="9"/>
            <color indexed="81"/>
            <rFont val="Tahoma"/>
            <family val="2"/>
          </rPr>
          <t xml:space="preserve"> 75-55
</t>
        </r>
        <r>
          <rPr>
            <b/>
            <sz val="9"/>
            <color indexed="81"/>
            <rFont val="돋움"/>
            <family val="3"/>
            <charset val="129"/>
          </rPr>
          <t>부두에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차단기가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도착시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연락요청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157" authorId="0" shapeId="0">
      <text>
        <r>
          <rPr>
            <b/>
            <sz val="9"/>
            <color indexed="81"/>
            <rFont val="돋움"/>
            <family val="3"/>
            <charset val="129"/>
          </rPr>
          <t>최재호,이재원,김유신</t>
        </r>
      </text>
    </comment>
    <comment ref="K1160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최재호
</t>
        </r>
        <r>
          <rPr>
            <b/>
            <sz val="9"/>
            <color indexed="81"/>
            <rFont val="Tahoma"/>
            <family val="2"/>
          </rPr>
          <t>2461</t>
        </r>
      </text>
    </comment>
    <comment ref="K1161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김유신,김현우(무상)</t>
        </r>
      </text>
    </comment>
    <comment ref="K1164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오태호
</t>
        </r>
      </text>
    </comment>
    <comment ref="I1165" authorId="0" shapeId="0">
      <text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222003 </t>
        </r>
        <r>
          <rPr>
            <b/>
            <sz val="9"/>
            <color indexed="81"/>
            <rFont val="돋움"/>
            <family val="3"/>
            <charset val="129"/>
          </rPr>
          <t>자재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사용하신다고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</text>
    </comment>
    <comment ref="K1165" authorId="0" shapeId="0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이재원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정지훈
</t>
        </r>
        <r>
          <rPr>
            <b/>
            <sz val="9"/>
            <color indexed="81"/>
            <rFont val="Tahoma"/>
            <family val="2"/>
          </rPr>
          <t xml:space="preserve">6556
</t>
        </r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천상욱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김현우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무상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8585</t>
        </r>
      </text>
    </comment>
    <comment ref="I1166" authorId="0" shapeId="0">
      <text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222003 </t>
        </r>
        <r>
          <rPr>
            <b/>
            <sz val="9"/>
            <color indexed="81"/>
            <rFont val="돋움"/>
            <family val="3"/>
            <charset val="129"/>
          </rPr>
          <t>자재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사용하신다고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</text>
    </comment>
    <comment ref="K1166" authorId="0" shapeId="0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이재원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정지훈
</t>
        </r>
        <r>
          <rPr>
            <b/>
            <sz val="9"/>
            <color indexed="81"/>
            <rFont val="Tahoma"/>
            <family val="2"/>
          </rPr>
          <t xml:space="preserve">6556
</t>
        </r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천상욱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김현우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무상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8585</t>
        </r>
      </text>
    </comment>
    <comment ref="K1176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김현우</t>
        </r>
      </text>
    </comment>
    <comment ref="K1177" authorId="0" shapeId="0">
      <text>
        <r>
          <rPr>
            <b/>
            <sz val="9"/>
            <color indexed="81"/>
            <rFont val="돋움"/>
            <family val="3"/>
            <charset val="129"/>
          </rPr>
          <t>김유신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김현우</t>
        </r>
      </text>
    </comment>
    <comment ref="J1178" authorId="0" shapeId="0">
      <text>
        <r>
          <rPr>
            <b/>
            <sz val="9"/>
            <color indexed="81"/>
            <rFont val="Tahoma"/>
            <family val="2"/>
          </rPr>
          <t xml:space="preserve">12/24~30
</t>
        </r>
        <r>
          <rPr>
            <b/>
            <sz val="9"/>
            <color indexed="81"/>
            <rFont val="돋움"/>
            <family val="3"/>
            <charset val="129"/>
          </rPr>
          <t>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안된다고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하심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178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오태호
</t>
        </r>
      </text>
    </comment>
    <comment ref="I1179" authorId="0" shapeId="0">
      <text>
        <r>
          <rPr>
            <b/>
            <sz val="9"/>
            <color indexed="81"/>
            <rFont val="돋움"/>
            <family val="3"/>
            <charset val="129"/>
          </rPr>
          <t>드릴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필요함</t>
        </r>
      </text>
    </comment>
    <comment ref="K1179" authorId="0" shapeId="0">
      <text>
        <r>
          <rPr>
            <b/>
            <sz val="9"/>
            <color indexed="81"/>
            <rFont val="돋움"/>
            <family val="3"/>
            <charset val="129"/>
          </rPr>
          <t>정수용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차장님</t>
        </r>
      </text>
    </comment>
    <comment ref="I1180" authorId="0" shapeId="0">
      <text>
        <r>
          <rPr>
            <b/>
            <sz val="9"/>
            <color indexed="81"/>
            <rFont val="돋움"/>
            <family val="3"/>
            <charset val="129"/>
          </rPr>
          <t>드릴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필요함</t>
        </r>
      </text>
    </comment>
    <comment ref="K1180" authorId="0" shapeId="0">
      <text>
        <r>
          <rPr>
            <b/>
            <sz val="9"/>
            <color indexed="81"/>
            <rFont val="돋움"/>
            <family val="3"/>
            <charset val="129"/>
          </rPr>
          <t>정수용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차장님</t>
        </r>
      </text>
    </comment>
    <comment ref="K1181" authorId="0" shapeId="0">
      <text>
        <r>
          <rPr>
            <b/>
            <sz val="9"/>
            <color indexed="81"/>
            <rFont val="돋움"/>
            <family val="3"/>
            <charset val="129"/>
          </rPr>
          <t>이재원
6556</t>
        </r>
      </text>
    </comment>
    <comment ref="K1182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김유신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183" authorId="0" shapeId="0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 xml:space="preserve"> 
252</t>
        </r>
        <r>
          <rPr>
            <b/>
            <sz val="9"/>
            <color indexed="81"/>
            <rFont val="돋움"/>
            <family val="3"/>
            <charset val="129"/>
          </rPr>
          <t>라</t>
        </r>
        <r>
          <rPr>
            <b/>
            <sz val="9"/>
            <color indexed="81"/>
            <rFont val="Tahoma"/>
            <family val="2"/>
          </rPr>
          <t xml:space="preserve"> 6355
</t>
        </r>
        <r>
          <rPr>
            <b/>
            <sz val="9"/>
            <color indexed="81"/>
            <rFont val="돋움"/>
            <family val="3"/>
            <charset val="129"/>
          </rPr>
          <t>이준호반장님</t>
        </r>
        <r>
          <rPr>
            <b/>
            <sz val="9"/>
            <color indexed="81"/>
            <rFont val="Tahoma"/>
            <family val="2"/>
          </rPr>
          <t>(97</t>
        </r>
        <r>
          <rPr>
            <b/>
            <sz val="9"/>
            <color indexed="81"/>
            <rFont val="돋움"/>
            <family val="3"/>
            <charset val="129"/>
          </rPr>
          <t>부</t>
        </r>
        <r>
          <rPr>
            <b/>
            <sz val="9"/>
            <color indexed="81"/>
            <rFont val="Tahoma"/>
            <family val="2"/>
          </rPr>
          <t xml:space="preserve"> 9080)
</t>
        </r>
        <r>
          <rPr>
            <b/>
            <sz val="9"/>
            <color indexed="81"/>
            <rFont val="돋움"/>
            <family val="3"/>
            <charset val="129"/>
          </rPr>
          <t>오태호반장님</t>
        </r>
        <r>
          <rPr>
            <b/>
            <sz val="9"/>
            <color indexed="81"/>
            <rFont val="Tahoma"/>
            <family val="2"/>
          </rPr>
          <t>(34</t>
        </r>
        <r>
          <rPr>
            <b/>
            <sz val="9"/>
            <color indexed="81"/>
            <rFont val="돋움"/>
            <family val="3"/>
            <charset val="129"/>
          </rPr>
          <t>어</t>
        </r>
        <r>
          <rPr>
            <b/>
            <sz val="9"/>
            <color indexed="81"/>
            <rFont val="Tahoma"/>
            <family val="2"/>
          </rPr>
          <t xml:space="preserve">2424)
</t>
        </r>
        <r>
          <rPr>
            <b/>
            <sz val="9"/>
            <color indexed="81"/>
            <rFont val="돋움"/>
            <family val="3"/>
            <charset val="129"/>
          </rPr>
          <t>신종욱</t>
        </r>
        <r>
          <rPr>
            <b/>
            <sz val="9"/>
            <color indexed="81"/>
            <rFont val="Tahoma"/>
            <family val="2"/>
          </rPr>
          <t xml:space="preserve"> 360</t>
        </r>
        <r>
          <rPr>
            <b/>
            <sz val="9"/>
            <color indexed="81"/>
            <rFont val="돋움"/>
            <family val="3"/>
            <charset val="129"/>
          </rPr>
          <t>버</t>
        </r>
        <r>
          <rPr>
            <b/>
            <sz val="9"/>
            <color indexed="81"/>
            <rFont val="Tahoma"/>
            <family val="2"/>
          </rPr>
          <t xml:space="preserve">6974
</t>
        </r>
      </text>
    </comment>
    <comment ref="K1184" authorId="0" shapeId="0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 xml:space="preserve"> 
252</t>
        </r>
        <r>
          <rPr>
            <b/>
            <sz val="9"/>
            <color indexed="81"/>
            <rFont val="돋움"/>
            <family val="3"/>
            <charset val="129"/>
          </rPr>
          <t>라</t>
        </r>
        <r>
          <rPr>
            <b/>
            <sz val="9"/>
            <color indexed="81"/>
            <rFont val="Tahoma"/>
            <family val="2"/>
          </rPr>
          <t xml:space="preserve"> 6355
</t>
        </r>
        <r>
          <rPr>
            <b/>
            <sz val="9"/>
            <color indexed="81"/>
            <rFont val="돋움"/>
            <family val="3"/>
            <charset val="129"/>
          </rPr>
          <t>이준호반장님</t>
        </r>
        <r>
          <rPr>
            <b/>
            <sz val="9"/>
            <color indexed="81"/>
            <rFont val="Tahoma"/>
            <family val="2"/>
          </rPr>
          <t>(97</t>
        </r>
        <r>
          <rPr>
            <b/>
            <sz val="9"/>
            <color indexed="81"/>
            <rFont val="돋움"/>
            <family val="3"/>
            <charset val="129"/>
          </rPr>
          <t>부</t>
        </r>
        <r>
          <rPr>
            <b/>
            <sz val="9"/>
            <color indexed="81"/>
            <rFont val="Tahoma"/>
            <family val="2"/>
          </rPr>
          <t xml:space="preserve"> 9080)
</t>
        </r>
        <r>
          <rPr>
            <b/>
            <sz val="9"/>
            <color indexed="81"/>
            <rFont val="돋움"/>
            <family val="3"/>
            <charset val="129"/>
          </rPr>
          <t>오태호반장님</t>
        </r>
        <r>
          <rPr>
            <b/>
            <sz val="9"/>
            <color indexed="81"/>
            <rFont val="Tahoma"/>
            <family val="2"/>
          </rPr>
          <t>(34</t>
        </r>
        <r>
          <rPr>
            <b/>
            <sz val="9"/>
            <color indexed="81"/>
            <rFont val="돋움"/>
            <family val="3"/>
            <charset val="129"/>
          </rPr>
          <t>어</t>
        </r>
        <r>
          <rPr>
            <b/>
            <sz val="9"/>
            <color indexed="81"/>
            <rFont val="Tahoma"/>
            <family val="2"/>
          </rPr>
          <t xml:space="preserve">2424)
</t>
        </r>
        <r>
          <rPr>
            <b/>
            <sz val="9"/>
            <color indexed="81"/>
            <rFont val="돋움"/>
            <family val="3"/>
            <charset val="129"/>
          </rPr>
          <t>신종욱</t>
        </r>
        <r>
          <rPr>
            <b/>
            <sz val="9"/>
            <color indexed="81"/>
            <rFont val="Tahoma"/>
            <family val="2"/>
          </rPr>
          <t xml:space="preserve"> 360</t>
        </r>
        <r>
          <rPr>
            <b/>
            <sz val="9"/>
            <color indexed="81"/>
            <rFont val="돋움"/>
            <family val="3"/>
            <charset val="129"/>
          </rPr>
          <t>버</t>
        </r>
        <r>
          <rPr>
            <b/>
            <sz val="9"/>
            <color indexed="81"/>
            <rFont val="Tahoma"/>
            <family val="2"/>
          </rPr>
          <t xml:space="preserve">6974
</t>
        </r>
      </text>
    </comment>
    <comment ref="K1185" authorId="0" shapeId="0">
      <text>
        <r>
          <rPr>
            <b/>
            <sz val="9"/>
            <color indexed="81"/>
            <rFont val="돋움"/>
            <family val="3"/>
            <charset val="129"/>
          </rPr>
          <t>최재호</t>
        </r>
        <r>
          <rPr>
            <b/>
            <sz val="9"/>
            <color indexed="81"/>
            <rFont val="Tahoma"/>
            <family val="2"/>
          </rPr>
          <t xml:space="preserve"> 
252</t>
        </r>
        <r>
          <rPr>
            <b/>
            <sz val="9"/>
            <color indexed="81"/>
            <rFont val="돋움"/>
            <family val="3"/>
            <charset val="129"/>
          </rPr>
          <t>라</t>
        </r>
        <r>
          <rPr>
            <b/>
            <sz val="9"/>
            <color indexed="81"/>
            <rFont val="Tahoma"/>
            <family val="2"/>
          </rPr>
          <t xml:space="preserve"> 6355</t>
        </r>
      </text>
    </comment>
    <comment ref="I1186" authorId="0" shapeId="0">
      <text>
        <r>
          <rPr>
            <b/>
            <sz val="9"/>
            <color indexed="81"/>
            <rFont val="돋움"/>
            <family val="3"/>
            <charset val="129"/>
          </rPr>
          <t>조립반에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박해식주임님께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마그네틱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드릴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받아가기</t>
        </r>
      </text>
    </comment>
    <comment ref="K1186" authorId="0" shapeId="0">
      <text>
        <r>
          <rPr>
            <b/>
            <sz val="9"/>
            <color indexed="81"/>
            <rFont val="돋움"/>
            <family val="3"/>
            <charset val="129"/>
          </rPr>
          <t>천상욱 
신종욱
360버6974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187" authorId="0" shapeId="0">
      <text>
        <r>
          <rPr>
            <b/>
            <sz val="9"/>
            <color indexed="81"/>
            <rFont val="돋움"/>
            <family val="3"/>
            <charset val="129"/>
          </rPr>
          <t>조립반에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박해식주임님께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마그네틱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드릴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받아가기</t>
        </r>
      </text>
    </comment>
    <comment ref="K1187" authorId="0" shapeId="0">
      <text>
        <r>
          <rPr>
            <b/>
            <sz val="9"/>
            <color indexed="81"/>
            <rFont val="돋움"/>
            <family val="3"/>
            <charset val="129"/>
          </rPr>
          <t>천상욱 
신종욱
360버6974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<sst xmlns="http://schemas.openxmlformats.org/spreadsheetml/2006/main" count="31418" uniqueCount="7657">
  <si>
    <t>주</t>
    <phoneticPr fontId="2" type="noConversion"/>
  </si>
  <si>
    <t>일자</t>
  </si>
  <si>
    <t>구분</t>
  </si>
  <si>
    <t>인도일</t>
  </si>
  <si>
    <t>조선소
장소</t>
  </si>
  <si>
    <t>호 선</t>
  </si>
  <si>
    <t>장비</t>
  </si>
  <si>
    <t>검사종류 / 고객요청사항</t>
  </si>
  <si>
    <t>담당자</t>
    <phoneticPr fontId="2" type="noConversion"/>
  </si>
  <si>
    <t>외주</t>
  </si>
  <si>
    <t>유/무상</t>
    <phoneticPr fontId="2" type="noConversion"/>
  </si>
  <si>
    <t>차량</t>
    <phoneticPr fontId="2" type="noConversion"/>
  </si>
  <si>
    <t>출장인원</t>
    <phoneticPr fontId="2" type="noConversion"/>
  </si>
  <si>
    <t>직영연차</t>
    <phoneticPr fontId="2" type="noConversion"/>
  </si>
  <si>
    <t>인도전</t>
    <phoneticPr fontId="2" type="noConversion"/>
  </si>
  <si>
    <t>무상</t>
    <phoneticPr fontId="2" type="noConversion"/>
  </si>
  <si>
    <t>담당자</t>
    <phoneticPr fontId="2" type="noConversion"/>
  </si>
  <si>
    <t>인도후</t>
    <phoneticPr fontId="2" type="noConversion"/>
  </si>
  <si>
    <t>PV</t>
    <phoneticPr fontId="2" type="noConversion"/>
  </si>
  <si>
    <t>사내작업</t>
    <phoneticPr fontId="2" type="noConversion"/>
  </si>
  <si>
    <t>김해공장</t>
    <phoneticPr fontId="2" type="noConversion"/>
  </si>
  <si>
    <t>A/S</t>
    <phoneticPr fontId="2" type="noConversion"/>
  </si>
  <si>
    <t>DSME</t>
    <phoneticPr fontId="2" type="noConversion"/>
  </si>
  <si>
    <t>RB</t>
    <phoneticPr fontId="2" type="noConversion"/>
  </si>
  <si>
    <t>A/S</t>
    <phoneticPr fontId="2" type="noConversion"/>
  </si>
  <si>
    <t>납품전</t>
    <phoneticPr fontId="2" type="noConversion"/>
  </si>
  <si>
    <t>DSME</t>
    <phoneticPr fontId="2" type="noConversion"/>
  </si>
  <si>
    <t>목포해군</t>
    <phoneticPr fontId="2" type="noConversion"/>
  </si>
  <si>
    <t>FC</t>
    <phoneticPr fontId="2" type="noConversion"/>
  </si>
  <si>
    <t>외주정비</t>
    <phoneticPr fontId="2" type="noConversion"/>
  </si>
  <si>
    <t>인도전</t>
    <phoneticPr fontId="2" type="noConversion"/>
  </si>
  <si>
    <t>인도후</t>
    <phoneticPr fontId="2" type="noConversion"/>
  </si>
  <si>
    <t>무상</t>
    <phoneticPr fontId="2" type="noConversion"/>
  </si>
  <si>
    <t>0160</t>
    <phoneticPr fontId="2" type="noConversion"/>
  </si>
  <si>
    <t>CS</t>
    <phoneticPr fontId="2" type="noConversion"/>
  </si>
  <si>
    <t>WD</t>
    <phoneticPr fontId="2" type="noConversion"/>
  </si>
  <si>
    <t>ROV</t>
    <phoneticPr fontId="2" type="noConversion"/>
  </si>
  <si>
    <t>TC</t>
    <phoneticPr fontId="2" type="noConversion"/>
  </si>
  <si>
    <t>0272</t>
    <phoneticPr fontId="2" type="noConversion"/>
  </si>
  <si>
    <t>리미트 세팅, 와이어 재 리깅</t>
    <phoneticPr fontId="2" type="noConversion"/>
  </si>
  <si>
    <t>RB</t>
    <phoneticPr fontId="2" type="noConversion"/>
  </si>
  <si>
    <t>진진(1)</t>
    <phoneticPr fontId="2" type="noConversion"/>
  </si>
  <si>
    <t>유상</t>
    <phoneticPr fontId="2" type="noConversion"/>
  </si>
  <si>
    <t>업체명</t>
    <phoneticPr fontId="2" type="noConversion"/>
  </si>
  <si>
    <t>일자</t>
    <phoneticPr fontId="2" type="noConversion"/>
  </si>
  <si>
    <t>작업내용</t>
    <phoneticPr fontId="2" type="noConversion"/>
  </si>
  <si>
    <t>투입인원</t>
    <phoneticPr fontId="2" type="noConversion"/>
  </si>
  <si>
    <t>특이사항</t>
    <phoneticPr fontId="2" type="noConversion"/>
  </si>
  <si>
    <t>작업결과</t>
    <phoneticPr fontId="2" type="noConversion"/>
  </si>
  <si>
    <t>사내작업</t>
    <phoneticPr fontId="2" type="noConversion"/>
  </si>
  <si>
    <t>사전품의 완료</t>
    <phoneticPr fontId="2" type="noConversion"/>
  </si>
  <si>
    <t>완료</t>
    <phoneticPr fontId="2" type="noConversion"/>
  </si>
  <si>
    <t>사전품의 완료</t>
    <phoneticPr fontId="2" type="noConversion"/>
  </si>
  <si>
    <t>합계</t>
    <phoneticPr fontId="2" type="noConversion"/>
  </si>
  <si>
    <t>조선소</t>
  </si>
  <si>
    <t>담당자</t>
  </si>
  <si>
    <t>유/무상</t>
  </si>
  <si>
    <t>금액</t>
  </si>
  <si>
    <t>내용</t>
  </si>
  <si>
    <t>장소</t>
  </si>
  <si>
    <t>디에스티(1)</t>
    <phoneticPr fontId="2" type="noConversion"/>
  </si>
  <si>
    <t>보증수리 (무상)</t>
    <phoneticPr fontId="2" type="noConversion"/>
  </si>
  <si>
    <t>합계</t>
  </si>
  <si>
    <t>비고</t>
    <phoneticPr fontId="2" type="noConversion"/>
  </si>
  <si>
    <t>A/S</t>
    <phoneticPr fontId="2" type="noConversion"/>
  </si>
  <si>
    <t>도장 보수</t>
    <phoneticPr fontId="2" type="noConversion"/>
  </si>
  <si>
    <t>무상</t>
    <phoneticPr fontId="2" type="noConversion"/>
  </si>
  <si>
    <t>HD</t>
    <phoneticPr fontId="2" type="noConversion"/>
  </si>
  <si>
    <t>동아(1)</t>
    <phoneticPr fontId="2" type="noConversion"/>
  </si>
  <si>
    <t>무상</t>
    <phoneticPr fontId="2" type="noConversion"/>
  </si>
  <si>
    <t>인도전</t>
    <phoneticPr fontId="2" type="noConversion"/>
  </si>
  <si>
    <t>ROV</t>
    <phoneticPr fontId="2" type="noConversion"/>
  </si>
  <si>
    <t>자체 시운전</t>
    <phoneticPr fontId="2" type="noConversion"/>
  </si>
  <si>
    <t>장유승</t>
    <phoneticPr fontId="2" type="noConversion"/>
  </si>
  <si>
    <t>가야, 디에스티</t>
    <phoneticPr fontId="2" type="noConversion"/>
  </si>
  <si>
    <t>A/S</t>
    <phoneticPr fontId="2" type="noConversion"/>
  </si>
  <si>
    <t>박성용, 김동현</t>
    <phoneticPr fontId="2" type="noConversion"/>
  </si>
  <si>
    <t>인도후</t>
    <phoneticPr fontId="2" type="noConversion"/>
  </si>
  <si>
    <t>진해해군</t>
    <phoneticPr fontId="2" type="noConversion"/>
  </si>
  <si>
    <t>0271</t>
    <phoneticPr fontId="2" type="noConversion"/>
  </si>
  <si>
    <t>FC</t>
    <phoneticPr fontId="2" type="noConversion"/>
  </si>
  <si>
    <t>거한(1)</t>
    <phoneticPr fontId="2" type="noConversion"/>
  </si>
  <si>
    <t>P157</t>
    <phoneticPr fontId="2" type="noConversion"/>
  </si>
  <si>
    <t>BR</t>
    <phoneticPr fontId="2" type="noConversion"/>
  </si>
  <si>
    <t>무상</t>
    <phoneticPr fontId="2" type="noConversion"/>
  </si>
  <si>
    <t>안상민</t>
    <phoneticPr fontId="2" type="noConversion"/>
  </si>
  <si>
    <t>PTC</t>
    <phoneticPr fontId="2" type="noConversion"/>
  </si>
  <si>
    <t>박성용, 안상민</t>
    <phoneticPr fontId="2" type="noConversion"/>
  </si>
  <si>
    <t>차영석</t>
    <phoneticPr fontId="2" type="noConversion"/>
  </si>
  <si>
    <t>오일 누유 조치</t>
    <phoneticPr fontId="2" type="noConversion"/>
  </si>
  <si>
    <t>박성용</t>
    <phoneticPr fontId="2" type="noConversion"/>
  </si>
  <si>
    <t>전기 판넬 수리</t>
    <phoneticPr fontId="2" type="noConversion"/>
  </si>
  <si>
    <t>오전 자체 / 오후 검사 입회</t>
    <phoneticPr fontId="2" type="noConversion"/>
  </si>
  <si>
    <t>경보등 시트, 전로 설치 현장 확인, 일부 조치 / 부대 교육</t>
    <phoneticPr fontId="2" type="noConversion"/>
  </si>
  <si>
    <t>강지원</t>
    <phoneticPr fontId="2" type="noConversion"/>
  </si>
  <si>
    <t>이성희</t>
    <phoneticPr fontId="2" type="noConversion"/>
  </si>
  <si>
    <t>A/S</t>
    <phoneticPr fontId="2" type="noConversion"/>
  </si>
  <si>
    <t>계약사항 (무상)</t>
    <phoneticPr fontId="2" type="noConversion"/>
  </si>
  <si>
    <t>박성용, 안상민, 차영석</t>
    <phoneticPr fontId="2" type="noConversion"/>
  </si>
  <si>
    <t>인도후</t>
    <phoneticPr fontId="2" type="noConversion"/>
  </si>
  <si>
    <t>진해해군</t>
    <phoneticPr fontId="2" type="noConversion"/>
  </si>
  <si>
    <t>MSH05</t>
    <phoneticPr fontId="2" type="noConversion"/>
  </si>
  <si>
    <t>KT</t>
    <phoneticPr fontId="2" type="noConversion"/>
  </si>
  <si>
    <t>조이스틱 작동 불량</t>
    <phoneticPr fontId="2" type="noConversion"/>
  </si>
  <si>
    <t>동아(1)</t>
    <phoneticPr fontId="2" type="noConversion"/>
  </si>
  <si>
    <t>무상</t>
    <phoneticPr fontId="2" type="noConversion"/>
  </si>
  <si>
    <t>RB</t>
    <phoneticPr fontId="2" type="noConversion"/>
  </si>
  <si>
    <t>HHI</t>
    <phoneticPr fontId="2" type="noConversion"/>
  </si>
  <si>
    <t>P167</t>
    <phoneticPr fontId="2" type="noConversion"/>
  </si>
  <si>
    <t>OHC</t>
    <phoneticPr fontId="2" type="noConversion"/>
  </si>
  <si>
    <t>자체테스트 &amp; 검사준비</t>
    <phoneticPr fontId="2" type="noConversion"/>
  </si>
  <si>
    <t>아이앤지(1)</t>
    <phoneticPr fontId="2" type="noConversion"/>
  </si>
  <si>
    <t>WD</t>
    <phoneticPr fontId="2" type="noConversion"/>
  </si>
  <si>
    <t>A/S</t>
    <phoneticPr fontId="2" type="noConversion"/>
  </si>
  <si>
    <t>MSH05</t>
    <phoneticPr fontId="2" type="noConversion"/>
  </si>
  <si>
    <t>KT</t>
    <phoneticPr fontId="2" type="noConversion"/>
  </si>
  <si>
    <t>박성용, 차영석</t>
    <phoneticPr fontId="2" type="noConversion"/>
  </si>
  <si>
    <t>박성용, 차영석</t>
    <phoneticPr fontId="2" type="noConversion"/>
  </si>
  <si>
    <t>아이앤지(2)</t>
    <phoneticPr fontId="2" type="noConversion"/>
  </si>
  <si>
    <t>아이앤지(2)</t>
    <phoneticPr fontId="2" type="noConversion"/>
  </si>
  <si>
    <t>박성용</t>
    <phoneticPr fontId="2" type="noConversion"/>
  </si>
  <si>
    <t>조립반 지원</t>
    <phoneticPr fontId="2" type="noConversion"/>
  </si>
  <si>
    <t>자체 시운전 (8시 통선 승선)</t>
    <phoneticPr fontId="2" type="noConversion"/>
  </si>
  <si>
    <t>김해공장</t>
    <phoneticPr fontId="2" type="noConversion"/>
  </si>
  <si>
    <t>사내작업</t>
    <phoneticPr fontId="2" type="noConversion"/>
  </si>
  <si>
    <t>PV</t>
    <phoneticPr fontId="2" type="noConversion"/>
  </si>
  <si>
    <t>박해식</t>
    <phoneticPr fontId="2" type="noConversion"/>
  </si>
  <si>
    <t>보증수리</t>
    <phoneticPr fontId="2" type="noConversion"/>
  </si>
  <si>
    <t>계약사항</t>
    <phoneticPr fontId="2" type="noConversion"/>
  </si>
  <si>
    <t>보증수리</t>
    <phoneticPr fontId="2" type="noConversion"/>
  </si>
  <si>
    <t>덴소 / 도장 / 포장</t>
    <phoneticPr fontId="2" type="noConversion"/>
  </si>
  <si>
    <t>생산담당 인력부족</t>
    <phoneticPr fontId="2" type="noConversion"/>
  </si>
  <si>
    <t>1/12~13일</t>
    <phoneticPr fontId="2" type="noConversion"/>
  </si>
  <si>
    <t>외주(2)</t>
    <phoneticPr fontId="2" type="noConversion"/>
  </si>
  <si>
    <t>1/13 ~ 14일</t>
    <phoneticPr fontId="2" type="noConversion"/>
  </si>
  <si>
    <t>외주(4)</t>
    <phoneticPr fontId="2" type="noConversion"/>
  </si>
  <si>
    <t>조립 / 시운전 / 해체</t>
    <phoneticPr fontId="2" type="noConversion"/>
  </si>
  <si>
    <t>디에스티</t>
    <phoneticPr fontId="2" type="noConversion"/>
  </si>
  <si>
    <t>CLAIM</t>
    <phoneticPr fontId="2" type="noConversion"/>
  </si>
  <si>
    <t>인도전</t>
    <phoneticPr fontId="2" type="noConversion"/>
  </si>
  <si>
    <t>HHI</t>
    <phoneticPr fontId="2" type="noConversion"/>
  </si>
  <si>
    <t>P167</t>
    <phoneticPr fontId="2" type="noConversion"/>
  </si>
  <si>
    <t>HHD</t>
    <phoneticPr fontId="2" type="noConversion"/>
  </si>
  <si>
    <t>ML</t>
    <phoneticPr fontId="2" type="noConversion"/>
  </si>
  <si>
    <t>P166</t>
    <phoneticPr fontId="2" type="noConversion"/>
  </si>
  <si>
    <t>HT</t>
    <phoneticPr fontId="2" type="noConversion"/>
  </si>
  <si>
    <t>초기 작동</t>
    <phoneticPr fontId="2" type="noConversion"/>
  </si>
  <si>
    <t>디에스티, 동아</t>
    <phoneticPr fontId="2" type="noConversion"/>
  </si>
  <si>
    <t>DC</t>
    <phoneticPr fontId="2" type="noConversion"/>
  </si>
  <si>
    <t>SWN</t>
    <phoneticPr fontId="2" type="noConversion"/>
  </si>
  <si>
    <t>RB</t>
    <phoneticPr fontId="2" type="noConversion"/>
  </si>
  <si>
    <t>납품전</t>
    <phoneticPr fontId="2" type="noConversion"/>
  </si>
  <si>
    <t>시운전 코멘트 조치 (밸브보호조치/스네치블럭추가공급/샤클및엑셀바적용/용접수정)</t>
    <phoneticPr fontId="2" type="noConversion"/>
  </si>
  <si>
    <t>진진(1)</t>
    <phoneticPr fontId="2" type="noConversion"/>
  </si>
  <si>
    <t>CS</t>
    <phoneticPr fontId="2" type="noConversion"/>
  </si>
  <si>
    <t>박성용</t>
    <phoneticPr fontId="2" type="noConversion"/>
  </si>
  <si>
    <t>HJ중공업</t>
    <phoneticPr fontId="2" type="noConversion"/>
  </si>
  <si>
    <t>인도후</t>
    <phoneticPr fontId="2" type="noConversion"/>
  </si>
  <si>
    <t>KN</t>
    <phoneticPr fontId="2" type="noConversion"/>
  </si>
  <si>
    <t>KT(2.5)</t>
    <phoneticPr fontId="2" type="noConversion"/>
  </si>
  <si>
    <t>조이스틱 교체</t>
    <phoneticPr fontId="2" type="noConversion"/>
  </si>
  <si>
    <t>주차</t>
    <phoneticPr fontId="2" type="noConversion"/>
  </si>
  <si>
    <t>구분</t>
    <phoneticPr fontId="2" type="noConversion"/>
  </si>
  <si>
    <t>A/S</t>
    <phoneticPr fontId="2" type="noConversion"/>
  </si>
  <si>
    <t>조이스틱 교체 / 시운전</t>
    <phoneticPr fontId="2" type="noConversion"/>
  </si>
  <si>
    <t>보증수리 (무상)</t>
    <phoneticPr fontId="2" type="noConversion"/>
  </si>
  <si>
    <t>PV P/D</t>
    <phoneticPr fontId="2" type="noConversion"/>
  </si>
  <si>
    <t>외주(2)</t>
    <phoneticPr fontId="2" type="noConversion"/>
  </si>
  <si>
    <t>이광형</t>
    <phoneticPr fontId="2" type="noConversion"/>
  </si>
  <si>
    <t>DSME</t>
    <phoneticPr fontId="2" type="noConversion"/>
  </si>
  <si>
    <t>ML</t>
    <phoneticPr fontId="2" type="noConversion"/>
  </si>
  <si>
    <t>ROV</t>
    <phoneticPr fontId="2" type="noConversion"/>
  </si>
  <si>
    <t>장유승</t>
    <phoneticPr fontId="2" type="noConversion"/>
  </si>
  <si>
    <t>가야, 디에스티</t>
    <phoneticPr fontId="2" type="noConversion"/>
  </si>
  <si>
    <t>조립반 지원</t>
    <phoneticPr fontId="2" type="noConversion"/>
  </si>
  <si>
    <t>김해공장</t>
    <phoneticPr fontId="2" type="noConversion"/>
  </si>
  <si>
    <t>자체테스트 &amp; 검사준비 (헬기모형)</t>
    <phoneticPr fontId="2" type="noConversion"/>
  </si>
  <si>
    <t>인도후</t>
    <phoneticPr fontId="2" type="noConversion"/>
  </si>
  <si>
    <t>0271</t>
    <phoneticPr fontId="2" type="noConversion"/>
  </si>
  <si>
    <t>진해해군</t>
    <phoneticPr fontId="2" type="noConversion"/>
  </si>
  <si>
    <t>FC</t>
    <phoneticPr fontId="2" type="noConversion"/>
  </si>
  <si>
    <t>무상</t>
    <phoneticPr fontId="2" type="noConversion"/>
  </si>
  <si>
    <t>거한(1), 디에스티(1)</t>
    <phoneticPr fontId="2" type="noConversion"/>
  </si>
  <si>
    <t>안상민</t>
    <phoneticPr fontId="2" type="noConversion"/>
  </si>
  <si>
    <t>동아(1)</t>
    <phoneticPr fontId="2" type="noConversion"/>
  </si>
  <si>
    <t>무상</t>
    <phoneticPr fontId="2" type="noConversion"/>
  </si>
  <si>
    <t>CLAIM</t>
    <phoneticPr fontId="2" type="noConversion"/>
  </si>
  <si>
    <t>P165</t>
    <phoneticPr fontId="2" type="noConversion"/>
  </si>
  <si>
    <t>RB</t>
    <phoneticPr fontId="2" type="noConversion"/>
  </si>
  <si>
    <t>시운전 코멘트 조치 (모터 오일 드레인 밸브 하부 코밍 연장 &amp; 오렌지색으로 도색 외 4가지)</t>
    <phoneticPr fontId="2" type="noConversion"/>
  </si>
  <si>
    <t>SWN0280</t>
    <phoneticPr fontId="2" type="noConversion"/>
  </si>
  <si>
    <t>외주(6)</t>
    <phoneticPr fontId="2" type="noConversion"/>
  </si>
  <si>
    <t>2023-01-26 ~28일(3일)</t>
    <phoneticPr fontId="2" type="noConversion"/>
  </si>
  <si>
    <t>모니터 디스플레이 작동 오류, 오일 누유 조치</t>
    <phoneticPr fontId="2" type="noConversion"/>
  </si>
  <si>
    <t>선주코멘트 (무상)</t>
    <phoneticPr fontId="2" type="noConversion"/>
  </si>
  <si>
    <t>보증수리 (무상)</t>
    <phoneticPr fontId="2" type="noConversion"/>
  </si>
  <si>
    <t>단기 부하</t>
    <phoneticPr fontId="2" type="noConversion"/>
  </si>
  <si>
    <t>순천공장</t>
    <phoneticPr fontId="2" type="noConversion"/>
  </si>
  <si>
    <t>순천공장</t>
    <phoneticPr fontId="2" type="noConversion"/>
  </si>
  <si>
    <t>H2515</t>
    <phoneticPr fontId="2" type="noConversion"/>
  </si>
  <si>
    <t>DC</t>
    <phoneticPr fontId="2" type="noConversion"/>
  </si>
  <si>
    <t>납품준비</t>
    <phoneticPr fontId="2" type="noConversion"/>
  </si>
  <si>
    <t>박주성</t>
    <phoneticPr fontId="2" type="noConversion"/>
  </si>
  <si>
    <t>2023-01-25 ~27일(3일)</t>
    <phoneticPr fontId="2" type="noConversion"/>
  </si>
  <si>
    <t>외주(3)</t>
    <phoneticPr fontId="2" type="noConversion"/>
  </si>
  <si>
    <t>RCS</t>
    <phoneticPr fontId="2" type="noConversion"/>
  </si>
  <si>
    <t>S161</t>
    <phoneticPr fontId="2" type="noConversion"/>
  </si>
  <si>
    <t>BR</t>
    <phoneticPr fontId="2" type="noConversion"/>
  </si>
  <si>
    <t>조립반 지원</t>
    <phoneticPr fontId="2" type="noConversion"/>
  </si>
  <si>
    <t>-</t>
    <phoneticPr fontId="2" type="noConversion"/>
  </si>
  <si>
    <t>-</t>
    <phoneticPr fontId="2" type="noConversion"/>
  </si>
  <si>
    <t>SHI</t>
    <phoneticPr fontId="2" type="noConversion"/>
  </si>
  <si>
    <t>ROV</t>
    <phoneticPr fontId="2" type="noConversion"/>
  </si>
  <si>
    <t>승조원 교육</t>
    <phoneticPr fontId="2" type="noConversion"/>
  </si>
  <si>
    <t>계약사항 (무상)</t>
    <phoneticPr fontId="2" type="noConversion"/>
  </si>
  <si>
    <t>장유승</t>
    <phoneticPr fontId="2" type="noConversion"/>
  </si>
  <si>
    <t>코멘트 조치</t>
    <phoneticPr fontId="2" type="noConversion"/>
  </si>
  <si>
    <t>케이블 포설, 터치바 설치, 망설치, 그리스라인(유상_서명필수)설치, STW</t>
    <phoneticPr fontId="2" type="noConversion"/>
  </si>
  <si>
    <t>더베스트솔루션</t>
    <phoneticPr fontId="2" type="noConversion"/>
  </si>
  <si>
    <t>사내작업</t>
    <phoneticPr fontId="2" type="noConversion"/>
  </si>
  <si>
    <t>이광형</t>
    <phoneticPr fontId="2" type="noConversion"/>
  </si>
  <si>
    <t>진진(1)</t>
    <phoneticPr fontId="2" type="noConversion"/>
  </si>
  <si>
    <t>디에스티, 동아(강석일)</t>
    <phoneticPr fontId="2" type="noConversion"/>
  </si>
  <si>
    <t>신명엔지니어링</t>
    <phoneticPr fontId="2" type="noConversion"/>
  </si>
  <si>
    <t>인도전</t>
    <phoneticPr fontId="2" type="noConversion"/>
  </si>
  <si>
    <t>SHI</t>
    <phoneticPr fontId="2" type="noConversion"/>
  </si>
  <si>
    <t>김은영</t>
    <phoneticPr fontId="2" type="noConversion"/>
  </si>
  <si>
    <t>PV</t>
    <phoneticPr fontId="2" type="noConversion"/>
  </si>
  <si>
    <t>진진산업</t>
    <phoneticPr fontId="2" type="noConversion"/>
  </si>
  <si>
    <t>아이앤지</t>
    <phoneticPr fontId="2" type="noConversion"/>
  </si>
  <si>
    <t>자체테스트</t>
    <phoneticPr fontId="2" type="noConversion"/>
  </si>
  <si>
    <t>실린더 반출</t>
    <phoneticPr fontId="2" type="noConversion"/>
  </si>
  <si>
    <t>CLAIM</t>
    <phoneticPr fontId="2" type="noConversion"/>
  </si>
  <si>
    <t>무상</t>
    <phoneticPr fontId="2" type="noConversion"/>
  </si>
  <si>
    <t>차영석</t>
    <phoneticPr fontId="2" type="noConversion"/>
  </si>
  <si>
    <t>안상민</t>
    <phoneticPr fontId="2" type="noConversion"/>
  </si>
  <si>
    <t>진진(1)</t>
    <phoneticPr fontId="2" type="noConversion"/>
  </si>
  <si>
    <t>진진(1), 씨앤엠(1)</t>
    <phoneticPr fontId="2" type="noConversion"/>
  </si>
  <si>
    <t>ROCKING TEST</t>
    <phoneticPr fontId="2" type="noConversion"/>
  </si>
  <si>
    <t>무상</t>
    <phoneticPr fontId="2" type="noConversion"/>
  </si>
  <si>
    <t>김해공장</t>
    <phoneticPr fontId="2" type="noConversion"/>
  </si>
  <si>
    <t>2023-02/06 ~ 02/07</t>
    <phoneticPr fontId="2" type="noConversion"/>
  </si>
  <si>
    <t>납품전</t>
    <phoneticPr fontId="2" type="noConversion"/>
  </si>
  <si>
    <t>SWN</t>
    <phoneticPr fontId="2" type="noConversion"/>
  </si>
  <si>
    <t>0280</t>
    <phoneticPr fontId="2" type="noConversion"/>
  </si>
  <si>
    <t>덴소 / 포장 지원</t>
    <phoneticPr fontId="2" type="noConversion"/>
  </si>
  <si>
    <t>외주(4)</t>
    <phoneticPr fontId="2" type="noConversion"/>
  </si>
  <si>
    <t>포장반 지원</t>
    <phoneticPr fontId="2" type="noConversion"/>
  </si>
  <si>
    <t>계약사항 (무상)</t>
    <phoneticPr fontId="2" type="noConversion"/>
  </si>
  <si>
    <t>보증수리 (무상)</t>
    <phoneticPr fontId="2" type="noConversion"/>
  </si>
  <si>
    <t>FF135A1</t>
    <phoneticPr fontId="2" type="noConversion"/>
  </si>
  <si>
    <t>김해공장</t>
    <phoneticPr fontId="2" type="noConversion"/>
  </si>
  <si>
    <t>이광형</t>
    <phoneticPr fontId="2" type="noConversion"/>
  </si>
  <si>
    <t>A/S</t>
    <phoneticPr fontId="2" type="noConversion"/>
  </si>
  <si>
    <t>진진(1)</t>
    <phoneticPr fontId="2" type="noConversion"/>
  </si>
  <si>
    <t>씨앤엠(1)</t>
    <phoneticPr fontId="2" type="noConversion"/>
  </si>
  <si>
    <t>진진(1), 디에스티(1)</t>
    <phoneticPr fontId="2" type="noConversion"/>
  </si>
  <si>
    <t>2023-02/13 ~ 02/17</t>
    <phoneticPr fontId="2" type="noConversion"/>
  </si>
  <si>
    <t>MSI</t>
    <phoneticPr fontId="2" type="noConversion"/>
  </si>
  <si>
    <t>포장 지원</t>
    <phoneticPr fontId="2" type="noConversion"/>
  </si>
  <si>
    <t>HTS / TC</t>
    <phoneticPr fontId="2" type="noConversion"/>
  </si>
  <si>
    <t>외주(8)</t>
    <phoneticPr fontId="2" type="noConversion"/>
  </si>
  <si>
    <t>승조원 교육 (실기)</t>
    <phoneticPr fontId="2" type="noConversion"/>
  </si>
  <si>
    <t>KT</t>
    <phoneticPr fontId="2" type="noConversion"/>
  </si>
  <si>
    <t>HH</t>
    <phoneticPr fontId="2" type="noConversion"/>
  </si>
  <si>
    <t>덴소 / 도장 / 포장 지원</t>
    <phoneticPr fontId="2" type="noConversion"/>
  </si>
  <si>
    <t>외주(10)</t>
    <phoneticPr fontId="2" type="noConversion"/>
  </si>
  <si>
    <t>2023-02/18, 2023/02/20 ~ 02/22</t>
    <phoneticPr fontId="2" type="noConversion"/>
  </si>
  <si>
    <t>외주(9)</t>
    <phoneticPr fontId="2" type="noConversion"/>
  </si>
  <si>
    <t>무상</t>
    <phoneticPr fontId="2" type="noConversion"/>
  </si>
  <si>
    <t>P168</t>
    <phoneticPr fontId="2" type="noConversion"/>
  </si>
  <si>
    <t>설치</t>
    <phoneticPr fontId="2" type="noConversion"/>
  </si>
  <si>
    <t>동아(김용훈)</t>
    <phoneticPr fontId="2" type="noConversion"/>
  </si>
  <si>
    <t>MRS106</t>
    <phoneticPr fontId="2" type="noConversion"/>
  </si>
  <si>
    <t>RB, RCS</t>
    <phoneticPr fontId="2" type="noConversion"/>
  </si>
  <si>
    <t>차영석</t>
    <phoneticPr fontId="2" type="noConversion"/>
  </si>
  <si>
    <t>인도전</t>
    <phoneticPr fontId="2" type="noConversion"/>
  </si>
  <si>
    <t>HMD</t>
    <phoneticPr fontId="2" type="noConversion"/>
  </si>
  <si>
    <t>H8300</t>
    <phoneticPr fontId="2" type="noConversion"/>
  </si>
  <si>
    <t>HH</t>
    <phoneticPr fontId="2" type="noConversion"/>
  </si>
  <si>
    <t>무상</t>
    <phoneticPr fontId="2" type="noConversion"/>
  </si>
  <si>
    <t>박성용</t>
    <phoneticPr fontId="2" type="noConversion"/>
  </si>
  <si>
    <t>선주COMMENT 진동 보강 / 도장(시운전건물4층)</t>
    <phoneticPr fontId="2" type="noConversion"/>
  </si>
  <si>
    <t>승조원 교육 9시</t>
    <phoneticPr fontId="2" type="noConversion"/>
  </si>
  <si>
    <t>박성용</t>
    <phoneticPr fontId="2" type="noConversion"/>
  </si>
  <si>
    <t>검사 준비</t>
    <phoneticPr fontId="2" type="noConversion"/>
  </si>
  <si>
    <t>아이앤지(1)</t>
    <phoneticPr fontId="2" type="noConversion"/>
  </si>
  <si>
    <t>안상민</t>
    <phoneticPr fontId="2" type="noConversion"/>
  </si>
  <si>
    <t>진진(1)</t>
    <phoneticPr fontId="2" type="noConversion"/>
  </si>
  <si>
    <t>계약사항 (무상)</t>
    <phoneticPr fontId="2" type="noConversion"/>
  </si>
  <si>
    <t>선주코멘트 (무상) _설계변경</t>
    <phoneticPr fontId="2" type="noConversion"/>
  </si>
  <si>
    <t>A/S</t>
    <phoneticPr fontId="2" type="noConversion"/>
  </si>
  <si>
    <t>강지원</t>
    <phoneticPr fontId="2" type="noConversion"/>
  </si>
  <si>
    <t>1-진진</t>
    <phoneticPr fontId="2" type="noConversion"/>
  </si>
  <si>
    <t>26명</t>
    <phoneticPr fontId="2" type="noConversion"/>
  </si>
  <si>
    <t>진진</t>
    <phoneticPr fontId="2" type="noConversion"/>
  </si>
  <si>
    <t>마감</t>
    <phoneticPr fontId="2" type="noConversion"/>
  </si>
  <si>
    <t>베솔(34)</t>
    <phoneticPr fontId="2" type="noConversion"/>
  </si>
  <si>
    <t>납품전</t>
    <phoneticPr fontId="2" type="noConversion"/>
  </si>
  <si>
    <t>납품전</t>
    <phoneticPr fontId="2" type="noConversion"/>
  </si>
  <si>
    <t>FF135A1</t>
    <phoneticPr fontId="2" type="noConversion"/>
  </si>
  <si>
    <t>모터 반출</t>
    <phoneticPr fontId="2" type="noConversion"/>
  </si>
  <si>
    <t>승조원교육</t>
    <phoneticPr fontId="2" type="noConversion"/>
  </si>
  <si>
    <t>검사 입회</t>
    <phoneticPr fontId="2" type="noConversion"/>
  </si>
  <si>
    <t>PV,CMR,HH</t>
    <phoneticPr fontId="2" type="noConversion"/>
  </si>
  <si>
    <t>클리닝 / 덴소 / 도장 / 포장</t>
    <phoneticPr fontId="2" type="noConversion"/>
  </si>
  <si>
    <t>사내작업</t>
  </si>
  <si>
    <t>김해공장</t>
  </si>
  <si>
    <t>차영석</t>
  </si>
  <si>
    <t>무상</t>
  </si>
  <si>
    <t>설치</t>
  </si>
  <si>
    <t>A/S</t>
  </si>
  <si>
    <t>인도후</t>
    <phoneticPr fontId="2" type="noConversion"/>
  </si>
  <si>
    <t>진해해군</t>
    <phoneticPr fontId="2" type="noConversion"/>
  </si>
  <si>
    <t>MSH04</t>
    <phoneticPr fontId="2" type="noConversion"/>
  </si>
  <si>
    <t>KT</t>
    <phoneticPr fontId="2" type="noConversion"/>
  </si>
  <si>
    <t>진진(1)</t>
    <phoneticPr fontId="2" type="noConversion"/>
  </si>
  <si>
    <t>무상</t>
    <phoneticPr fontId="2" type="noConversion"/>
  </si>
  <si>
    <t>ROCKING TEST</t>
    <phoneticPr fontId="2" type="noConversion"/>
  </si>
  <si>
    <t>A/S</t>
    <phoneticPr fontId="2" type="noConversion"/>
  </si>
  <si>
    <t>인도전</t>
  </si>
  <si>
    <t>인도전</t>
    <phoneticPr fontId="2" type="noConversion"/>
  </si>
  <si>
    <t>납품전</t>
  </si>
  <si>
    <t>신명(2)</t>
    <phoneticPr fontId="2" type="noConversion"/>
  </si>
  <si>
    <t>-</t>
  </si>
  <si>
    <t>무상</t>
    <phoneticPr fontId="2" type="noConversion"/>
  </si>
  <si>
    <t>안상민</t>
    <phoneticPr fontId="2" type="noConversion"/>
  </si>
  <si>
    <t>RB, HT, RCS</t>
    <phoneticPr fontId="2" type="noConversion"/>
  </si>
  <si>
    <t>아이앤지(2)</t>
  </si>
  <si>
    <t>HT</t>
  </si>
  <si>
    <t>조립반 지원</t>
    <phoneticPr fontId="2" type="noConversion"/>
  </si>
  <si>
    <t>HH</t>
    <phoneticPr fontId="2" type="noConversion"/>
  </si>
  <si>
    <t>포장 지원</t>
  </si>
  <si>
    <t>P166</t>
  </si>
  <si>
    <t>P166</t>
    <phoneticPr fontId="2" type="noConversion"/>
  </si>
  <si>
    <t>ROV&amp;ROV LARS CT,OT평가/ ROV LARS 운영자 교육 (일 ~ 금)</t>
    <phoneticPr fontId="2" type="noConversion"/>
  </si>
  <si>
    <t>박성용, 차영석</t>
    <phoneticPr fontId="2" type="noConversion"/>
  </si>
  <si>
    <t>HHI</t>
  </si>
  <si>
    <t>1.5톤 실린더 반출 (9:30해군의집)</t>
    <phoneticPr fontId="2" type="noConversion"/>
  </si>
  <si>
    <t>보증수리 (무상)</t>
    <phoneticPr fontId="2" type="noConversion"/>
  </si>
  <si>
    <t>계약사항 (무상)</t>
  </si>
  <si>
    <t>검사 코멘트 조치, 보트시트 측정</t>
    <phoneticPr fontId="2" type="noConversion"/>
  </si>
  <si>
    <t>선주코멘트 (무상)</t>
    <phoneticPr fontId="2" type="noConversion"/>
  </si>
  <si>
    <t>3/16 ~ 3/18</t>
    <phoneticPr fontId="2" type="noConversion"/>
  </si>
  <si>
    <t>HH</t>
    <phoneticPr fontId="2" type="noConversion"/>
  </si>
  <si>
    <t>기중기정</t>
    <phoneticPr fontId="2" type="noConversion"/>
  </si>
  <si>
    <t>3/8 ~ 3/11</t>
  </si>
  <si>
    <t>RB</t>
  </si>
  <si>
    <t>클리닝 / 덴소 / 도장 / 포장</t>
  </si>
  <si>
    <t>강지원</t>
  </si>
  <si>
    <t>외주(8)</t>
  </si>
  <si>
    <t>    2,000,000</t>
  </si>
  <si>
    <t>3/7(화)</t>
  </si>
  <si>
    <t>P168</t>
  </si>
  <si>
    <t>ML</t>
  </si>
  <si>
    <t>      360,000</t>
  </si>
  <si>
    <t>3/8(수)</t>
  </si>
  <si>
    <t>승조원교육</t>
  </si>
  <si>
    <t>박성용, 하충호</t>
  </si>
  <si>
    <t>      300,000</t>
  </si>
  <si>
    <t>3/9(목)</t>
  </si>
  <si>
    <t>CMR</t>
    <phoneticPr fontId="2" type="noConversion"/>
  </si>
  <si>
    <t>S192</t>
    <phoneticPr fontId="2" type="noConversion"/>
  </si>
  <si>
    <t>2023-03-27 ~ 04/01일</t>
    <phoneticPr fontId="2" type="noConversion"/>
  </si>
  <si>
    <t>0281</t>
    <phoneticPr fontId="2" type="noConversion"/>
  </si>
  <si>
    <t>RB</t>
    <phoneticPr fontId="2" type="noConversion"/>
  </si>
  <si>
    <t>외주(4)</t>
    <phoneticPr fontId="2" type="noConversion"/>
  </si>
  <si>
    <t>CMR</t>
  </si>
  <si>
    <t>외주(6)</t>
  </si>
  <si>
    <t>2023-03-20 ~ 25일</t>
  </si>
  <si>
    <t>DSME</t>
  </si>
  <si>
    <t>ROV</t>
  </si>
  <si>
    <t>ROV&amp;ROV LARS CT,OT평가/ ROV LARS 운영자 교육</t>
  </si>
  <si>
    <t>박성용, 차영석</t>
  </si>
  <si>
    <t>가야, 디에스티</t>
  </si>
  <si>
    <t>3/20 ~ 3/25</t>
    <phoneticPr fontId="2" type="noConversion"/>
  </si>
  <si>
    <t>PE</t>
    <phoneticPr fontId="2" type="noConversion"/>
  </si>
  <si>
    <t>박성용</t>
    <phoneticPr fontId="2" type="noConversion"/>
  </si>
  <si>
    <t>조립</t>
    <phoneticPr fontId="2" type="noConversion"/>
  </si>
  <si>
    <t>김해공장</t>
    <phoneticPr fontId="2" type="noConversion"/>
  </si>
  <si>
    <t>2023-04-03/06/07(3일)</t>
    <phoneticPr fontId="2" type="noConversion"/>
  </si>
  <si>
    <t>SHI</t>
    <phoneticPr fontId="2" type="noConversion"/>
  </si>
  <si>
    <t>PV</t>
    <phoneticPr fontId="2" type="noConversion"/>
  </si>
  <si>
    <t>포장/수정작업</t>
    <phoneticPr fontId="2" type="noConversion"/>
  </si>
  <si>
    <t>사내작업</t>
    <phoneticPr fontId="2" type="noConversion"/>
  </si>
  <si>
    <t>납품전</t>
    <phoneticPr fontId="2" type="noConversion"/>
  </si>
  <si>
    <t>김해공장</t>
    <phoneticPr fontId="2" type="noConversion"/>
  </si>
  <si>
    <t>HMD</t>
    <phoneticPr fontId="2" type="noConversion"/>
  </si>
  <si>
    <t>H8299</t>
    <phoneticPr fontId="2" type="noConversion"/>
  </si>
  <si>
    <t>drain valve connection 부위에 리크 발생, Fwd crane 상부 Supp't 볼팅부 갭 발생 수정, Fwd Jib rest 구간에 Luffing down 시 Gap 없이 놓여짐. 조정 필요, Pedestal M/H N/plate설치</t>
    <phoneticPr fontId="2" type="noConversion"/>
  </si>
  <si>
    <t>벤드브레이크 Support 누락 / 핸들 나사산 Pitch 조정 / 시운전</t>
    <phoneticPr fontId="2" type="noConversion"/>
  </si>
  <si>
    <t>2023-04-11~ 4-12(2일)</t>
    <phoneticPr fontId="2" type="noConversion"/>
  </si>
  <si>
    <t>A/S</t>
    <phoneticPr fontId="2" type="noConversion"/>
  </si>
  <si>
    <t>선주코멘트</t>
    <phoneticPr fontId="2" type="noConversion"/>
  </si>
  <si>
    <t>도면 개정</t>
    <phoneticPr fontId="2" type="noConversion"/>
  </si>
  <si>
    <t>도면 개정</t>
    <phoneticPr fontId="2" type="noConversion"/>
  </si>
  <si>
    <t>검사</t>
    <phoneticPr fontId="2" type="noConversion"/>
  </si>
  <si>
    <t>강지원</t>
    <phoneticPr fontId="2" type="noConversion"/>
  </si>
  <si>
    <t xml:space="preserve">PV </t>
    <phoneticPr fontId="2" type="noConversion"/>
  </si>
  <si>
    <t>검사입회</t>
    <phoneticPr fontId="2" type="noConversion"/>
  </si>
  <si>
    <t>SN2461</t>
    <phoneticPr fontId="2" type="noConversion"/>
  </si>
  <si>
    <t>인도전</t>
    <phoneticPr fontId="2" type="noConversion"/>
  </si>
  <si>
    <t>P168</t>
    <phoneticPr fontId="2" type="noConversion"/>
  </si>
  <si>
    <t>S192</t>
  </si>
  <si>
    <t>S192</t>
    <phoneticPr fontId="2" type="noConversion"/>
  </si>
  <si>
    <t>DC</t>
  </si>
  <si>
    <t>DC</t>
    <phoneticPr fontId="2" type="noConversion"/>
  </si>
  <si>
    <t>A/S</t>
    <phoneticPr fontId="2" type="noConversion"/>
  </si>
  <si>
    <t>인도전</t>
    <phoneticPr fontId="2" type="noConversion"/>
  </si>
  <si>
    <t>HJ중공업</t>
  </si>
  <si>
    <t>디에스티(1)</t>
    <phoneticPr fontId="2" type="noConversion"/>
  </si>
  <si>
    <t>무상</t>
    <phoneticPr fontId="2" type="noConversion"/>
  </si>
  <si>
    <t>아이앤지(2)</t>
    <phoneticPr fontId="2" type="noConversion"/>
  </si>
  <si>
    <t>아이앤지(3)</t>
  </si>
  <si>
    <t>이성희, 차영석</t>
  </si>
  <si>
    <t>4/29 ~ 5/2</t>
  </si>
  <si>
    <t>사내작업</t>
    <phoneticPr fontId="2" type="noConversion"/>
  </si>
  <si>
    <t>납품전</t>
    <phoneticPr fontId="2" type="noConversion"/>
  </si>
  <si>
    <t>김해공장</t>
    <phoneticPr fontId="2" type="noConversion"/>
  </si>
  <si>
    <t>DC</t>
    <phoneticPr fontId="2" type="noConversion"/>
  </si>
  <si>
    <t>포장, 덴소, 도장</t>
  </si>
  <si>
    <t>-</t>
    <phoneticPr fontId="2" type="noConversion"/>
  </si>
  <si>
    <t>탑재 (슬립링, 모터, U/P설치)</t>
  </si>
  <si>
    <t>탑재(JIB, K/JIB 조립)</t>
  </si>
  <si>
    <t>탑재 (JIB 설치)</t>
  </si>
  <si>
    <t>포장반 지원</t>
  </si>
  <si>
    <t>납품/설치</t>
  </si>
  <si>
    <t>HHI</t>
    <phoneticPr fontId="2" type="noConversion"/>
  </si>
  <si>
    <t>밴드 브레이크 수정</t>
    <phoneticPr fontId="2" type="noConversion"/>
  </si>
  <si>
    <t>CLAIM</t>
    <phoneticPr fontId="2" type="noConversion"/>
  </si>
  <si>
    <t>SHI</t>
    <phoneticPr fontId="2" type="noConversion"/>
  </si>
  <si>
    <t>PV</t>
    <phoneticPr fontId="2" type="noConversion"/>
  </si>
  <si>
    <t>HH</t>
    <phoneticPr fontId="2" type="noConversion"/>
  </si>
  <si>
    <t>와이어 로프 교체</t>
    <phoneticPr fontId="2" type="noConversion"/>
  </si>
  <si>
    <t>유니버셜조인트, 조인트 커버 설치</t>
    <phoneticPr fontId="2" type="noConversion"/>
  </si>
  <si>
    <t>신명(3)</t>
    <phoneticPr fontId="2" type="noConversion"/>
  </si>
  <si>
    <t>무상</t>
    <phoneticPr fontId="2" type="noConversion"/>
  </si>
  <si>
    <t>이광형</t>
    <phoneticPr fontId="2" type="noConversion"/>
  </si>
  <si>
    <t>5/9 ~ 5/10</t>
    <phoneticPr fontId="2" type="noConversion"/>
  </si>
  <si>
    <t>LWN</t>
    <phoneticPr fontId="2" type="noConversion"/>
  </si>
  <si>
    <t>진진(4)</t>
    <phoneticPr fontId="2" type="noConversion"/>
  </si>
  <si>
    <t>TEST PEDESTAL 용접</t>
    <phoneticPr fontId="2" type="noConversion"/>
  </si>
  <si>
    <t>크레인 탑재</t>
    <phoneticPr fontId="2" type="noConversion"/>
  </si>
  <si>
    <t>이광형</t>
    <phoneticPr fontId="2" type="noConversion"/>
  </si>
  <si>
    <t>탑재 작업 추가 요구</t>
    <phoneticPr fontId="2" type="noConversion"/>
  </si>
  <si>
    <t>제작불량 (무상) _ 제작사(유성기공) 구상권 청구 함</t>
    <phoneticPr fontId="2" type="noConversion"/>
  </si>
  <si>
    <t>와이어 정렬 불량 (무상)</t>
    <phoneticPr fontId="2" type="noConversion"/>
  </si>
  <si>
    <t>A/S</t>
    <phoneticPr fontId="2" type="noConversion"/>
  </si>
  <si>
    <t>인도전</t>
    <phoneticPr fontId="2" type="noConversion"/>
  </si>
  <si>
    <t>DSME</t>
    <phoneticPr fontId="2" type="noConversion"/>
  </si>
  <si>
    <t>ROV</t>
    <phoneticPr fontId="2" type="noConversion"/>
  </si>
  <si>
    <t>정비창 교육</t>
    <phoneticPr fontId="2" type="noConversion"/>
  </si>
  <si>
    <t>디에스티(1)</t>
    <phoneticPr fontId="2" type="noConversion"/>
  </si>
  <si>
    <t>계약사항 (무상)</t>
    <phoneticPr fontId="2" type="noConversion"/>
  </si>
  <si>
    <t>순천공장 매각에 따른 추가 작업</t>
    <phoneticPr fontId="2" type="noConversion"/>
  </si>
  <si>
    <t>5/3(수)</t>
  </si>
  <si>
    <t>      750,000</t>
  </si>
  <si>
    <t>5/4(목)</t>
  </si>
  <si>
    <t>      500,000</t>
  </si>
  <si>
    <t>5/5(금)</t>
  </si>
  <si>
    <t>더베스트솔루션</t>
    <phoneticPr fontId="2" type="noConversion"/>
  </si>
  <si>
    <t>CMR</t>
    <phoneticPr fontId="2" type="noConversion"/>
  </si>
  <si>
    <t>해상시운전 (통선 16시) 1박2일</t>
    <phoneticPr fontId="2" type="noConversion"/>
  </si>
  <si>
    <t>디에스티, 동아(1)</t>
    <phoneticPr fontId="2" type="noConversion"/>
  </si>
  <si>
    <t>진해항</t>
    <phoneticPr fontId="2" type="noConversion"/>
  </si>
  <si>
    <t>와이어 정렬 불량 (파고듦) 수정</t>
    <phoneticPr fontId="2" type="noConversion"/>
  </si>
  <si>
    <t>유압 호스 실측 및 설치</t>
    <phoneticPr fontId="2" type="noConversion"/>
  </si>
  <si>
    <t>도면 불량 (무상)</t>
    <phoneticPr fontId="2" type="noConversion"/>
  </si>
  <si>
    <t>강지원</t>
    <phoneticPr fontId="2" type="noConversion"/>
  </si>
  <si>
    <t>납품전</t>
    <phoneticPr fontId="2" type="noConversion"/>
  </si>
  <si>
    <t>김해공장</t>
    <phoneticPr fontId="2" type="noConversion"/>
  </si>
  <si>
    <t>PV</t>
    <phoneticPr fontId="2" type="noConversion"/>
  </si>
  <si>
    <t>포장/덴소/도장보수</t>
    <phoneticPr fontId="2" type="noConversion"/>
  </si>
  <si>
    <t>강지원</t>
    <phoneticPr fontId="2" type="noConversion"/>
  </si>
  <si>
    <t>외주(2)</t>
    <phoneticPr fontId="2" type="noConversion"/>
  </si>
  <si>
    <t>-</t>
    <phoneticPr fontId="2" type="noConversion"/>
  </si>
  <si>
    <t>DV</t>
    <phoneticPr fontId="2" type="noConversion"/>
  </si>
  <si>
    <t>P/D 포장/도장보수</t>
    <phoneticPr fontId="2" type="noConversion"/>
  </si>
  <si>
    <t>MRS108</t>
    <phoneticPr fontId="2" type="noConversion"/>
  </si>
  <si>
    <t>KT</t>
    <phoneticPr fontId="2" type="noConversion"/>
  </si>
  <si>
    <t>ML.,HT,RB,RCS</t>
    <phoneticPr fontId="2" type="noConversion"/>
  </si>
  <si>
    <t>코멘트 조치</t>
    <phoneticPr fontId="2" type="noConversion"/>
  </si>
  <si>
    <t>ER</t>
    <phoneticPr fontId="2" type="noConversion"/>
  </si>
  <si>
    <t>업체</t>
    <phoneticPr fontId="2" type="noConversion"/>
  </si>
  <si>
    <t>보증수리 조치 (RCS라이너, ML기어반출 외)</t>
    <phoneticPr fontId="2" type="noConversion"/>
  </si>
  <si>
    <t>P157</t>
    <phoneticPr fontId="2" type="noConversion"/>
  </si>
  <si>
    <t>가이드 롤러 교체, 레일 수정</t>
    <phoneticPr fontId="2" type="noConversion"/>
  </si>
  <si>
    <t>진진(2)</t>
    <phoneticPr fontId="2" type="noConversion"/>
  </si>
  <si>
    <t>진동 보강 (용접 후 도장, 인도6/2일)</t>
    <phoneticPr fontId="2" type="noConversion"/>
  </si>
  <si>
    <t>해수 누수, 오일 누유</t>
    <phoneticPr fontId="2" type="noConversion"/>
  </si>
  <si>
    <t>315함</t>
    <phoneticPr fontId="2" type="noConversion"/>
  </si>
  <si>
    <t>RB</t>
    <phoneticPr fontId="2" type="noConversion"/>
  </si>
  <si>
    <t>운용 점검/조치 (1박2일)</t>
    <phoneticPr fontId="2" type="noConversion"/>
  </si>
  <si>
    <t>박주성</t>
    <phoneticPr fontId="2" type="noConversion"/>
  </si>
  <si>
    <t>안상민</t>
    <phoneticPr fontId="2" type="noConversion"/>
  </si>
  <si>
    <t>박주성</t>
    <phoneticPr fontId="2" type="noConversion"/>
  </si>
  <si>
    <t>보증수리</t>
    <phoneticPr fontId="2" type="noConversion"/>
  </si>
  <si>
    <t>개선사항 (설계변경)</t>
    <phoneticPr fontId="2" type="noConversion"/>
  </si>
  <si>
    <t>선주코멘트 (설계변경)</t>
    <phoneticPr fontId="2" type="noConversion"/>
  </si>
  <si>
    <t>무상</t>
    <phoneticPr fontId="2" type="noConversion"/>
  </si>
  <si>
    <t>아이앤지(2)</t>
    <phoneticPr fontId="2" type="noConversion"/>
  </si>
  <si>
    <t>박성용</t>
    <phoneticPr fontId="2" type="noConversion"/>
  </si>
  <si>
    <t>SWN0271</t>
    <phoneticPr fontId="2" type="noConversion"/>
  </si>
  <si>
    <t>진진(1)</t>
    <phoneticPr fontId="2" type="noConversion"/>
  </si>
  <si>
    <t>무상</t>
    <phoneticPr fontId="2" type="noConversion"/>
  </si>
  <si>
    <t>안상민</t>
    <phoneticPr fontId="2" type="noConversion"/>
  </si>
  <si>
    <t>진진(3)</t>
    <phoneticPr fontId="2" type="noConversion"/>
  </si>
  <si>
    <t>DSME</t>
    <phoneticPr fontId="2" type="noConversion"/>
  </si>
  <si>
    <t>박성용</t>
    <phoneticPr fontId="2" type="noConversion"/>
  </si>
  <si>
    <t>DC</t>
    <phoneticPr fontId="2" type="noConversion"/>
  </si>
  <si>
    <t>PV</t>
    <phoneticPr fontId="2" type="noConversion"/>
  </si>
  <si>
    <t>MRS108</t>
    <phoneticPr fontId="2" type="noConversion"/>
  </si>
  <si>
    <t>KT</t>
    <phoneticPr fontId="2" type="noConversion"/>
  </si>
  <si>
    <t>DB6601</t>
    <phoneticPr fontId="2" type="noConversion"/>
  </si>
  <si>
    <t>ER</t>
    <phoneticPr fontId="2" type="noConversion"/>
  </si>
  <si>
    <t>A/S</t>
    <phoneticPr fontId="2" type="noConversion"/>
  </si>
  <si>
    <t>무상</t>
    <phoneticPr fontId="2" type="noConversion"/>
  </si>
  <si>
    <t>신명(1)</t>
    <phoneticPr fontId="2" type="noConversion"/>
  </si>
  <si>
    <t>CMR</t>
    <phoneticPr fontId="2" type="noConversion"/>
  </si>
  <si>
    <t>조인트커버 수정/설치</t>
    <phoneticPr fontId="2" type="noConversion"/>
  </si>
  <si>
    <t>인도전</t>
    <phoneticPr fontId="2" type="noConversion"/>
  </si>
  <si>
    <t>SHI</t>
    <phoneticPr fontId="2" type="noConversion"/>
  </si>
  <si>
    <t>진해해군</t>
    <phoneticPr fontId="2" type="noConversion"/>
  </si>
  <si>
    <t>인도전</t>
    <phoneticPr fontId="2" type="noConversion"/>
  </si>
  <si>
    <t>ML, RCS</t>
    <phoneticPr fontId="2" type="noConversion"/>
  </si>
  <si>
    <t>박성용, 안상민</t>
    <phoneticPr fontId="2" type="noConversion"/>
  </si>
  <si>
    <t>기어 설치, 센서 작동 유무 확인 / 보증수리 마무리, 완료 서명</t>
    <phoneticPr fontId="2" type="noConversion"/>
  </si>
  <si>
    <t>CLAIM</t>
    <phoneticPr fontId="2" type="noConversion"/>
  </si>
  <si>
    <t>A/S</t>
    <phoneticPr fontId="2" type="noConversion"/>
  </si>
  <si>
    <t>도면불량 (무상)</t>
    <phoneticPr fontId="2" type="noConversion"/>
  </si>
  <si>
    <t>아이앤지(2)</t>
    <phoneticPr fontId="2" type="noConversion"/>
  </si>
  <si>
    <t>보증수리 (무상)</t>
    <phoneticPr fontId="2" type="noConversion"/>
  </si>
  <si>
    <t>납품전</t>
    <phoneticPr fontId="2" type="noConversion"/>
  </si>
  <si>
    <t>PV</t>
    <phoneticPr fontId="2" type="noConversion"/>
  </si>
  <si>
    <t>김해공장</t>
    <phoneticPr fontId="2" type="noConversion"/>
  </si>
  <si>
    <t>진진(1)</t>
    <phoneticPr fontId="2" type="noConversion"/>
  </si>
  <si>
    <t>무상</t>
    <phoneticPr fontId="2" type="noConversion"/>
  </si>
  <si>
    <t>진동보강</t>
    <phoneticPr fontId="2" type="noConversion"/>
  </si>
  <si>
    <t>핸들 축 개선, 그리스 제거</t>
    <phoneticPr fontId="2" type="noConversion"/>
  </si>
  <si>
    <t>군산해경전용부두</t>
    <phoneticPr fontId="2" type="noConversion"/>
  </si>
  <si>
    <t>박성용</t>
    <phoneticPr fontId="2" type="noConversion"/>
  </si>
  <si>
    <t>진진(1)</t>
    <phoneticPr fontId="2" type="noConversion"/>
  </si>
  <si>
    <t>무상</t>
    <phoneticPr fontId="2" type="noConversion"/>
  </si>
  <si>
    <t>인도전</t>
    <phoneticPr fontId="2" type="noConversion"/>
  </si>
  <si>
    <t>SHI</t>
    <phoneticPr fontId="2" type="noConversion"/>
  </si>
  <si>
    <t>PV</t>
    <phoneticPr fontId="2" type="noConversion"/>
  </si>
  <si>
    <t>HHI</t>
    <phoneticPr fontId="2" type="noConversion"/>
  </si>
  <si>
    <t>2459/60/61</t>
    <phoneticPr fontId="2" type="noConversion"/>
  </si>
  <si>
    <t>신명(3)</t>
    <phoneticPr fontId="2" type="noConversion"/>
  </si>
  <si>
    <t>그리스 라인 오작 수정 (좌/우현)</t>
    <phoneticPr fontId="2" type="noConversion"/>
  </si>
  <si>
    <t>인도후</t>
    <phoneticPr fontId="2" type="noConversion"/>
  </si>
  <si>
    <t>CLAIM</t>
    <phoneticPr fontId="2" type="noConversion"/>
  </si>
  <si>
    <t>P157</t>
    <phoneticPr fontId="2" type="noConversion"/>
  </si>
  <si>
    <t>HD</t>
    <phoneticPr fontId="2" type="noConversion"/>
  </si>
  <si>
    <t>가이드 롤러 및 레일 수정</t>
    <phoneticPr fontId="2" type="noConversion"/>
  </si>
  <si>
    <t>박주성</t>
    <phoneticPr fontId="2" type="noConversion"/>
  </si>
  <si>
    <t>진진(3)</t>
    <phoneticPr fontId="2" type="noConversion"/>
  </si>
  <si>
    <t>유상</t>
    <phoneticPr fontId="2" type="noConversion"/>
  </si>
  <si>
    <t>유상수리</t>
    <phoneticPr fontId="2" type="noConversion"/>
  </si>
  <si>
    <t>도면불량 / 도면개정 적용</t>
    <phoneticPr fontId="2" type="noConversion"/>
  </si>
  <si>
    <t>개선사항</t>
    <phoneticPr fontId="2" type="noConversion"/>
  </si>
  <si>
    <t>도면불량 / 도면개정 적용</t>
    <phoneticPr fontId="2" type="noConversion"/>
  </si>
  <si>
    <t>선주코멘트/ 도면개정 적용</t>
    <phoneticPr fontId="2" type="noConversion"/>
  </si>
  <si>
    <t>P159</t>
    <phoneticPr fontId="2" type="noConversion"/>
  </si>
  <si>
    <t>인도후</t>
    <phoneticPr fontId="2" type="noConversion"/>
  </si>
  <si>
    <t>RB</t>
    <phoneticPr fontId="2" type="noConversion"/>
  </si>
  <si>
    <t>유상</t>
    <phoneticPr fontId="2" type="noConversion"/>
  </si>
  <si>
    <t>TC</t>
    <phoneticPr fontId="2" type="noConversion"/>
  </si>
  <si>
    <t>2460/61</t>
    <phoneticPr fontId="2" type="noConversion"/>
  </si>
  <si>
    <t>HH</t>
    <phoneticPr fontId="2" type="noConversion"/>
  </si>
  <si>
    <t>파이프 -&gt; 호스 변경</t>
    <phoneticPr fontId="2" type="noConversion"/>
  </si>
  <si>
    <t>디에스티(1)</t>
    <phoneticPr fontId="2" type="noConversion"/>
  </si>
  <si>
    <t>인도후</t>
    <phoneticPr fontId="2" type="noConversion"/>
  </si>
  <si>
    <t>포항</t>
    <phoneticPr fontId="2" type="noConversion"/>
  </si>
  <si>
    <t>P142</t>
    <phoneticPr fontId="2" type="noConversion"/>
  </si>
  <si>
    <t>HC</t>
    <phoneticPr fontId="2" type="noConversion"/>
  </si>
  <si>
    <t>부해치 고정장치 작동 불량</t>
    <phoneticPr fontId="2" type="noConversion"/>
  </si>
  <si>
    <t>씨앤엠(2)</t>
    <phoneticPr fontId="2" type="noConversion"/>
  </si>
  <si>
    <t>진진(1)</t>
    <phoneticPr fontId="2" type="noConversion"/>
  </si>
  <si>
    <t>와이어 절단 후 윈치 반출 (좌/우현)</t>
    <phoneticPr fontId="2" type="noConversion"/>
  </si>
  <si>
    <t>시운전 코멘트 조치 (도장보수, 와이어재설치, 킵 체인교체 용접, 도장)</t>
    <phoneticPr fontId="2" type="noConversion"/>
  </si>
  <si>
    <t>유상수리</t>
    <phoneticPr fontId="2" type="noConversion"/>
  </si>
  <si>
    <t>보증수리</t>
    <phoneticPr fontId="2" type="noConversion"/>
  </si>
  <si>
    <t>선주코멘트</t>
    <phoneticPr fontId="2" type="noConversion"/>
  </si>
  <si>
    <t>김해공장</t>
    <phoneticPr fontId="2" type="noConversion"/>
  </si>
  <si>
    <t>사내작업</t>
    <phoneticPr fontId="2" type="noConversion"/>
  </si>
  <si>
    <t>납품전</t>
    <phoneticPr fontId="2" type="noConversion"/>
  </si>
  <si>
    <t>김해공장</t>
    <phoneticPr fontId="2" type="noConversion"/>
  </si>
  <si>
    <t>N6157</t>
    <phoneticPr fontId="2" type="noConversion"/>
  </si>
  <si>
    <t>HT</t>
    <phoneticPr fontId="2" type="noConversion"/>
  </si>
  <si>
    <t>덴소/도장/포장</t>
    <phoneticPr fontId="2" type="noConversion"/>
  </si>
  <si>
    <t>강지원</t>
    <phoneticPr fontId="2" type="noConversion"/>
  </si>
  <si>
    <t>포장지원</t>
    <phoneticPr fontId="2" type="noConversion"/>
  </si>
  <si>
    <t>외주(4)</t>
    <phoneticPr fontId="2" type="noConversion"/>
  </si>
  <si>
    <t>인도전</t>
    <phoneticPr fontId="2" type="noConversion"/>
  </si>
  <si>
    <t>디에스티(2)</t>
    <phoneticPr fontId="2" type="noConversion"/>
  </si>
  <si>
    <t>A/S</t>
    <phoneticPr fontId="2" type="noConversion"/>
  </si>
  <si>
    <t>DSME</t>
    <phoneticPr fontId="2" type="noConversion"/>
  </si>
  <si>
    <t>TC</t>
    <phoneticPr fontId="2" type="noConversion"/>
  </si>
  <si>
    <t>코멘트 조치 (와이어 정렬 외)</t>
    <phoneticPr fontId="2" type="noConversion"/>
  </si>
  <si>
    <t>박성용</t>
    <phoneticPr fontId="2" type="noConversion"/>
  </si>
  <si>
    <t>아이앤지(2)</t>
    <phoneticPr fontId="2" type="noConversion"/>
  </si>
  <si>
    <t>무상</t>
    <phoneticPr fontId="2" type="noConversion"/>
  </si>
  <si>
    <t>설계 오작 수정 작업</t>
    <phoneticPr fontId="2" type="noConversion"/>
  </si>
  <si>
    <t>GNN0014</t>
    <phoneticPr fontId="2" type="noConversion"/>
  </si>
  <si>
    <t>KT</t>
    <phoneticPr fontId="2" type="noConversion"/>
  </si>
  <si>
    <t>PV</t>
    <phoneticPr fontId="2" type="noConversion"/>
  </si>
  <si>
    <t>덴소/도장보수/포장</t>
    <phoneticPr fontId="2" type="noConversion"/>
  </si>
  <si>
    <t>강지원</t>
    <phoneticPr fontId="2" type="noConversion"/>
  </si>
  <si>
    <t>조립/설치 지원</t>
    <phoneticPr fontId="2" type="noConversion"/>
  </si>
  <si>
    <t>포장 지원</t>
    <phoneticPr fontId="2" type="noConversion"/>
  </si>
  <si>
    <t>선주코멘트</t>
    <phoneticPr fontId="2" type="noConversion"/>
  </si>
  <si>
    <t>선주코멘트</t>
    <phoneticPr fontId="2" type="noConversion"/>
  </si>
  <si>
    <t>아이앤지(3)</t>
    <phoneticPr fontId="2" type="noConversion"/>
  </si>
  <si>
    <t>설치 지원</t>
    <phoneticPr fontId="2" type="noConversion"/>
  </si>
  <si>
    <t>SN2459/60/61</t>
    <phoneticPr fontId="2" type="noConversion"/>
  </si>
  <si>
    <t>그리스라인 절단 및 재설치, 도장 보수</t>
    <phoneticPr fontId="2" type="noConversion"/>
  </si>
  <si>
    <t>도면오작, 사전품의완료</t>
    <phoneticPr fontId="2" type="noConversion"/>
  </si>
  <si>
    <t>김해공장</t>
    <phoneticPr fontId="2" type="noConversion"/>
  </si>
  <si>
    <t>SB648</t>
    <phoneticPr fontId="2" type="noConversion"/>
  </si>
  <si>
    <t>조립/설치</t>
    <phoneticPr fontId="2" type="noConversion"/>
  </si>
  <si>
    <t>사내작업</t>
    <phoneticPr fontId="2" type="noConversion"/>
  </si>
  <si>
    <t>DSS</t>
    <phoneticPr fontId="2" type="noConversion"/>
  </si>
  <si>
    <t>미래중공업</t>
    <phoneticPr fontId="2" type="noConversion"/>
  </si>
  <si>
    <t>납품전</t>
    <phoneticPr fontId="2" type="noConversion"/>
  </si>
  <si>
    <t>김해공장</t>
    <phoneticPr fontId="2" type="noConversion"/>
  </si>
  <si>
    <t>박주성</t>
    <phoneticPr fontId="2" type="noConversion"/>
  </si>
  <si>
    <t>GNN0014</t>
    <phoneticPr fontId="2" type="noConversion"/>
  </si>
  <si>
    <t>K/T</t>
    <phoneticPr fontId="2" type="noConversion"/>
  </si>
  <si>
    <t>설계 오작 수정 작업</t>
    <phoneticPr fontId="2" type="noConversion"/>
  </si>
  <si>
    <t>다음달 2517</t>
    <phoneticPr fontId="2" type="noConversion"/>
  </si>
  <si>
    <t>사전품의 완료</t>
    <phoneticPr fontId="2" type="noConversion"/>
  </si>
  <si>
    <t>아이앤지</t>
    <phoneticPr fontId="2" type="noConversion"/>
  </si>
  <si>
    <t>CLAIM</t>
    <phoneticPr fontId="2" type="noConversion"/>
  </si>
  <si>
    <t>인도전</t>
    <phoneticPr fontId="2" type="noConversion"/>
  </si>
  <si>
    <t>HHI</t>
    <phoneticPr fontId="2" type="noConversion"/>
  </si>
  <si>
    <t>P167</t>
    <phoneticPr fontId="2" type="noConversion"/>
  </si>
  <si>
    <t>ML</t>
    <phoneticPr fontId="2" type="noConversion"/>
  </si>
  <si>
    <t>박성용</t>
  </si>
  <si>
    <t>박성용</t>
    <phoneticPr fontId="2" type="noConversion"/>
  </si>
  <si>
    <t>PV</t>
  </si>
  <si>
    <t>우신(2)</t>
    <phoneticPr fontId="2" type="noConversion"/>
  </si>
  <si>
    <t>코멘트 조치 (롤러이탈수정, 사이드롤러설치 후 도장, 토글핀 적용, 리미트스위치2개 공급)</t>
    <phoneticPr fontId="2" type="noConversion"/>
  </si>
  <si>
    <t>SHI</t>
    <phoneticPr fontId="2" type="noConversion"/>
  </si>
  <si>
    <t>2023-07-10 ~ 2023-07-14</t>
    <phoneticPr fontId="2" type="noConversion"/>
  </si>
  <si>
    <t>외주(5)</t>
    <phoneticPr fontId="2" type="noConversion"/>
  </si>
  <si>
    <t>2023-07-13 ~ 2023-07-14</t>
    <phoneticPr fontId="2" type="noConversion"/>
  </si>
  <si>
    <t>우신(4)</t>
    <phoneticPr fontId="2" type="noConversion"/>
  </si>
  <si>
    <t>선주코멘트, 설계변경 적용 (무상)</t>
    <phoneticPr fontId="2" type="noConversion"/>
  </si>
  <si>
    <t>ROV</t>
    <phoneticPr fontId="2" type="noConversion"/>
  </si>
  <si>
    <t>납품전</t>
    <phoneticPr fontId="2" type="noConversion"/>
  </si>
  <si>
    <t>HMD</t>
  </si>
  <si>
    <t>HMD</t>
    <phoneticPr fontId="2" type="noConversion"/>
  </si>
  <si>
    <t>포장/ 덴소/ 도장</t>
    <phoneticPr fontId="2" type="noConversion"/>
  </si>
  <si>
    <t>강지원</t>
    <phoneticPr fontId="2" type="noConversion"/>
  </si>
  <si>
    <t>외주(2)</t>
  </si>
  <si>
    <t>외주(2)</t>
    <phoneticPr fontId="2" type="noConversion"/>
  </si>
  <si>
    <t>포장반 지원</t>
    <phoneticPr fontId="2" type="noConversion"/>
  </si>
  <si>
    <t>공장</t>
  </si>
  <si>
    <t>7/3(월)</t>
  </si>
  <si>
    <t>DSS</t>
  </si>
  <si>
    <t>SB648</t>
  </si>
  <si>
    <t>KT</t>
  </si>
  <si>
    <t>조립/설치</t>
  </si>
  <si>
    <t>이광형</t>
  </si>
  <si>
    <t>조립반 지원</t>
  </si>
  <si>
    <t>HJI</t>
  </si>
  <si>
    <t>DB6601</t>
  </si>
  <si>
    <t>덴소/ 포장</t>
  </si>
  <si>
    <t>7/4(화)</t>
  </si>
  <si>
    <t>자체테스트</t>
  </si>
  <si>
    <t>외주(1)</t>
  </si>
  <si>
    <t>      250,000</t>
  </si>
  <si>
    <t>7/5(수)</t>
  </si>
  <si>
    <t>검사입회</t>
  </si>
  <si>
    <t>인도후</t>
  </si>
  <si>
    <t>포항해군</t>
  </si>
  <si>
    <t>P142</t>
  </si>
  <si>
    <t>HC</t>
  </si>
  <si>
    <t>작동 불량 점검/조치</t>
  </si>
  <si>
    <t>씨앤엠(1)</t>
  </si>
  <si>
    <t>      450,000</t>
  </si>
  <si>
    <t>보증수리 (무상)</t>
  </si>
  <si>
    <t>SWN0272</t>
    <phoneticPr fontId="2" type="noConversion"/>
  </si>
  <si>
    <t>우신(2)</t>
    <phoneticPr fontId="2" type="noConversion"/>
  </si>
  <si>
    <t>진진(2)</t>
    <phoneticPr fontId="2" type="noConversion"/>
  </si>
  <si>
    <t>우신(1)</t>
    <phoneticPr fontId="2" type="noConversion"/>
  </si>
  <si>
    <t>플랜지 데미지 수정 (화기) - 3시 입항</t>
  </si>
  <si>
    <t>러핑 리미트 작동 불량, 로드 모멘트 모니터 정상 작동 여부 점검, 나무패드 손상 점검/확인</t>
  </si>
  <si>
    <t>GNN0014</t>
  </si>
  <si>
    <t>SKMT</t>
  </si>
  <si>
    <t>해체</t>
  </si>
  <si>
    <t>우신(2)</t>
  </si>
  <si>
    <t>인도전</t>
    <phoneticPr fontId="2" type="noConversion"/>
  </si>
  <si>
    <t>MRS106</t>
    <phoneticPr fontId="2" type="noConversion"/>
  </si>
  <si>
    <t>KT</t>
    <phoneticPr fontId="2" type="noConversion"/>
  </si>
  <si>
    <t>검사 준비</t>
  </si>
  <si>
    <t>검사 입회</t>
  </si>
  <si>
    <t>진진(1)</t>
  </si>
  <si>
    <t>보증수리 (웨이트 밸런스 정렬 외)</t>
    <phoneticPr fontId="2" type="noConversion"/>
  </si>
  <si>
    <t>CLAIM</t>
  </si>
  <si>
    <t>HD</t>
  </si>
  <si>
    <t>박주성</t>
  </si>
  <si>
    <t>2023-07-17 ~ 2023-07-21</t>
  </si>
  <si>
    <t>TEST P/D 용접</t>
  </si>
  <si>
    <t>진진(2)</t>
  </si>
  <si>
    <t>TEST PEDESTAL 용접</t>
  </si>
  <si>
    <t>외주(5)</t>
  </si>
  <si>
    <t>    1,250,000</t>
  </si>
  <si>
    <t>SHI</t>
  </si>
  <si>
    <t>포장/ 덴소/ 도장</t>
  </si>
  <si>
    <t>7/17(월)</t>
  </si>
  <si>
    <t>DOG 수정 자재 교체, 검사 준비</t>
  </si>
  <si>
    <t>우신(1)</t>
  </si>
  <si>
    <t>슬립링 간섭으로 인한 펌프시트 수정</t>
  </si>
  <si>
    <t>도면 변경 반영</t>
  </si>
  <si>
    <t>7/18(화)</t>
  </si>
  <si>
    <t>WD</t>
  </si>
  <si>
    <t>7/19(수)</t>
  </si>
  <si>
    <t>플랜지 데미지 보강</t>
  </si>
  <si>
    <t>진해해군</t>
  </si>
  <si>
    <t>P165</t>
  </si>
  <si>
    <t>보증수리 (아크릴판교체, 명판 교체, 박스 반출)</t>
  </si>
  <si>
    <t>보증수리</t>
  </si>
  <si>
    <t>7/20(목)</t>
  </si>
  <si>
    <t>보트 시트 교체</t>
  </si>
  <si>
    <t>선주코멘트</t>
  </si>
  <si>
    <t>7/21(금)</t>
  </si>
  <si>
    <t>목포해군</t>
  </si>
  <si>
    <t>SWN0272</t>
  </si>
  <si>
    <t>FC</t>
  </si>
  <si>
    <t>동아(1)</t>
  </si>
  <si>
    <t>도장보수 / 덴소 / 포장</t>
    <phoneticPr fontId="2" type="noConversion"/>
  </si>
  <si>
    <t>조립 / 설치</t>
    <phoneticPr fontId="2" type="noConversion"/>
  </si>
  <si>
    <t>2023-07-24 ~ 2023-07-28</t>
    <phoneticPr fontId="2" type="noConversion"/>
  </si>
  <si>
    <t>설치 문제점</t>
    <phoneticPr fontId="2" type="noConversion"/>
  </si>
  <si>
    <t>모터 설치</t>
    <phoneticPr fontId="2" type="noConversion"/>
  </si>
  <si>
    <t>이광형</t>
    <phoneticPr fontId="2" type="noConversion"/>
  </si>
  <si>
    <t>아이앤지</t>
    <phoneticPr fontId="2" type="noConversion"/>
  </si>
  <si>
    <t>우신테크</t>
    <phoneticPr fontId="2" type="noConversion"/>
  </si>
  <si>
    <t>리미트 교체</t>
    <phoneticPr fontId="2" type="noConversion"/>
  </si>
  <si>
    <r>
      <rPr>
        <sz val="10"/>
        <color rgb="FF000000"/>
        <rFont val="돋움"/>
        <family val="3"/>
        <charset val="129"/>
      </rPr>
      <t>실린더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분리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돋움"/>
        <family val="3"/>
        <charset val="129"/>
      </rPr>
      <t>간섭부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절단</t>
    </r>
    <phoneticPr fontId="2" type="noConversion"/>
  </si>
  <si>
    <r>
      <rPr>
        <sz val="10"/>
        <color rgb="FF000000"/>
        <rFont val="돋움"/>
        <family val="3"/>
        <charset val="129"/>
      </rPr>
      <t>플레이트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용접</t>
    </r>
    <phoneticPr fontId="2" type="noConversion"/>
  </si>
  <si>
    <r>
      <rPr>
        <sz val="10"/>
        <color rgb="FF000000"/>
        <rFont val="돋움"/>
        <family val="3"/>
        <charset val="129"/>
      </rPr>
      <t>실린더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재조립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돋움"/>
        <family val="3"/>
        <charset val="129"/>
      </rPr>
      <t>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레스트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용접</t>
    </r>
    <phoneticPr fontId="2" type="noConversion"/>
  </si>
  <si>
    <t>박주성</t>
    <phoneticPr fontId="2" type="noConversion"/>
  </si>
  <si>
    <t>SB648</t>
    <phoneticPr fontId="2" type="noConversion"/>
  </si>
  <si>
    <t>KT</t>
    <phoneticPr fontId="2" type="noConversion"/>
  </si>
  <si>
    <t>김해공장</t>
    <phoneticPr fontId="2" type="noConversion"/>
  </si>
  <si>
    <t>납품전</t>
    <phoneticPr fontId="2" type="noConversion"/>
  </si>
  <si>
    <t>사내작업</t>
    <phoneticPr fontId="2" type="noConversion"/>
  </si>
  <si>
    <t>GNN0014</t>
    <phoneticPr fontId="2" type="noConversion"/>
  </si>
  <si>
    <t>수정작업</t>
    <phoneticPr fontId="2" type="noConversion"/>
  </si>
  <si>
    <t>씨앤엠(1)</t>
    <phoneticPr fontId="2" type="noConversion"/>
  </si>
  <si>
    <t>2023-07-31 ~ 2023-08-01</t>
    <phoneticPr fontId="2" type="noConversion"/>
  </si>
  <si>
    <t>보트 시트 교체 (6도크)</t>
    <phoneticPr fontId="2" type="noConversion"/>
  </si>
  <si>
    <t>선주코멘트 조치</t>
    <phoneticPr fontId="2" type="noConversion"/>
  </si>
  <si>
    <t>SB648
GNN0014</t>
    <phoneticPr fontId="2" type="noConversion"/>
  </si>
  <si>
    <t>외주(2)</t>
    <phoneticPr fontId="2" type="noConversion"/>
  </si>
  <si>
    <t>CLAIM</t>
    <phoneticPr fontId="2" type="noConversion"/>
  </si>
  <si>
    <t>인도전</t>
    <phoneticPr fontId="2" type="noConversion"/>
  </si>
  <si>
    <t>SHI</t>
    <phoneticPr fontId="2" type="noConversion"/>
  </si>
  <si>
    <t>2460/61</t>
    <phoneticPr fontId="2" type="noConversion"/>
  </si>
  <si>
    <t>PV</t>
    <phoneticPr fontId="2" type="noConversion"/>
  </si>
  <si>
    <t>좌우현 리미트 블록 간섭으로 세팅 불가, 리미트 터치바 연장 수정</t>
    <phoneticPr fontId="2" type="noConversion"/>
  </si>
  <si>
    <t>신명(3)</t>
    <phoneticPr fontId="2" type="noConversion"/>
  </si>
  <si>
    <t>도면불량 조치</t>
    <phoneticPr fontId="2" type="noConversion"/>
  </si>
  <si>
    <t>박주성</t>
    <phoneticPr fontId="2" type="noConversion"/>
  </si>
  <si>
    <t>박주성</t>
    <phoneticPr fontId="2" type="noConversion"/>
  </si>
  <si>
    <t>강지원, 송영국</t>
    <phoneticPr fontId="2" type="noConversion"/>
  </si>
  <si>
    <t>우신(4)</t>
    <phoneticPr fontId="2" type="noConversion"/>
  </si>
  <si>
    <t>SB648
GNN0014
4209
2579</t>
    <phoneticPr fontId="2" type="noConversion"/>
  </si>
  <si>
    <t>KT
KT
PV
HH</t>
    <phoneticPr fontId="2" type="noConversion"/>
  </si>
  <si>
    <t>우신(10)</t>
    <phoneticPr fontId="2" type="noConversion"/>
  </si>
  <si>
    <t>아아앤지(5)</t>
    <phoneticPr fontId="2" type="noConversion"/>
  </si>
  <si>
    <t>DB6602
P170</t>
    <phoneticPr fontId="2" type="noConversion"/>
  </si>
  <si>
    <t>ER
HT</t>
    <phoneticPr fontId="2" type="noConversion"/>
  </si>
  <si>
    <t xml:space="preserve">녹제거  </t>
    <phoneticPr fontId="2" type="noConversion"/>
  </si>
  <si>
    <t>우신(1)</t>
    <phoneticPr fontId="2" type="noConversion"/>
  </si>
  <si>
    <t>LCP</t>
    <phoneticPr fontId="2" type="noConversion"/>
  </si>
  <si>
    <t>TR 교체</t>
    <phoneticPr fontId="2" type="noConversion"/>
  </si>
  <si>
    <t>아이앤지(2), 동아(1)</t>
    <phoneticPr fontId="2" type="noConversion"/>
  </si>
  <si>
    <t>박주성, 박성용</t>
    <phoneticPr fontId="2" type="noConversion"/>
  </si>
  <si>
    <t>2023-08-16 ~ 2023-08-18</t>
    <phoneticPr fontId="2" type="noConversion"/>
  </si>
  <si>
    <t>우신(6)</t>
    <phoneticPr fontId="2" type="noConversion"/>
  </si>
  <si>
    <t>SB648
2584
4209
2579</t>
    <phoneticPr fontId="2" type="noConversion"/>
  </si>
  <si>
    <t>KT
PV
PV
HH</t>
    <phoneticPr fontId="2" type="noConversion"/>
  </si>
  <si>
    <t>DB6602
P170
부산항만</t>
    <phoneticPr fontId="2" type="noConversion"/>
  </si>
  <si>
    <t>ER
HT
AMP</t>
    <phoneticPr fontId="2" type="noConversion"/>
  </si>
  <si>
    <t>플랫폼 핸드레일 용접부 파손</t>
    <phoneticPr fontId="2" type="noConversion"/>
  </si>
  <si>
    <t xml:space="preserve">아이앤지(2) </t>
    <phoneticPr fontId="2" type="noConversion"/>
  </si>
  <si>
    <t>원인점검 후 용접불량 시 제작업체 구상권청구</t>
    <phoneticPr fontId="2" type="noConversion"/>
  </si>
  <si>
    <t>아아앤지(4)</t>
    <phoneticPr fontId="2" type="noConversion"/>
  </si>
  <si>
    <t>진동 보강</t>
    <phoneticPr fontId="2" type="noConversion"/>
  </si>
  <si>
    <t>박성용</t>
    <phoneticPr fontId="2" type="noConversion"/>
  </si>
  <si>
    <t>우신(2)</t>
    <phoneticPr fontId="2" type="noConversion"/>
  </si>
  <si>
    <t>무상</t>
    <phoneticPr fontId="2" type="noConversion"/>
  </si>
  <si>
    <t>A/S</t>
    <phoneticPr fontId="2" type="noConversion"/>
  </si>
  <si>
    <t>인도전</t>
    <phoneticPr fontId="2" type="noConversion"/>
  </si>
  <si>
    <t>ROV</t>
    <phoneticPr fontId="2" type="noConversion"/>
  </si>
  <si>
    <t>도킹 패드 교체</t>
    <phoneticPr fontId="2" type="noConversion"/>
  </si>
  <si>
    <t>HMD</t>
    <phoneticPr fontId="2" type="noConversion"/>
  </si>
  <si>
    <t>PV</t>
    <phoneticPr fontId="2" type="noConversion"/>
  </si>
  <si>
    <t>SN2579</t>
    <phoneticPr fontId="2" type="noConversion"/>
  </si>
  <si>
    <t>HH</t>
    <phoneticPr fontId="2" type="noConversion"/>
  </si>
  <si>
    <t>외주(2)</t>
    <phoneticPr fontId="2" type="noConversion"/>
  </si>
  <si>
    <t>-</t>
    <phoneticPr fontId="2" type="noConversion"/>
  </si>
  <si>
    <t>보증수리</t>
    <phoneticPr fontId="2" type="noConversion"/>
  </si>
  <si>
    <t>계약사항</t>
    <phoneticPr fontId="2" type="noConversion"/>
  </si>
  <si>
    <t>선주코멘트</t>
    <phoneticPr fontId="2" type="noConversion"/>
  </si>
  <si>
    <t>계약사항</t>
    <phoneticPr fontId="2" type="noConversion"/>
  </si>
  <si>
    <t>동아(1)</t>
    <phoneticPr fontId="2" type="noConversion"/>
  </si>
  <si>
    <t>OAC</t>
    <phoneticPr fontId="2" type="noConversion"/>
  </si>
  <si>
    <t>박해식</t>
    <phoneticPr fontId="2" type="noConversion"/>
  </si>
  <si>
    <t>아이앤지(5)</t>
    <phoneticPr fontId="2" type="noConversion"/>
  </si>
  <si>
    <t>진진(1)</t>
    <phoneticPr fontId="2" type="noConversion"/>
  </si>
  <si>
    <t>인도후</t>
    <phoneticPr fontId="2" type="noConversion"/>
  </si>
  <si>
    <t>KN</t>
    <phoneticPr fontId="2" type="noConversion"/>
  </si>
  <si>
    <t>MSH05</t>
    <phoneticPr fontId="2" type="noConversion"/>
  </si>
  <si>
    <t>KT, HPU</t>
    <phoneticPr fontId="2" type="noConversion"/>
  </si>
  <si>
    <t>박성용</t>
    <phoneticPr fontId="2" type="noConversion"/>
  </si>
  <si>
    <t>외주(3)</t>
    <phoneticPr fontId="2" type="noConversion"/>
  </si>
  <si>
    <t>외주(1)</t>
    <phoneticPr fontId="2" type="noConversion"/>
  </si>
  <si>
    <t>외주(1)</t>
    <phoneticPr fontId="2" type="noConversion"/>
  </si>
  <si>
    <t>CMR</t>
    <phoneticPr fontId="2" type="noConversion"/>
  </si>
  <si>
    <t>조립반 지원</t>
    <phoneticPr fontId="2" type="noConversion"/>
  </si>
  <si>
    <t>포장반 지원</t>
    <phoneticPr fontId="2" type="noConversion"/>
  </si>
  <si>
    <t>외주(1)</t>
    <phoneticPr fontId="2" type="noConversion"/>
  </si>
  <si>
    <t>조립/ HOLE 시공 작업</t>
    <phoneticPr fontId="2" type="noConversion"/>
  </si>
  <si>
    <t>아이앤지(2)</t>
    <phoneticPr fontId="2" type="noConversion"/>
  </si>
  <si>
    <t>A/S</t>
    <phoneticPr fontId="2" type="noConversion"/>
  </si>
  <si>
    <t>SN2460</t>
    <phoneticPr fontId="2" type="noConversion"/>
  </si>
  <si>
    <t>PV</t>
    <phoneticPr fontId="2" type="noConversion"/>
  </si>
  <si>
    <t>무상</t>
    <phoneticPr fontId="2" type="noConversion"/>
  </si>
  <si>
    <t>포장지원</t>
    <phoneticPr fontId="2" type="noConversion"/>
  </si>
  <si>
    <t>인도후</t>
    <phoneticPr fontId="2" type="noConversion"/>
  </si>
  <si>
    <t>진해해군</t>
    <phoneticPr fontId="2" type="noConversion"/>
  </si>
  <si>
    <t>SW</t>
    <phoneticPr fontId="2" type="noConversion"/>
  </si>
  <si>
    <t>SWN0271</t>
    <phoneticPr fontId="2" type="noConversion"/>
  </si>
  <si>
    <t>박성용</t>
    <phoneticPr fontId="2" type="noConversion"/>
  </si>
  <si>
    <t>보증수리 항목 점검/협의/조치 (오후 미팅)</t>
    <phoneticPr fontId="2" type="noConversion"/>
  </si>
  <si>
    <t>진진(1)</t>
    <phoneticPr fontId="2" type="noConversion"/>
  </si>
  <si>
    <t>검사 입회 (검사 오전10시)</t>
    <phoneticPr fontId="2" type="noConversion"/>
  </si>
  <si>
    <t>P166</t>
    <phoneticPr fontId="2" type="noConversion"/>
  </si>
  <si>
    <t>RCS</t>
    <phoneticPr fontId="2" type="noConversion"/>
  </si>
  <si>
    <t>박성용</t>
    <phoneticPr fontId="2" type="noConversion"/>
  </si>
  <si>
    <t>우신(3)</t>
    <phoneticPr fontId="2" type="noConversion"/>
  </si>
  <si>
    <t>보증수리</t>
    <phoneticPr fontId="2" type="noConversion"/>
  </si>
  <si>
    <t>선주코멘트(설계변경)</t>
    <phoneticPr fontId="2" type="noConversion"/>
  </si>
  <si>
    <t>선주코멘트</t>
    <phoneticPr fontId="2" type="noConversion"/>
  </si>
  <si>
    <t>김해공장</t>
    <phoneticPr fontId="2" type="noConversion"/>
  </si>
  <si>
    <t>PV</t>
    <phoneticPr fontId="2" type="noConversion"/>
  </si>
  <si>
    <t>GNN0015</t>
    <phoneticPr fontId="2" type="noConversion"/>
  </si>
  <si>
    <t>KT</t>
    <phoneticPr fontId="2" type="noConversion"/>
  </si>
  <si>
    <t>DB6602</t>
    <phoneticPr fontId="2" type="noConversion"/>
  </si>
  <si>
    <t>PV</t>
    <phoneticPr fontId="2" type="noConversion"/>
  </si>
  <si>
    <t>조립 / 설치 지원</t>
    <phoneticPr fontId="2" type="noConversion"/>
  </si>
  <si>
    <t>아이앤지(2)</t>
    <phoneticPr fontId="2" type="noConversion"/>
  </si>
  <si>
    <t>아이앤지(1)</t>
    <phoneticPr fontId="2" type="noConversion"/>
  </si>
  <si>
    <t>아이앤지(2)</t>
    <phoneticPr fontId="2" type="noConversion"/>
  </si>
  <si>
    <t>조립반 지원</t>
    <phoneticPr fontId="2" type="noConversion"/>
  </si>
  <si>
    <t>ER</t>
    <phoneticPr fontId="2" type="noConversion"/>
  </si>
  <si>
    <t>덴소 / 포장 / 도장</t>
    <phoneticPr fontId="2" type="noConversion"/>
  </si>
  <si>
    <t>외주(2)</t>
    <phoneticPr fontId="2" type="noConversion"/>
  </si>
  <si>
    <t>포장반 지원</t>
    <phoneticPr fontId="2" type="noConversion"/>
  </si>
  <si>
    <t>더베솔9</t>
    <phoneticPr fontId="2" type="noConversion"/>
  </si>
  <si>
    <t>HHI</t>
    <phoneticPr fontId="2" type="noConversion"/>
  </si>
  <si>
    <t>RB</t>
    <phoneticPr fontId="2" type="noConversion"/>
  </si>
  <si>
    <t>S049</t>
    <phoneticPr fontId="2" type="noConversion"/>
  </si>
  <si>
    <r>
      <rPr>
        <sz val="10"/>
        <rFont val="돋움"/>
        <family val="3"/>
        <charset val="129"/>
      </rPr>
      <t>동아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이정문</t>
    </r>
    <r>
      <rPr>
        <sz val="10"/>
        <rFont val="Arial"/>
        <family val="2"/>
      </rPr>
      <t>)</t>
    </r>
    <phoneticPr fontId="2" type="noConversion"/>
  </si>
  <si>
    <t>2023-08-07 ~ 2023-08-11</t>
    <phoneticPr fontId="2" type="noConversion"/>
  </si>
  <si>
    <t>8/21 ~ 8/25</t>
    <phoneticPr fontId="2" type="noConversion"/>
  </si>
  <si>
    <t>8/28 ~ 9/01</t>
    <phoneticPr fontId="2" type="noConversion"/>
  </si>
  <si>
    <t>08/07 ~ 08/11</t>
    <phoneticPr fontId="2" type="noConversion"/>
  </si>
  <si>
    <t>08/16 ~ 08/18</t>
    <phoneticPr fontId="2" type="noConversion"/>
  </si>
  <si>
    <t>8/21 ~ 
8/25</t>
    <phoneticPr fontId="2" type="noConversion"/>
  </si>
  <si>
    <t>8/28 ~ 
9/01</t>
    <phoneticPr fontId="2" type="noConversion"/>
  </si>
  <si>
    <t>보트 시트 수정 및 코멘트 조치</t>
    <phoneticPr fontId="2" type="noConversion"/>
  </si>
  <si>
    <t>인도전</t>
    <phoneticPr fontId="2" type="noConversion"/>
  </si>
  <si>
    <t>진해해군</t>
    <phoneticPr fontId="2" type="noConversion"/>
  </si>
  <si>
    <t>MSH06</t>
    <phoneticPr fontId="2" type="noConversion"/>
  </si>
  <si>
    <t xml:space="preserve">HPU </t>
    <phoneticPr fontId="2" type="noConversion"/>
  </si>
  <si>
    <t>CLAIM</t>
    <phoneticPr fontId="2" type="noConversion"/>
  </si>
  <si>
    <r>
      <rPr>
        <sz val="10"/>
        <color rgb="FF000000"/>
        <rFont val="돋움"/>
        <family val="3"/>
        <charset val="129"/>
      </rPr>
      <t>플랫폼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핸드레일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용접불량</t>
    </r>
    <phoneticPr fontId="2" type="noConversion"/>
  </si>
  <si>
    <t>인도후</t>
    <phoneticPr fontId="2" type="noConversion"/>
  </si>
  <si>
    <t>P157</t>
    <phoneticPr fontId="2" type="noConversion"/>
  </si>
  <si>
    <t>LCP</t>
    <phoneticPr fontId="2" type="noConversion"/>
  </si>
  <si>
    <r>
      <rPr>
        <sz val="10"/>
        <color rgb="FF000000"/>
        <rFont val="돋움"/>
        <family val="3"/>
        <charset val="129"/>
      </rPr>
      <t>판넬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수밀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불량으로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인한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교체</t>
    </r>
    <phoneticPr fontId="2" type="noConversion"/>
  </si>
  <si>
    <t>박주성</t>
    <phoneticPr fontId="2" type="noConversion"/>
  </si>
  <si>
    <r>
      <rPr>
        <sz val="10"/>
        <color rgb="FF000000"/>
        <rFont val="돋움"/>
        <family val="3"/>
        <charset val="129"/>
      </rPr>
      <t>진동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보강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용접</t>
    </r>
    <r>
      <rPr>
        <sz val="10"/>
        <color rgb="FF000000"/>
        <rFont val="Arial"/>
        <family val="2"/>
      </rPr>
      <t>/</t>
    </r>
    <r>
      <rPr>
        <sz val="10"/>
        <color rgb="FF000000"/>
        <rFont val="돋움"/>
        <family val="3"/>
        <charset val="129"/>
      </rPr>
      <t>도장</t>
    </r>
    <phoneticPr fontId="2" type="noConversion"/>
  </si>
  <si>
    <t>SB648</t>
    <phoneticPr fontId="2" type="noConversion"/>
  </si>
  <si>
    <t>덴소 / 도장 / 크리닝 / 포장</t>
    <phoneticPr fontId="2" type="noConversion"/>
  </si>
  <si>
    <t>강지원</t>
    <phoneticPr fontId="2" type="noConversion"/>
  </si>
  <si>
    <t>GNN0014</t>
    <phoneticPr fontId="2" type="noConversion"/>
  </si>
  <si>
    <t>KT</t>
    <phoneticPr fontId="2" type="noConversion"/>
  </si>
  <si>
    <t>HH</t>
    <phoneticPr fontId="2" type="noConversion"/>
  </si>
  <si>
    <t>LOP(92도) 와 탱크(58도) 온도지시값 상이 (9시까지 해군의집)</t>
    <phoneticPr fontId="2" type="noConversion"/>
  </si>
  <si>
    <t>와이퍼 교체, 와이어 벌어짐 점검, 누유 조치 (오후)</t>
    <phoneticPr fontId="2" type="noConversion"/>
  </si>
  <si>
    <t>우신(2)</t>
    <phoneticPr fontId="2" type="noConversion"/>
  </si>
  <si>
    <t>강남조선</t>
    <phoneticPr fontId="2" type="noConversion"/>
  </si>
  <si>
    <t>HHI</t>
    <phoneticPr fontId="2" type="noConversion"/>
  </si>
  <si>
    <t>승조원 교육</t>
    <phoneticPr fontId="2" type="noConversion"/>
  </si>
  <si>
    <t>씨앤엠(1)</t>
    <phoneticPr fontId="2" type="noConversion"/>
  </si>
  <si>
    <t>강지원</t>
    <phoneticPr fontId="2" type="noConversion"/>
  </si>
  <si>
    <t>9/4 ~ 9/8</t>
    <phoneticPr fontId="2" type="noConversion"/>
  </si>
  <si>
    <t>도장 / 덴소/ 포장 지원</t>
    <phoneticPr fontId="2" type="noConversion"/>
  </si>
  <si>
    <t>강지원</t>
    <phoneticPr fontId="2" type="noConversion"/>
  </si>
  <si>
    <t>더베솔(2)</t>
    <phoneticPr fontId="2" type="noConversion"/>
  </si>
  <si>
    <t>포장반지원</t>
    <phoneticPr fontId="2" type="noConversion"/>
  </si>
  <si>
    <t>OAC</t>
    <phoneticPr fontId="2" type="noConversion"/>
  </si>
  <si>
    <t>아이앤지(3)</t>
    <phoneticPr fontId="2" type="noConversion"/>
  </si>
  <si>
    <t>무상</t>
    <phoneticPr fontId="2" type="noConversion"/>
  </si>
  <si>
    <t>무상</t>
    <phoneticPr fontId="2" type="noConversion"/>
  </si>
  <si>
    <t>무상</t>
    <phoneticPr fontId="2" type="noConversion"/>
  </si>
  <si>
    <t>인도전</t>
    <phoneticPr fontId="2" type="noConversion"/>
  </si>
  <si>
    <t>HMD</t>
    <phoneticPr fontId="2" type="noConversion"/>
  </si>
  <si>
    <t>LADDER 조립 불가</t>
    <phoneticPr fontId="2" type="noConversion"/>
  </si>
  <si>
    <t>아이앤지(2)</t>
    <phoneticPr fontId="2" type="noConversion"/>
  </si>
  <si>
    <t>수정 작업 시 원인 분석 예정</t>
    <phoneticPr fontId="2" type="noConversion"/>
  </si>
  <si>
    <t>선주코멘트</t>
    <phoneticPr fontId="2" type="noConversion"/>
  </si>
  <si>
    <t>삼원중공업</t>
    <phoneticPr fontId="2" type="noConversion"/>
  </si>
  <si>
    <t>키 플레이트 탈락/ 수정</t>
    <phoneticPr fontId="2" type="noConversion"/>
  </si>
  <si>
    <t>PV, HH</t>
    <phoneticPr fontId="2" type="noConversion"/>
  </si>
  <si>
    <t>PUNCH 조치 (HHC, PV 좌/우현)</t>
    <phoneticPr fontId="2" type="noConversion"/>
  </si>
  <si>
    <t>한화오션</t>
  </si>
  <si>
    <t>9/11 ~ 9/15</t>
    <phoneticPr fontId="2" type="noConversion"/>
  </si>
  <si>
    <t>녹제거 및 코멘트 조치</t>
    <phoneticPr fontId="2" type="noConversion"/>
  </si>
  <si>
    <t>인도전</t>
    <phoneticPr fontId="2" type="noConversion"/>
  </si>
  <si>
    <t>HHI</t>
    <phoneticPr fontId="2" type="noConversion"/>
  </si>
  <si>
    <t>P167</t>
    <phoneticPr fontId="2" type="noConversion"/>
  </si>
  <si>
    <t>PE</t>
    <phoneticPr fontId="2" type="noConversion"/>
  </si>
  <si>
    <t>검사 준비</t>
    <phoneticPr fontId="2" type="noConversion"/>
  </si>
  <si>
    <t>박성용</t>
    <phoneticPr fontId="2" type="noConversion"/>
  </si>
  <si>
    <t>우신(1)</t>
    <phoneticPr fontId="2" type="noConversion"/>
  </si>
  <si>
    <t>무상</t>
    <phoneticPr fontId="2" type="noConversion"/>
  </si>
  <si>
    <t>박성용</t>
    <phoneticPr fontId="2" type="noConversion"/>
  </si>
  <si>
    <t>진진(2)</t>
    <phoneticPr fontId="2" type="noConversion"/>
  </si>
  <si>
    <t>사전 점검 (보트 시트 용접 외 초기 작동, 검사준비)</t>
    <phoneticPr fontId="2" type="noConversion"/>
  </si>
  <si>
    <t>9/18 ~ 9/22</t>
    <phoneticPr fontId="2" type="noConversion"/>
  </si>
  <si>
    <t>아이앤지(3)</t>
    <phoneticPr fontId="2" type="noConversion"/>
  </si>
  <si>
    <t>김해공장</t>
    <phoneticPr fontId="2" type="noConversion"/>
  </si>
  <si>
    <t>계약사항 (무상)</t>
    <phoneticPr fontId="2" type="noConversion"/>
  </si>
  <si>
    <t>선주코멘트(무상)</t>
    <phoneticPr fontId="2" type="noConversion"/>
  </si>
  <si>
    <t>GNN0015</t>
    <phoneticPr fontId="2" type="noConversion"/>
  </si>
  <si>
    <t>KT</t>
    <phoneticPr fontId="2" type="noConversion"/>
  </si>
  <si>
    <t>포장반 지원</t>
    <phoneticPr fontId="2" type="noConversion"/>
  </si>
  <si>
    <t>우신(1)</t>
    <phoneticPr fontId="2" type="noConversion"/>
  </si>
  <si>
    <t>와이어꼬임 (좌/우현)</t>
    <phoneticPr fontId="2" type="noConversion"/>
  </si>
  <si>
    <t>정박 시운전</t>
    <phoneticPr fontId="2" type="noConversion"/>
  </si>
  <si>
    <t>boom 끝단 sheave 고정용 plate 설치</t>
    <phoneticPr fontId="2" type="noConversion"/>
  </si>
  <si>
    <t>9/25~ 9/27</t>
    <phoneticPr fontId="2" type="noConversion"/>
  </si>
  <si>
    <t>9/25 ~ 9/26</t>
    <phoneticPr fontId="2" type="noConversion"/>
  </si>
  <si>
    <t>더베솔(4)</t>
    <phoneticPr fontId="2" type="noConversion"/>
  </si>
  <si>
    <t>설계변경 (무상)</t>
    <phoneticPr fontId="2" type="noConversion"/>
  </si>
  <si>
    <t>한화오션</t>
    <phoneticPr fontId="2" type="noConversion"/>
  </si>
  <si>
    <t>아이앤지</t>
    <phoneticPr fontId="2" type="noConversion"/>
  </si>
  <si>
    <t>진진산업</t>
    <phoneticPr fontId="2" type="noConversion"/>
  </si>
  <si>
    <t>더베스트솔루션</t>
    <phoneticPr fontId="2" type="noConversion"/>
  </si>
  <si>
    <t>PV, CMR, HH</t>
    <phoneticPr fontId="2" type="noConversion"/>
  </si>
  <si>
    <t>한화오션</t>
    <phoneticPr fontId="2" type="noConversion"/>
  </si>
  <si>
    <t>우신(1)</t>
    <phoneticPr fontId="2" type="noConversion"/>
  </si>
  <si>
    <t>디에스티(1)</t>
    <phoneticPr fontId="2" type="noConversion"/>
  </si>
  <si>
    <t>P170</t>
    <phoneticPr fontId="2" type="noConversion"/>
  </si>
  <si>
    <t>좌/우현 유압 호스 설치 불량으로 리미트 세팅 불가, LADDER HOLE 제관 불량 수정, 맨홀 볼트 1개 누락 (0B안벽)</t>
    <phoneticPr fontId="2" type="noConversion"/>
  </si>
  <si>
    <t>무궁화32호</t>
    <phoneticPr fontId="2" type="noConversion"/>
  </si>
  <si>
    <t>RB</t>
    <phoneticPr fontId="2" type="noConversion"/>
  </si>
  <si>
    <t>10/10 ~ 10/13</t>
    <phoneticPr fontId="2" type="noConversion"/>
  </si>
  <si>
    <t>HH</t>
    <phoneticPr fontId="2" type="noConversion"/>
  </si>
  <si>
    <t>계약사항 (무상)</t>
    <phoneticPr fontId="2" type="noConversion"/>
  </si>
  <si>
    <t>선주코멘트 및 제관불량
- 업체(유성기공) 구상권 청구예정</t>
    <phoneticPr fontId="2" type="noConversion"/>
  </si>
  <si>
    <t>무상</t>
    <phoneticPr fontId="2" type="noConversion"/>
  </si>
  <si>
    <t>우신(1)</t>
    <phoneticPr fontId="2" type="noConversion"/>
  </si>
  <si>
    <t xml:space="preserve"> 검사 (10시) 및 승조원 교육</t>
    <phoneticPr fontId="2" type="noConversion"/>
  </si>
  <si>
    <t>정박 시운전 및 검사 준비</t>
    <phoneticPr fontId="2" type="noConversion"/>
  </si>
  <si>
    <t>박성용</t>
    <phoneticPr fontId="2" type="noConversion"/>
  </si>
  <si>
    <t>P170</t>
    <phoneticPr fontId="2" type="noConversion"/>
  </si>
  <si>
    <t>HT</t>
    <phoneticPr fontId="2" type="noConversion"/>
  </si>
  <si>
    <t>2023-10-16 ~ 10-20</t>
    <phoneticPr fontId="2" type="noConversion"/>
  </si>
  <si>
    <t>아이앤지(5)</t>
    <phoneticPr fontId="2" type="noConversion"/>
  </si>
  <si>
    <t>계약 사항</t>
    <phoneticPr fontId="2" type="noConversion"/>
  </si>
  <si>
    <t>김해공장</t>
    <phoneticPr fontId="2" type="noConversion"/>
  </si>
  <si>
    <t>2023-10-23 ~ 10-27</t>
    <phoneticPr fontId="2" type="noConversion"/>
  </si>
  <si>
    <t>플랫폼 진동 보강 (좌/우현)</t>
    <phoneticPr fontId="2" type="noConversion"/>
  </si>
  <si>
    <t>선주코멘트(설계변경 적용)</t>
    <phoneticPr fontId="2" type="noConversion"/>
  </si>
  <si>
    <t>A/S</t>
    <phoneticPr fontId="2" type="noConversion"/>
  </si>
  <si>
    <t>검사</t>
    <phoneticPr fontId="2" type="noConversion"/>
  </si>
  <si>
    <t>동아(1), 디에스티(1), 진진(1)</t>
    <phoneticPr fontId="2" type="noConversion"/>
  </si>
  <si>
    <t>부산항만</t>
    <phoneticPr fontId="2" type="noConversion"/>
  </si>
  <si>
    <t>AMP</t>
    <phoneticPr fontId="2" type="noConversion"/>
  </si>
  <si>
    <t>박성용</t>
    <phoneticPr fontId="2" type="noConversion"/>
  </si>
  <si>
    <t>박성용</t>
    <phoneticPr fontId="2" type="noConversion"/>
  </si>
  <si>
    <t>CLAIM</t>
    <phoneticPr fontId="2" type="noConversion"/>
  </si>
  <si>
    <t>인도전</t>
    <phoneticPr fontId="2" type="noConversion"/>
  </si>
  <si>
    <t>미래중공업</t>
    <phoneticPr fontId="2" type="noConversion"/>
  </si>
  <si>
    <t>MRS106</t>
    <phoneticPr fontId="2" type="noConversion"/>
  </si>
  <si>
    <t>KT</t>
    <phoneticPr fontId="2" type="noConversion"/>
  </si>
  <si>
    <t>진진(1)</t>
    <phoneticPr fontId="2" type="noConversion"/>
  </si>
  <si>
    <t>2023-10-30 ~ 11-03</t>
    <phoneticPr fontId="2" type="noConversion"/>
  </si>
  <si>
    <t>도면불량 (설계방안검토중)</t>
    <phoneticPr fontId="2" type="noConversion"/>
  </si>
  <si>
    <t xml:space="preserve">SHEAVE BLOCK 문제 임시 조치 </t>
    <phoneticPr fontId="2" type="noConversion"/>
  </si>
  <si>
    <t>범양(1)</t>
    <phoneticPr fontId="2" type="noConversion"/>
  </si>
  <si>
    <t>SHI</t>
    <phoneticPr fontId="2" type="noConversion"/>
  </si>
  <si>
    <t>SN2461</t>
    <phoneticPr fontId="2" type="noConversion"/>
  </si>
  <si>
    <t>PV, CMR</t>
    <phoneticPr fontId="2" type="noConversion"/>
  </si>
  <si>
    <t>아이앤지</t>
    <phoneticPr fontId="2" type="noConversion"/>
  </si>
  <si>
    <t>우신</t>
    <phoneticPr fontId="2" type="noConversion"/>
  </si>
  <si>
    <t>아이앤지</t>
    <phoneticPr fontId="2" type="noConversion"/>
  </si>
  <si>
    <t>완료</t>
    <phoneticPr fontId="2" type="noConversion"/>
  </si>
  <si>
    <t>우신테크</t>
    <phoneticPr fontId="2" type="noConversion"/>
  </si>
  <si>
    <t>실행 예산에 부합함</t>
    <phoneticPr fontId="2" type="noConversion"/>
  </si>
  <si>
    <t>인도전</t>
    <phoneticPr fontId="2" type="noConversion"/>
  </si>
  <si>
    <t>한화오션</t>
    <phoneticPr fontId="2" type="noConversion"/>
  </si>
  <si>
    <t>ROV</t>
    <phoneticPr fontId="2" type="noConversion"/>
  </si>
  <si>
    <t>2023-11-06 ~ 11-10</t>
    <phoneticPr fontId="2" type="noConversion"/>
  </si>
  <si>
    <t>2023-11-6 ~ 11-10</t>
    <phoneticPr fontId="2" type="noConversion"/>
  </si>
  <si>
    <t>HPU 온도 상승 점검/조치, 시운전, 해상시운전 입회</t>
    <phoneticPr fontId="2" type="noConversion"/>
  </si>
  <si>
    <t>가야(4)
디에스티(4)</t>
    <phoneticPr fontId="2" type="noConversion"/>
  </si>
  <si>
    <t>더베솔(2)</t>
    <phoneticPr fontId="2" type="noConversion"/>
  </si>
  <si>
    <t>더베솔(2)</t>
    <phoneticPr fontId="2" type="noConversion"/>
  </si>
  <si>
    <t>해치 도어 어레인지가 안맞음, 후크, LADDER 안쪽쏠림</t>
    <phoneticPr fontId="2" type="noConversion"/>
  </si>
  <si>
    <t>OAC</t>
    <phoneticPr fontId="2" type="noConversion"/>
  </si>
  <si>
    <t>우신(1)</t>
    <phoneticPr fontId="2" type="noConversion"/>
  </si>
  <si>
    <t>2023-11-15 ~ 11-17</t>
    <phoneticPr fontId="2" type="noConversion"/>
  </si>
  <si>
    <t>우신(1)</t>
    <phoneticPr fontId="2" type="noConversion"/>
  </si>
  <si>
    <t>시운전 지원</t>
    <phoneticPr fontId="2" type="noConversion"/>
  </si>
  <si>
    <t>시운전 / 검사 지원</t>
    <phoneticPr fontId="2" type="noConversion"/>
  </si>
  <si>
    <t>선주코멘트 (무상)</t>
    <phoneticPr fontId="2" type="noConversion"/>
  </si>
  <si>
    <t>SWN0281</t>
    <phoneticPr fontId="2" type="noConversion"/>
  </si>
  <si>
    <t>포장반 지원</t>
    <phoneticPr fontId="2" type="noConversion"/>
  </si>
  <si>
    <t>SN2584</t>
    <phoneticPr fontId="2" type="noConversion"/>
  </si>
  <si>
    <t>시운전코멘트 (무상)</t>
    <phoneticPr fontId="2" type="noConversion"/>
  </si>
  <si>
    <t>언로딩 시스템 적용부 시트 설치 및 케이블 정리 외</t>
    <phoneticPr fontId="2" type="noConversion"/>
  </si>
  <si>
    <t>F/D오작으로 인한 조립 불가</t>
    <phoneticPr fontId="2" type="noConversion"/>
  </si>
  <si>
    <t>2023-11-20 ~ 11-24</t>
    <phoneticPr fontId="2" type="noConversion"/>
  </si>
  <si>
    <t>25톤 조립 / 설치 지원</t>
    <phoneticPr fontId="2" type="noConversion"/>
  </si>
  <si>
    <t>A/S</t>
    <phoneticPr fontId="2" type="noConversion"/>
  </si>
  <si>
    <t>인도후</t>
    <phoneticPr fontId="2" type="noConversion"/>
  </si>
  <si>
    <t>목포해군</t>
    <phoneticPr fontId="2" type="noConversion"/>
  </si>
  <si>
    <t>SWN0272</t>
    <phoneticPr fontId="2" type="noConversion"/>
  </si>
  <si>
    <t>D/C</t>
    <phoneticPr fontId="2" type="noConversion"/>
  </si>
  <si>
    <t>리미트 해제 불가, 작동불가 수정</t>
    <phoneticPr fontId="2" type="noConversion"/>
  </si>
  <si>
    <t>박성용</t>
    <phoneticPr fontId="2" type="noConversion"/>
  </si>
  <si>
    <t>무상</t>
    <phoneticPr fontId="2" type="noConversion"/>
  </si>
  <si>
    <t>박성용</t>
    <phoneticPr fontId="2" type="noConversion"/>
  </si>
  <si>
    <t>우신(1)</t>
    <phoneticPr fontId="2" type="noConversion"/>
  </si>
  <si>
    <t>시트 용접</t>
    <phoneticPr fontId="2" type="noConversion"/>
  </si>
  <si>
    <t>우신(1)</t>
    <phoneticPr fontId="2" type="noConversion"/>
  </si>
  <si>
    <t>CMR</t>
    <phoneticPr fontId="2" type="noConversion"/>
  </si>
  <si>
    <t>HH</t>
  </si>
  <si>
    <t>HH</t>
    <phoneticPr fontId="2" type="noConversion"/>
  </si>
  <si>
    <t xml:space="preserve">P/D 포장 </t>
    <phoneticPr fontId="2" type="noConversion"/>
  </si>
  <si>
    <t>2023-11-27 ~ 12-01</t>
    <phoneticPr fontId="2" type="noConversion"/>
  </si>
  <si>
    <t>2023-11-27 ~ 11-28</t>
    <phoneticPr fontId="2" type="noConversion"/>
  </si>
  <si>
    <t>박성용</t>
    <phoneticPr fontId="2" type="noConversion"/>
  </si>
  <si>
    <t xml:space="preserve">설치 작업 </t>
    <phoneticPr fontId="2" type="noConversion"/>
  </si>
  <si>
    <t>우신(4)</t>
  </si>
  <si>
    <t>우신(4)</t>
    <phoneticPr fontId="2" type="noConversion"/>
  </si>
  <si>
    <t xml:space="preserve">강지원 </t>
    <phoneticPr fontId="2" type="noConversion"/>
  </si>
  <si>
    <t>FAT</t>
  </si>
  <si>
    <t>해치 도어 어레인지가 안맞음</t>
    <phoneticPr fontId="2" type="noConversion"/>
  </si>
  <si>
    <t>HMD</t>
    <phoneticPr fontId="2" type="noConversion"/>
  </si>
  <si>
    <t>PV</t>
    <phoneticPr fontId="2" type="noConversion"/>
  </si>
  <si>
    <t>더베스트솔루션</t>
  </si>
  <si>
    <t>GNN0016</t>
    <phoneticPr fontId="2" type="noConversion"/>
  </si>
  <si>
    <t>OAC</t>
    <phoneticPr fontId="2" type="noConversion"/>
  </si>
  <si>
    <t>HH</t>
    <phoneticPr fontId="2" type="noConversion"/>
  </si>
  <si>
    <t>PV</t>
    <phoneticPr fontId="2" type="noConversion"/>
  </si>
  <si>
    <t>CMR</t>
    <phoneticPr fontId="2" type="noConversion"/>
  </si>
  <si>
    <t>KT</t>
    <phoneticPr fontId="2" type="noConversion"/>
  </si>
  <si>
    <t>창성</t>
    <phoneticPr fontId="2" type="noConversion"/>
  </si>
  <si>
    <t>진성</t>
    <phoneticPr fontId="2" type="noConversion"/>
  </si>
  <si>
    <t>진성</t>
    <phoneticPr fontId="2" type="noConversion"/>
  </si>
  <si>
    <t>진성</t>
    <phoneticPr fontId="2" type="noConversion"/>
  </si>
  <si>
    <t>사외작업</t>
    <phoneticPr fontId="2" type="noConversion"/>
  </si>
  <si>
    <t>쇼트 검사</t>
    <phoneticPr fontId="2" type="noConversion"/>
  </si>
  <si>
    <t>최용욱</t>
    <phoneticPr fontId="2" type="noConversion"/>
  </si>
  <si>
    <t>문덕민</t>
    <phoneticPr fontId="2" type="noConversion"/>
  </si>
  <si>
    <t>오승만</t>
    <phoneticPr fontId="2" type="noConversion"/>
  </si>
  <si>
    <t>오승만</t>
    <phoneticPr fontId="2" type="noConversion"/>
  </si>
  <si>
    <t>오승만</t>
    <phoneticPr fontId="2" type="noConversion"/>
  </si>
  <si>
    <t>오승만</t>
    <phoneticPr fontId="2" type="noConversion"/>
  </si>
  <si>
    <t>HMD</t>
    <phoneticPr fontId="2" type="noConversion"/>
  </si>
  <si>
    <t>플랫폼 진동 보강 작업</t>
    <phoneticPr fontId="2" type="noConversion"/>
  </si>
  <si>
    <t>선주코멘트 (무상)
사전품의 완료 (우신-&gt;아이앤지)</t>
    <phoneticPr fontId="2" type="noConversion"/>
  </si>
  <si>
    <t>박성용</t>
    <phoneticPr fontId="2" type="noConversion"/>
  </si>
  <si>
    <t>Cont. Box 하부 고무패드 부착 요청(부착위치 김도훈기사 확인)/ 대각선 LADDER SUPPORT 설치 불가 HOLE수정필요 (P&amp;S)</t>
    <phoneticPr fontId="2" type="noConversion"/>
  </si>
  <si>
    <t>2023-12-5 ~ 12-07</t>
  </si>
  <si>
    <t>2023-12-4 ~ 12-8</t>
    <phoneticPr fontId="2" type="noConversion"/>
  </si>
  <si>
    <t>천지함</t>
  </si>
  <si>
    <t>천지함</t>
    <phoneticPr fontId="2" type="noConversion"/>
  </si>
  <si>
    <t>RB</t>
    <phoneticPr fontId="2" type="noConversion"/>
  </si>
  <si>
    <t>우신(2)</t>
    <phoneticPr fontId="2" type="noConversion"/>
  </si>
  <si>
    <t>선주코멘트</t>
    <phoneticPr fontId="2" type="noConversion"/>
  </si>
  <si>
    <t>우신(1)</t>
    <phoneticPr fontId="2" type="noConversion"/>
  </si>
  <si>
    <t xml:space="preserve">사전품의완료 </t>
    <phoneticPr fontId="2" type="noConversion"/>
  </si>
  <si>
    <t>진진산업</t>
    <phoneticPr fontId="2" type="noConversion"/>
  </si>
  <si>
    <t>2023-12-5 ~ 12-8</t>
  </si>
  <si>
    <t>조립</t>
  </si>
  <si>
    <t>조립반 지원 (장유승 기장 부친상)</t>
  </si>
  <si>
    <t>자체테스트 / FAT</t>
  </si>
  <si>
    <t>자체테스트 / FAT</t>
    <phoneticPr fontId="2" type="noConversion"/>
  </si>
  <si>
    <t>범양(2)</t>
  </si>
  <si>
    <t>범양(2)</t>
    <phoneticPr fontId="2" type="noConversion"/>
  </si>
  <si>
    <t>범양(1)</t>
  </si>
  <si>
    <t>시운전 지원 (이성희직장 퇴사)</t>
  </si>
  <si>
    <t>시운전 지원 (이성희직장 퇴사)</t>
    <phoneticPr fontId="2" type="noConversion"/>
  </si>
  <si>
    <t>포장</t>
    <phoneticPr fontId="2" type="noConversion"/>
  </si>
  <si>
    <t>시운전 및 FAT</t>
    <phoneticPr fontId="2" type="noConversion"/>
  </si>
  <si>
    <t>SWN0282</t>
    <phoneticPr fontId="2" type="noConversion"/>
  </si>
  <si>
    <t>조립반 지원</t>
    <phoneticPr fontId="2" type="noConversion"/>
  </si>
  <si>
    <t>2023-12-5,</t>
  </si>
  <si>
    <t>12-07 ~ 12-08</t>
  </si>
  <si>
    <t>박해식</t>
  </si>
  <si>
    <t>    1,000,000</t>
  </si>
  <si>
    <t>진진(1), 우신(2)</t>
    <phoneticPr fontId="2" type="noConversion"/>
  </si>
  <si>
    <r>
      <rPr>
        <sz val="10"/>
        <color rgb="FF0070C0"/>
        <rFont val="맑은 고딕"/>
        <family val="3"/>
        <charset val="129"/>
      </rPr>
      <t>우신(2),</t>
    </r>
    <r>
      <rPr>
        <sz val="10"/>
        <rFont val="맑은 고딕"/>
        <family val="3"/>
        <charset val="129"/>
      </rPr>
      <t xml:space="preserve"> </t>
    </r>
    <r>
      <rPr>
        <sz val="10"/>
        <color rgb="FFFF0000"/>
        <rFont val="맑은 고딕"/>
        <family val="3"/>
        <charset val="129"/>
      </rPr>
      <t>아이앤지(5)</t>
    </r>
    <phoneticPr fontId="2" type="noConversion"/>
  </si>
  <si>
    <t>범양엔지니어링</t>
    <phoneticPr fontId="2" type="noConversion"/>
  </si>
  <si>
    <r>
      <rPr>
        <sz val="10"/>
        <color rgb="FF7030A0"/>
        <rFont val="맑은 고딕"/>
        <family val="3"/>
        <charset val="129"/>
      </rPr>
      <t xml:space="preserve">외주(2) </t>
    </r>
    <r>
      <rPr>
        <sz val="10"/>
        <rFont val="맑은 고딕"/>
        <family val="3"/>
        <charset val="129"/>
      </rPr>
      <t>베1</t>
    </r>
    <r>
      <rPr>
        <sz val="10"/>
        <color rgb="FF0070C0"/>
        <rFont val="맑은 고딕"/>
        <family val="3"/>
        <charset val="129"/>
      </rPr>
      <t>우1</t>
    </r>
    <phoneticPr fontId="2" type="noConversion"/>
  </si>
  <si>
    <t>도장보수 / 덴소 / 포장</t>
    <phoneticPr fontId="2" type="noConversion"/>
  </si>
  <si>
    <t>아119호정</t>
    <phoneticPr fontId="2" type="noConversion"/>
  </si>
  <si>
    <t>압이 걸렸다 안걸렸다 함. 작동 불량 점검/조치</t>
    <phoneticPr fontId="2" type="noConversion"/>
  </si>
  <si>
    <t>2023-12-11 ~ 12-15</t>
    <phoneticPr fontId="2" type="noConversion"/>
  </si>
  <si>
    <t>2023-12-11 ~ 12-15</t>
    <phoneticPr fontId="2" type="noConversion"/>
  </si>
  <si>
    <t>조립지원</t>
    <phoneticPr fontId="2" type="noConversion"/>
  </si>
  <si>
    <t>MRS107</t>
    <phoneticPr fontId="2" type="noConversion"/>
  </si>
  <si>
    <t>검사 (오전)</t>
    <phoneticPr fontId="2" type="noConversion"/>
  </si>
  <si>
    <t>오션플랜트</t>
    <phoneticPr fontId="2" type="noConversion"/>
  </si>
  <si>
    <t>우신(1), 범양(1), 디에스티(1)</t>
    <phoneticPr fontId="2" type="noConversion"/>
  </si>
  <si>
    <t>안전교육 오전8시 / 초기 작동 및 LIMIT SETTING</t>
    <phoneticPr fontId="2" type="noConversion"/>
  </si>
  <si>
    <t>센서 및 리미트 교체</t>
    <phoneticPr fontId="2" type="noConversion"/>
  </si>
  <si>
    <t>범양(1), 진진(1)</t>
    <phoneticPr fontId="2" type="noConversion"/>
  </si>
  <si>
    <t>1.5T HOOK 걸이 절단/용접, 유압계통점검/조치, 누유부 수정 조치</t>
    <phoneticPr fontId="2" type="noConversion"/>
  </si>
  <si>
    <t>HH, CMR, PV</t>
    <phoneticPr fontId="2" type="noConversion"/>
  </si>
  <si>
    <t>SHI</t>
    <phoneticPr fontId="2" type="noConversion"/>
  </si>
  <si>
    <t>신명(2)</t>
    <phoneticPr fontId="2" type="noConversion"/>
  </si>
  <si>
    <t>2023-12-26 ~ 12-29</t>
    <phoneticPr fontId="2" type="noConversion"/>
  </si>
  <si>
    <t>아이앤지(4)</t>
    <phoneticPr fontId="2" type="noConversion"/>
  </si>
  <si>
    <t>김해공장 지원 소계</t>
    <phoneticPr fontId="2" type="noConversion"/>
  </si>
  <si>
    <t>계약사항 (무상)</t>
    <phoneticPr fontId="2" type="noConversion"/>
  </si>
  <si>
    <t>보증수리 (무상)</t>
    <phoneticPr fontId="2" type="noConversion"/>
  </si>
  <si>
    <t>1.5T HOOK 걸이 절단/용접, 유압계통점검/조치, 누유부 수정 조치</t>
    <phoneticPr fontId="2" type="noConversion"/>
  </si>
  <si>
    <t>우신 AMP 3명</t>
    <phoneticPr fontId="2" type="noConversion"/>
  </si>
  <si>
    <t>범양 AMP 1명</t>
    <phoneticPr fontId="2" type="noConversion"/>
  </si>
  <si>
    <t>12/18~22</t>
    <phoneticPr fontId="2" type="noConversion"/>
  </si>
  <si>
    <t>&gt; '0016 51주차로 정산 (1MD 남음)</t>
    <phoneticPr fontId="2" type="noConversion"/>
  </si>
  <si>
    <t>**2023-12-22</t>
    <phoneticPr fontId="2" type="noConversion"/>
  </si>
  <si>
    <t>PA31진진 13명</t>
    <phoneticPr fontId="2" type="noConversion"/>
  </si>
  <si>
    <t>ㄴ4MD 차주추가 예정</t>
    <phoneticPr fontId="2" type="noConversion"/>
  </si>
  <si>
    <t>PV</t>
    <phoneticPr fontId="2" type="noConversion"/>
  </si>
  <si>
    <t>20톤 그리스 전체 도포</t>
    <phoneticPr fontId="2" type="noConversion"/>
  </si>
  <si>
    <t>외주(3)</t>
    <phoneticPr fontId="2" type="noConversion"/>
  </si>
  <si>
    <t>조립/포장반 지원</t>
    <phoneticPr fontId="2" type="noConversion"/>
  </si>
  <si>
    <t>&gt; 실행예산에서</t>
    <phoneticPr fontId="2" type="noConversion"/>
  </si>
  <si>
    <t>&gt; 실행예산 잔여소진 + 200만원 실행예산처리(초과사유 : 설계불량) 후  A/S로 처리 (95만원)</t>
    <phoneticPr fontId="2" type="noConversion"/>
  </si>
  <si>
    <t>OAC</t>
  </si>
  <si>
    <t>조립지원</t>
  </si>
  <si>
    <t>아이앤지(5)</t>
  </si>
  <si>
    <t>포장/덴소/도장수정</t>
  </si>
  <si>
    <t>외주(4)</t>
  </si>
  <si>
    <t>GNN0016</t>
  </si>
  <si>
    <t>시운전 및 FAT</t>
  </si>
  <si>
    <t>시운전 지원</t>
  </si>
  <si>
    <t>HMD</t>
    <phoneticPr fontId="2" type="noConversion"/>
  </si>
  <si>
    <t>A/S</t>
    <phoneticPr fontId="2" type="noConversion"/>
  </si>
  <si>
    <t>인도전</t>
    <phoneticPr fontId="2" type="noConversion"/>
  </si>
  <si>
    <t>SHI</t>
    <phoneticPr fontId="2" type="noConversion"/>
  </si>
  <si>
    <t>HH</t>
    <phoneticPr fontId="2" type="noConversion"/>
  </si>
  <si>
    <t>S185</t>
    <phoneticPr fontId="2" type="noConversion"/>
  </si>
  <si>
    <t>CS</t>
    <phoneticPr fontId="2" type="noConversion"/>
  </si>
  <si>
    <t>보증수리(수 계선기 내부 부속품 마모검사 요함)</t>
    <phoneticPr fontId="2" type="noConversion"/>
  </si>
  <si>
    <t>인도후</t>
    <phoneticPr fontId="2" type="noConversion"/>
  </si>
  <si>
    <t>HJ중공업</t>
    <phoneticPr fontId="2" type="noConversion"/>
  </si>
  <si>
    <t>HHC 맨홀 가스켓 설치, 컨트롤스탠드 유압 호스 간섭부 보강 조치</t>
    <phoneticPr fontId="2" type="noConversion"/>
  </si>
  <si>
    <t>ML</t>
    <phoneticPr fontId="2" type="noConversion"/>
  </si>
  <si>
    <t>박성용</t>
    <phoneticPr fontId="2" type="noConversion"/>
  </si>
  <si>
    <t>박성용</t>
    <phoneticPr fontId="2" type="noConversion"/>
  </si>
  <si>
    <t>무상</t>
    <phoneticPr fontId="2" type="noConversion"/>
  </si>
  <si>
    <t>무상</t>
    <phoneticPr fontId="2" type="noConversion"/>
  </si>
  <si>
    <t>압이 걸렸다 안걸렸다 함. 작동 불량 점검/조치(오전9시 진해해군의집)</t>
  </si>
  <si>
    <t>우신(2)</t>
    <phoneticPr fontId="2" type="noConversion"/>
  </si>
  <si>
    <t>외주(1)</t>
    <phoneticPr fontId="2" type="noConversion"/>
  </si>
  <si>
    <t>PARKING 문제점 수정 및 자체테스트</t>
    <phoneticPr fontId="2" type="noConversion"/>
  </si>
  <si>
    <t>검사 코멘트조치</t>
    <phoneticPr fontId="2" type="noConversion"/>
  </si>
  <si>
    <t>진진(2)</t>
    <phoneticPr fontId="2" type="noConversion"/>
  </si>
  <si>
    <t>외주(1)</t>
    <phoneticPr fontId="2" type="noConversion"/>
  </si>
  <si>
    <t>2024-01-02 ~ 2024-01-05</t>
    <phoneticPr fontId="2" type="noConversion"/>
  </si>
  <si>
    <t>덴소 / 도장 / 포장</t>
  </si>
  <si>
    <t>강지원</t>
    <phoneticPr fontId="2" type="noConversion"/>
  </si>
  <si>
    <t>PA31</t>
  </si>
  <si>
    <t>진진(2)</t>
    <phoneticPr fontId="2" type="noConversion"/>
  </si>
  <si>
    <t>정기 보증수리</t>
    <phoneticPr fontId="2" type="noConversion"/>
  </si>
  <si>
    <t>선주코멘트</t>
    <phoneticPr fontId="2" type="noConversion"/>
  </si>
  <si>
    <t>보증수리</t>
    <phoneticPr fontId="2" type="noConversion"/>
  </si>
  <si>
    <t>도면불량</t>
    <phoneticPr fontId="2" type="noConversion"/>
  </si>
  <si>
    <t>선주코멘트</t>
    <phoneticPr fontId="2" type="noConversion"/>
  </si>
  <si>
    <t>포장반 지원</t>
    <phoneticPr fontId="2" type="noConversion"/>
  </si>
  <si>
    <t>TR</t>
  </si>
  <si>
    <t>2024년</t>
    <phoneticPr fontId="2" type="noConversion"/>
  </si>
  <si>
    <t>PE/ML</t>
  </si>
  <si>
    <t>RCS</t>
  </si>
  <si>
    <t>작동불량 (보증수리)</t>
  </si>
  <si>
    <t>P170</t>
  </si>
  <si>
    <t>P167</t>
  </si>
  <si>
    <t>A/S</t>
    <phoneticPr fontId="2" type="noConversion"/>
  </si>
  <si>
    <t>인도전</t>
    <phoneticPr fontId="2" type="noConversion"/>
  </si>
  <si>
    <t>검사 (안전교육이수 8시~12시 후 출입가능)</t>
  </si>
  <si>
    <t>아이앤지(5)</t>
    <phoneticPr fontId="2" type="noConversion"/>
  </si>
  <si>
    <t>계약사항</t>
  </si>
  <si>
    <t>계약사항</t>
    <phoneticPr fontId="2" type="noConversion"/>
  </si>
  <si>
    <t>납품불량</t>
  </si>
  <si>
    <t>데크윈치누유, 볼트짧음/교체 외</t>
  </si>
  <si>
    <t>검사 지적사항 조치</t>
  </si>
  <si>
    <t>선주코멘트</t>
    <phoneticPr fontId="2" type="noConversion"/>
  </si>
  <si>
    <t>HHC 맨홀 가스켓 설치 (긴급)</t>
  </si>
  <si>
    <t>인도전</t>
    <phoneticPr fontId="2" type="noConversion"/>
  </si>
  <si>
    <t>SW</t>
    <phoneticPr fontId="2" type="noConversion"/>
  </si>
  <si>
    <t>CLAIM</t>
    <phoneticPr fontId="2" type="noConversion"/>
  </si>
  <si>
    <t>SHI</t>
    <phoneticPr fontId="2" type="noConversion"/>
  </si>
  <si>
    <t>SN2579</t>
    <phoneticPr fontId="2" type="noConversion"/>
  </si>
  <si>
    <t>PAD교체</t>
    <phoneticPr fontId="2" type="noConversion"/>
  </si>
  <si>
    <t>승조원교육</t>
    <phoneticPr fontId="2" type="noConversion"/>
  </si>
  <si>
    <t>SWN0281</t>
    <phoneticPr fontId="2" type="noConversion"/>
  </si>
  <si>
    <t>RB</t>
    <phoneticPr fontId="2" type="noConversion"/>
  </si>
  <si>
    <t>SWN0282</t>
    <phoneticPr fontId="2" type="noConversion"/>
  </si>
  <si>
    <t>KT</t>
    <phoneticPr fontId="2" type="noConversion"/>
  </si>
  <si>
    <t>H548</t>
    <phoneticPr fontId="2" type="noConversion"/>
  </si>
  <si>
    <t>ER</t>
    <phoneticPr fontId="2" type="noConversion"/>
  </si>
  <si>
    <t>신명(1)</t>
    <phoneticPr fontId="2" type="noConversion"/>
  </si>
  <si>
    <t>무상</t>
    <phoneticPr fontId="2" type="noConversion"/>
  </si>
  <si>
    <t>HH, CMR</t>
    <phoneticPr fontId="2" type="noConversion"/>
  </si>
  <si>
    <t>HHC P&amp;S 그리스 니플&amp;캡 확인 및 누락부 설치 / CMR 탱크 내부 녹제거</t>
    <phoneticPr fontId="2" type="noConversion"/>
  </si>
  <si>
    <t>납품불량</t>
    <phoneticPr fontId="2" type="noConversion"/>
  </si>
  <si>
    <t>1/8(월)</t>
  </si>
  <si>
    <t>오션플랜트</t>
  </si>
  <si>
    <t> 500,000</t>
  </si>
  <si>
    <t>1/9(화)</t>
  </si>
  <si>
    <t>아119호정</t>
  </si>
  <si>
    <t>기중기정</t>
  </si>
  <si>
    <t>S049</t>
  </si>
  <si>
    <t>BR</t>
  </si>
  <si>
    <t>센서 및 리미트 교체 </t>
  </si>
  <si>
    <t>1/10(수)</t>
  </si>
  <si>
    <t>1/11(목)</t>
  </si>
  <si>
    <t>코멘트조치 </t>
  </si>
  <si>
    <r>
      <rPr>
        <sz val="10"/>
        <color rgb="FF00B050"/>
        <rFont val="맑은 고딕"/>
        <family val="2"/>
        <charset val="129"/>
      </rPr>
      <t>써야함</t>
    </r>
    <phoneticPr fontId="2" type="noConversion"/>
  </si>
  <si>
    <t>작동불량 점검/조치</t>
    <phoneticPr fontId="2" type="noConversion"/>
  </si>
  <si>
    <t>2024-01-22 ~ 2024-01-26</t>
    <phoneticPr fontId="2" type="noConversion"/>
  </si>
  <si>
    <t>YN01</t>
    <phoneticPr fontId="2" type="noConversion"/>
  </si>
  <si>
    <t>PV,ER,HH</t>
    <phoneticPr fontId="2" type="noConversion"/>
  </si>
  <si>
    <t>조립지원</t>
    <phoneticPr fontId="2" type="noConversion"/>
  </si>
  <si>
    <t>TEST PEDESTAL 용접</t>
    <phoneticPr fontId="2" type="noConversion"/>
  </si>
  <si>
    <t>ER, PV</t>
    <phoneticPr fontId="2" type="noConversion"/>
  </si>
  <si>
    <t>우신(5)</t>
    <phoneticPr fontId="2" type="noConversion"/>
  </si>
  <si>
    <t>검사</t>
    <phoneticPr fontId="2" type="noConversion"/>
  </si>
  <si>
    <t>범양(1)</t>
    <phoneticPr fontId="2" type="noConversion"/>
  </si>
  <si>
    <t>맨홀손잡이 수정, 자체(오전), 검사(오후)</t>
    <phoneticPr fontId="2" type="noConversion"/>
  </si>
  <si>
    <t>A/S</t>
    <phoneticPr fontId="2" type="noConversion"/>
  </si>
  <si>
    <t>보안 및 안전교육이수</t>
    <phoneticPr fontId="2" type="noConversion"/>
  </si>
  <si>
    <t>도면불량 수정, 검사입회</t>
    <phoneticPr fontId="2" type="noConversion"/>
  </si>
  <si>
    <t>YARD 내방을 위한 필수 교육 이수</t>
    <phoneticPr fontId="2" type="noConversion"/>
  </si>
  <si>
    <t>송영국</t>
    <phoneticPr fontId="2" type="noConversion"/>
  </si>
  <si>
    <t>더베솔</t>
    <phoneticPr fontId="2" type="noConversion"/>
  </si>
  <si>
    <t>1월</t>
    <phoneticPr fontId="2" type="noConversion"/>
  </si>
  <si>
    <t>-&gt;우신</t>
    <phoneticPr fontId="2" type="noConversion"/>
  </si>
  <si>
    <t>12/26~29</t>
    <phoneticPr fontId="2" type="noConversion"/>
  </si>
  <si>
    <t>박해식</t>
    <phoneticPr fontId="2" type="noConversion"/>
  </si>
  <si>
    <t>01/22 ~ 26</t>
    <phoneticPr fontId="2" type="noConversion"/>
  </si>
  <si>
    <t>12/20 ~ 12/22</t>
    <phoneticPr fontId="2" type="noConversion"/>
  </si>
  <si>
    <t>보트시트 설치, 초기작동 (2박3일)</t>
    <phoneticPr fontId="2" type="noConversion"/>
  </si>
  <si>
    <t>사전품의 완료 (폭설로 인한 작업 마무리 불가, 재방문)</t>
    <phoneticPr fontId="2" type="noConversion"/>
  </si>
  <si>
    <t>검사, 코멘트조치</t>
    <phoneticPr fontId="2" type="noConversion"/>
  </si>
  <si>
    <t>PV</t>
    <phoneticPr fontId="2" type="noConversion"/>
  </si>
  <si>
    <t>펌프 시트 누유</t>
    <phoneticPr fontId="2" type="noConversion"/>
  </si>
  <si>
    <t>컨트롤스탠드 유압 호스 간섭부 보강 조치</t>
    <phoneticPr fontId="2" type="noConversion"/>
  </si>
  <si>
    <t>시운전, 코멘트조치 (1박2일)</t>
    <phoneticPr fontId="2" type="noConversion"/>
  </si>
  <si>
    <t>1/15 ~ 1/16</t>
    <phoneticPr fontId="2" type="noConversion"/>
  </si>
  <si>
    <t>신명엔지니어링</t>
    <phoneticPr fontId="2" type="noConversion"/>
  </si>
  <si>
    <t xml:space="preserve">검사 </t>
    <phoneticPr fontId="2" type="noConversion"/>
  </si>
  <si>
    <t>박성용</t>
    <phoneticPr fontId="2" type="noConversion"/>
  </si>
  <si>
    <t>-</t>
    <phoneticPr fontId="2" type="noConversion"/>
  </si>
  <si>
    <t>코멘트조치</t>
    <phoneticPr fontId="2" type="noConversion"/>
  </si>
  <si>
    <t>실행 예산에 부합 함</t>
    <phoneticPr fontId="2" type="noConversion"/>
  </si>
  <si>
    <t>2023-12-18 ~ 12-22</t>
    <phoneticPr fontId="2" type="noConversion"/>
  </si>
  <si>
    <t>2024-01-08 ~ 2024-01-12</t>
    <phoneticPr fontId="2" type="noConversion"/>
  </si>
  <si>
    <t>2024-01-15 ~ 2024-01-19</t>
    <phoneticPr fontId="2" type="noConversion"/>
  </si>
  <si>
    <t>2024-01-29 ~ 2024-02-02</t>
    <phoneticPr fontId="2" type="noConversion"/>
  </si>
  <si>
    <t>YN01</t>
  </si>
  <si>
    <t>검사준비 지원</t>
  </si>
  <si>
    <t>코멘트/수정작업, 검사준비</t>
  </si>
  <si>
    <t>아이앤지(4)</t>
  </si>
  <si>
    <t>검사 준비, 자체테스트</t>
    <phoneticPr fontId="2" type="noConversion"/>
  </si>
  <si>
    <t>2024-02-13 ~ 2024-02-16</t>
    <phoneticPr fontId="2" type="noConversion"/>
  </si>
  <si>
    <t>0282</t>
    <phoneticPr fontId="2" type="noConversion"/>
  </si>
  <si>
    <t>시운전 및 승조원교육</t>
    <phoneticPr fontId="2" type="noConversion"/>
  </si>
  <si>
    <t>1/29(월)</t>
  </si>
  <si>
    <t>박성용</t>
    <phoneticPr fontId="2" type="noConversion"/>
  </si>
  <si>
    <t>인도전</t>
    <phoneticPr fontId="2" type="noConversion"/>
  </si>
  <si>
    <t>무상</t>
    <phoneticPr fontId="2" type="noConversion"/>
  </si>
  <si>
    <t>인도후</t>
    <phoneticPr fontId="2" type="noConversion"/>
  </si>
  <si>
    <t>무상</t>
    <phoneticPr fontId="2" type="noConversion"/>
  </si>
  <si>
    <t>박성용</t>
    <phoneticPr fontId="2" type="noConversion"/>
  </si>
  <si>
    <t>우신(1)</t>
    <phoneticPr fontId="2" type="noConversion"/>
  </si>
  <si>
    <t>CLAIM</t>
    <phoneticPr fontId="2" type="noConversion"/>
  </si>
  <si>
    <t>PV</t>
    <phoneticPr fontId="2" type="noConversion"/>
  </si>
  <si>
    <t>LADDER 재설치 (도면불량, 재제작품)</t>
    <phoneticPr fontId="2" type="noConversion"/>
  </si>
  <si>
    <t>HHI</t>
    <phoneticPr fontId="2" type="noConversion"/>
  </si>
  <si>
    <t>P167</t>
    <phoneticPr fontId="2" type="noConversion"/>
  </si>
  <si>
    <t>ML</t>
    <phoneticPr fontId="2" type="noConversion"/>
  </si>
  <si>
    <t>코멘트조치, 검사준비</t>
    <phoneticPr fontId="2" type="noConversion"/>
  </si>
  <si>
    <t>박성용</t>
    <phoneticPr fontId="2" type="noConversion"/>
  </si>
  <si>
    <t>우신(1)</t>
    <phoneticPr fontId="2" type="noConversion"/>
  </si>
  <si>
    <t>검사 입회</t>
    <phoneticPr fontId="2" type="noConversion"/>
  </si>
  <si>
    <t xml:space="preserve">검사준비 </t>
    <phoneticPr fontId="2" type="noConversion"/>
  </si>
  <si>
    <t>외주(4)</t>
    <phoneticPr fontId="2" type="noConversion"/>
  </si>
  <si>
    <t>도면 불량</t>
    <phoneticPr fontId="2" type="noConversion"/>
  </si>
  <si>
    <t>STW</t>
    <phoneticPr fontId="2" type="noConversion"/>
  </si>
  <si>
    <t>P168</t>
    <phoneticPr fontId="2" type="noConversion"/>
  </si>
  <si>
    <t>우신(2)</t>
    <phoneticPr fontId="2" type="noConversion"/>
  </si>
  <si>
    <t>문덕민</t>
    <phoneticPr fontId="2" type="noConversion"/>
  </si>
  <si>
    <t>코멘트 조치, 검사 입회 (13시)</t>
    <phoneticPr fontId="2" type="noConversion"/>
  </si>
  <si>
    <t>SHI</t>
    <phoneticPr fontId="2" type="noConversion"/>
  </si>
  <si>
    <t>신명(2)</t>
    <phoneticPr fontId="2" type="noConversion"/>
  </si>
  <si>
    <t>리미트 터치바 수정, 리미트 블록 연장 (2대)</t>
    <phoneticPr fontId="2" type="noConversion"/>
  </si>
  <si>
    <t>2024-02-26 ~ 2024-02-29</t>
    <phoneticPr fontId="2" type="noConversion"/>
  </si>
  <si>
    <t>S198</t>
    <phoneticPr fontId="2" type="noConversion"/>
  </si>
  <si>
    <t>S204</t>
    <phoneticPr fontId="2" type="noConversion"/>
  </si>
  <si>
    <t>AF</t>
    <phoneticPr fontId="2" type="noConversion"/>
  </si>
  <si>
    <t>외주(6)</t>
    <phoneticPr fontId="2" type="noConversion"/>
  </si>
  <si>
    <t>아이앤지(2)</t>
    <phoneticPr fontId="2" type="noConversion"/>
  </si>
  <si>
    <t>OJC</t>
    <phoneticPr fontId="2" type="noConversion"/>
  </si>
  <si>
    <t>도장 / 덴소 / 포장</t>
    <phoneticPr fontId="2" type="noConversion"/>
  </si>
  <si>
    <t>A/S</t>
    <phoneticPr fontId="2" type="noConversion"/>
  </si>
  <si>
    <t>무상</t>
    <phoneticPr fontId="2" type="noConversion"/>
  </si>
  <si>
    <t>계약 사항</t>
    <phoneticPr fontId="2" type="noConversion"/>
  </si>
  <si>
    <t>도면 불량</t>
    <phoneticPr fontId="2" type="noConversion"/>
  </si>
  <si>
    <t>0271</t>
    <phoneticPr fontId="2" type="noConversion"/>
  </si>
  <si>
    <t>FC</t>
    <phoneticPr fontId="2" type="noConversion"/>
  </si>
  <si>
    <t>인도후</t>
    <phoneticPr fontId="2" type="noConversion"/>
  </si>
  <si>
    <t>진해해군</t>
    <phoneticPr fontId="2" type="noConversion"/>
  </si>
  <si>
    <t>RCS, RB</t>
    <phoneticPr fontId="2" type="noConversion"/>
  </si>
  <si>
    <t>RCS차폐막 롤러 교체, 리미트 간섭 / RB 밴드 공급</t>
    <phoneticPr fontId="2" type="noConversion"/>
  </si>
  <si>
    <t>무상</t>
    <phoneticPr fontId="2" type="noConversion"/>
  </si>
  <si>
    <t>범양엔지니어링</t>
    <phoneticPr fontId="2" type="noConversion"/>
  </si>
  <si>
    <t>사전품의 완료</t>
    <phoneticPr fontId="2" type="noConversion"/>
  </si>
  <si>
    <t>02/01 ~ 02/02</t>
    <phoneticPr fontId="2" type="noConversion"/>
  </si>
  <si>
    <t>02/05 ~ 02/08</t>
    <phoneticPr fontId="2" type="noConversion"/>
  </si>
  <si>
    <t>02/13 ~ 02/16</t>
    <phoneticPr fontId="2" type="noConversion"/>
  </si>
  <si>
    <t>02/19 ~ 02/23</t>
    <phoneticPr fontId="2" type="noConversion"/>
  </si>
  <si>
    <t>02/26 ~ 02/29</t>
    <phoneticPr fontId="2" type="noConversion"/>
  </si>
  <si>
    <t>TC</t>
    <phoneticPr fontId="2" type="noConversion"/>
  </si>
  <si>
    <t>S204</t>
    <phoneticPr fontId="2" type="noConversion"/>
  </si>
  <si>
    <t>AF</t>
    <phoneticPr fontId="2" type="noConversion"/>
  </si>
  <si>
    <t>02/21 ~ 02/22</t>
    <phoneticPr fontId="2" type="noConversion"/>
  </si>
  <si>
    <t>우신</t>
    <phoneticPr fontId="2" type="noConversion"/>
  </si>
  <si>
    <t>무상</t>
    <phoneticPr fontId="2" type="noConversion"/>
  </si>
  <si>
    <t>송영국</t>
    <phoneticPr fontId="2" type="noConversion"/>
  </si>
  <si>
    <t>검사 입회 (오전10시)</t>
    <phoneticPr fontId="2" type="noConversion"/>
  </si>
  <si>
    <t>무상</t>
    <phoneticPr fontId="2" type="noConversion"/>
  </si>
  <si>
    <t>RB, RCS</t>
    <phoneticPr fontId="2" type="noConversion"/>
  </si>
  <si>
    <t>실린더 수정, 자체테스트</t>
    <phoneticPr fontId="2" type="noConversion"/>
  </si>
  <si>
    <t xml:space="preserve"> </t>
    <phoneticPr fontId="2" type="noConversion"/>
  </si>
  <si>
    <t>계약 사항</t>
    <phoneticPr fontId="2" type="noConversion"/>
  </si>
  <si>
    <t>보증수리</t>
    <phoneticPr fontId="2" type="noConversion"/>
  </si>
  <si>
    <t>설치 지원</t>
    <phoneticPr fontId="2" type="noConversion"/>
  </si>
  <si>
    <t>아이앤지(최기출)</t>
    <phoneticPr fontId="2" type="noConversion"/>
  </si>
  <si>
    <t>TC</t>
    <phoneticPr fontId="2" type="noConversion"/>
  </si>
  <si>
    <t>조립/ 설치지원</t>
    <phoneticPr fontId="2" type="noConversion"/>
  </si>
  <si>
    <t>2024-03-04 ~ 2024-03-08</t>
    <phoneticPr fontId="2" type="noConversion"/>
  </si>
  <si>
    <t>2024-02-13 ~ 2024-02-16</t>
    <phoneticPr fontId="2" type="noConversion"/>
  </si>
  <si>
    <t>2024-02-05 ~ 2024-02-08</t>
    <phoneticPr fontId="2" type="noConversion"/>
  </si>
  <si>
    <t>2024-02-05 ~ 2024-02-08</t>
    <phoneticPr fontId="2" type="noConversion"/>
  </si>
  <si>
    <t>2024-02-26 ~ 2024-02-29</t>
    <phoneticPr fontId="2" type="noConversion"/>
  </si>
  <si>
    <t>2024-02-19 ~ 2024-02-23</t>
    <phoneticPr fontId="2" type="noConversion"/>
  </si>
  <si>
    <t>2024-02-19 ~ 2024-02-23</t>
    <phoneticPr fontId="2" type="noConversion"/>
  </si>
  <si>
    <t>KT</t>
    <phoneticPr fontId="2" type="noConversion"/>
  </si>
  <si>
    <t>승조원교육 실기</t>
    <phoneticPr fontId="2" type="noConversion"/>
  </si>
  <si>
    <t>ER, PE</t>
    <phoneticPr fontId="2" type="noConversion"/>
  </si>
  <si>
    <t>PE</t>
    <phoneticPr fontId="2" type="noConversion"/>
  </si>
  <si>
    <t>ML</t>
    <phoneticPr fontId="2" type="noConversion"/>
  </si>
  <si>
    <t>2024-03-11 ~ 2024-03-15</t>
    <phoneticPr fontId="2" type="noConversion"/>
  </si>
  <si>
    <t>ASB1246</t>
    <phoneticPr fontId="2" type="noConversion"/>
  </si>
  <si>
    <t>DB4502</t>
    <phoneticPr fontId="2" type="noConversion"/>
  </si>
  <si>
    <t>덴소 / 도장보수 / 포장</t>
    <phoneticPr fontId="2" type="noConversion"/>
  </si>
  <si>
    <t>BSR</t>
    <phoneticPr fontId="2" type="noConversion"/>
  </si>
  <si>
    <t>대선조선</t>
    <phoneticPr fontId="2" type="noConversion"/>
  </si>
  <si>
    <t>대변항</t>
    <phoneticPr fontId="2" type="noConversion"/>
  </si>
  <si>
    <t>커미셔닝</t>
    <phoneticPr fontId="2" type="noConversion"/>
  </si>
  <si>
    <t>코멘트조치(도장수정, 케이블보호, 리미트스위치교체, 체인박스 수정, 커넥터 교체)</t>
    <phoneticPr fontId="2" type="noConversion"/>
  </si>
  <si>
    <t>3306 (25T)</t>
    <phoneticPr fontId="2" type="noConversion"/>
  </si>
  <si>
    <t>유압 호스 누유, 마감처리 / 리미트세팅 / 아이플레이트 제거</t>
    <phoneticPr fontId="2" type="noConversion"/>
  </si>
  <si>
    <t>리미트 터치바 교체</t>
    <phoneticPr fontId="2" type="noConversion"/>
  </si>
  <si>
    <t>RCS</t>
    <phoneticPr fontId="2" type="noConversion"/>
  </si>
  <si>
    <t>RD</t>
    <phoneticPr fontId="2" type="noConversion"/>
  </si>
  <si>
    <t>검사준비</t>
    <phoneticPr fontId="2" type="noConversion"/>
  </si>
  <si>
    <t>2024-03-25~
03-27</t>
    <phoneticPr fontId="2" type="noConversion"/>
  </si>
  <si>
    <t>선주 코멘트</t>
    <phoneticPr fontId="2" type="noConversion"/>
  </si>
  <si>
    <t>선주 코멘트 및 도면 불량</t>
    <phoneticPr fontId="2" type="noConversion"/>
  </si>
  <si>
    <t>원인 확인 예정</t>
    <phoneticPr fontId="2" type="noConversion"/>
  </si>
  <si>
    <t>HOOK BLOCK 조립, 해체 , 재조립, 검사입회</t>
    <phoneticPr fontId="2" type="noConversion"/>
  </si>
  <si>
    <t>조립 불량</t>
    <phoneticPr fontId="2" type="noConversion"/>
  </si>
  <si>
    <t>3306 (2T)</t>
    <phoneticPr fontId="2" type="noConversion"/>
  </si>
  <si>
    <t>2024-03-28~
03-29</t>
    <phoneticPr fontId="2" type="noConversion"/>
  </si>
  <si>
    <t>아이앤지(6)</t>
    <phoneticPr fontId="2" type="noConversion"/>
  </si>
  <si>
    <t>포장반 지원(철야 1.5배 적용)</t>
    <phoneticPr fontId="2" type="noConversion"/>
  </si>
  <si>
    <r>
      <t>코멘트 작업</t>
    </r>
    <r>
      <rPr>
        <sz val="14"/>
        <color theme="1"/>
        <rFont val="맑은 고딕"/>
        <family val="3"/>
        <charset val="129"/>
      </rPr>
      <t xml:space="preserve"> </t>
    </r>
    <r>
      <rPr>
        <b/>
        <sz val="12"/>
        <color theme="1"/>
        <rFont val="맑은 고딕"/>
        <family val="3"/>
        <charset val="129"/>
      </rPr>
      <t>(철야)</t>
    </r>
    <phoneticPr fontId="2" type="noConversion"/>
  </si>
  <si>
    <t>아이앤지(최기출3)</t>
    <phoneticPr fontId="2" type="noConversion"/>
  </si>
  <si>
    <t>아이앤지(최기출1)</t>
    <phoneticPr fontId="2" type="noConversion"/>
  </si>
  <si>
    <t>2024-03-18 ~</t>
  </si>
  <si>
    <t>ASB1246</t>
  </si>
  <si>
    <t>아이앤지(최기출)</t>
  </si>
  <si>
    <t>3306 (25T)</t>
  </si>
  <si>
    <t>OJC</t>
  </si>
  <si>
    <t>3/18(월)</t>
  </si>
  <si>
    <t>S198</t>
  </si>
  <si>
    <t>TC</t>
  </si>
  <si>
    <t>3/19(화)</t>
  </si>
  <si>
    <t>S204</t>
  </si>
  <si>
    <t>AF</t>
  </si>
  <si>
    <t>용접 / 사상</t>
  </si>
  <si>
    <t>DB4502</t>
  </si>
  <si>
    <t>덴소 / 도장보수 / 포장</t>
  </si>
  <si>
    <t>SN2579</t>
  </si>
  <si>
    <t>HH, CMR, PV</t>
  </si>
  <si>
    <t>와이어꼬임(5대) 수정, 재설치</t>
  </si>
  <si>
    <t>신명(3)</t>
  </si>
  <si>
    <t>선주 코멘트(WIRE ROPE 설치 불량)</t>
  </si>
  <si>
    <t>대선조선</t>
  </si>
  <si>
    <t>커미셔닝</t>
  </si>
  <si>
    <t>3/20(수)</t>
  </si>
  <si>
    <t>선주 NCR 조치, 유압 호스 결선, 케이블 결선, 초기작동, 시운전</t>
  </si>
  <si>
    <t>디에스티(1), 동아(1)</t>
  </si>
  <si>
    <t>      600,000</t>
  </si>
  <si>
    <t>3/22(금)</t>
  </si>
  <si>
    <t xml:space="preserve"> </t>
    <phoneticPr fontId="2" type="noConversion"/>
  </si>
  <si>
    <t>업체명</t>
    <phoneticPr fontId="2" type="noConversion"/>
  </si>
  <si>
    <t>일자</t>
    <phoneticPr fontId="2" type="noConversion"/>
  </si>
  <si>
    <t>작업내용</t>
    <phoneticPr fontId="2" type="noConversion"/>
  </si>
  <si>
    <t>담당자</t>
    <phoneticPr fontId="2" type="noConversion"/>
  </si>
  <si>
    <t>투입인원</t>
    <phoneticPr fontId="2" type="noConversion"/>
  </si>
  <si>
    <t>특이사항</t>
    <phoneticPr fontId="2" type="noConversion"/>
  </si>
  <si>
    <t>작업결과</t>
    <phoneticPr fontId="2" type="noConversion"/>
  </si>
  <si>
    <t>우신테크</t>
    <phoneticPr fontId="2" type="noConversion"/>
  </si>
  <si>
    <t>HHI</t>
    <phoneticPr fontId="2" type="noConversion"/>
  </si>
  <si>
    <t>코멘트조치 (검사준비)</t>
    <phoneticPr fontId="2" type="noConversion"/>
  </si>
  <si>
    <t>완료</t>
    <phoneticPr fontId="2" type="noConversion"/>
  </si>
  <si>
    <t>CLAIM</t>
    <phoneticPr fontId="2" type="noConversion"/>
  </si>
  <si>
    <t>PV</t>
    <phoneticPr fontId="2" type="noConversion"/>
  </si>
  <si>
    <t>LADDER 재설치 (도면불량, 재제작품)</t>
    <phoneticPr fontId="2" type="noConversion"/>
  </si>
  <si>
    <t>A/S</t>
    <phoneticPr fontId="2" type="noConversion"/>
  </si>
  <si>
    <t>코멘트 조치, 검사 입회 (13시)</t>
    <phoneticPr fontId="2" type="noConversion"/>
  </si>
  <si>
    <t>P167</t>
    <phoneticPr fontId="2" type="noConversion"/>
  </si>
  <si>
    <t>RCS망설치, 시트 용접</t>
    <phoneticPr fontId="2" type="noConversion"/>
  </si>
  <si>
    <t>박성용</t>
    <phoneticPr fontId="2" type="noConversion"/>
  </si>
  <si>
    <t>계약사항 이행</t>
    <phoneticPr fontId="2" type="noConversion"/>
  </si>
  <si>
    <t>한화오션</t>
    <phoneticPr fontId="2" type="noConversion"/>
  </si>
  <si>
    <t>RCS, RB</t>
    <phoneticPr fontId="2" type="noConversion"/>
  </si>
  <si>
    <t>RCS차폐막 롤러 교체, 리미트 간섭 / RB 밴드 공급</t>
    <phoneticPr fontId="2" type="noConversion"/>
  </si>
  <si>
    <t>사전품의 완료</t>
    <phoneticPr fontId="2" type="noConversion"/>
  </si>
  <si>
    <t>리미트 터치바 교체</t>
    <phoneticPr fontId="2" type="noConversion"/>
  </si>
  <si>
    <t>합계</t>
    <phoneticPr fontId="2" type="noConversion"/>
  </si>
  <si>
    <t>일자</t>
    <phoneticPr fontId="2" type="noConversion"/>
  </si>
  <si>
    <t>작업내용</t>
    <phoneticPr fontId="2" type="noConversion"/>
  </si>
  <si>
    <t>담당자</t>
    <phoneticPr fontId="2" type="noConversion"/>
  </si>
  <si>
    <t>투입인원</t>
    <phoneticPr fontId="2" type="noConversion"/>
  </si>
  <si>
    <t>특이사항</t>
    <phoneticPr fontId="2" type="noConversion"/>
  </si>
  <si>
    <t>작업결과</t>
    <phoneticPr fontId="2" type="noConversion"/>
  </si>
  <si>
    <t>진진산업</t>
    <phoneticPr fontId="2" type="noConversion"/>
  </si>
  <si>
    <t>CLAIM</t>
    <phoneticPr fontId="2" type="noConversion"/>
  </si>
  <si>
    <t>인도전</t>
    <phoneticPr fontId="2" type="noConversion"/>
  </si>
  <si>
    <t>HHI</t>
    <phoneticPr fontId="2" type="noConversion"/>
  </si>
  <si>
    <t>P168</t>
    <phoneticPr fontId="2" type="noConversion"/>
  </si>
  <si>
    <t>RCS</t>
    <phoneticPr fontId="2" type="noConversion"/>
  </si>
  <si>
    <t>케이블 포설, 설치지원</t>
    <phoneticPr fontId="2" type="noConversion"/>
  </si>
  <si>
    <t>박성용</t>
    <phoneticPr fontId="2" type="noConversion"/>
  </si>
  <si>
    <t>계약사항 이행</t>
    <phoneticPr fontId="2" type="noConversion"/>
  </si>
  <si>
    <t>완료</t>
    <phoneticPr fontId="2" type="noConversion"/>
  </si>
  <si>
    <t>CLAIM</t>
    <phoneticPr fontId="2" type="noConversion"/>
  </si>
  <si>
    <t>인도전</t>
    <phoneticPr fontId="2" type="noConversion"/>
  </si>
  <si>
    <t>HHI</t>
    <phoneticPr fontId="2" type="noConversion"/>
  </si>
  <si>
    <t>차폐막 설치, 설치지원</t>
    <phoneticPr fontId="2" type="noConversion"/>
  </si>
  <si>
    <t>계약사항 이행</t>
    <phoneticPr fontId="2" type="noConversion"/>
  </si>
  <si>
    <t>완료</t>
    <phoneticPr fontId="2" type="noConversion"/>
  </si>
  <si>
    <t>P168</t>
    <phoneticPr fontId="2" type="noConversion"/>
  </si>
  <si>
    <t>세팅 및 시운전</t>
    <phoneticPr fontId="2" type="noConversion"/>
  </si>
  <si>
    <t>박성용</t>
    <phoneticPr fontId="2" type="noConversion"/>
  </si>
  <si>
    <t>완료</t>
    <phoneticPr fontId="2" type="noConversion"/>
  </si>
  <si>
    <t>HHI</t>
    <phoneticPr fontId="2" type="noConversion"/>
  </si>
  <si>
    <t>RB, RCS</t>
    <phoneticPr fontId="2" type="noConversion"/>
  </si>
  <si>
    <t>실린더 수정, 자체테스트</t>
    <phoneticPr fontId="2" type="noConversion"/>
  </si>
  <si>
    <t>사전품의 완료 (업체변경)</t>
    <phoneticPr fontId="2" type="noConversion"/>
  </si>
  <si>
    <t>검사 입회</t>
    <phoneticPr fontId="2" type="noConversion"/>
  </si>
  <si>
    <t>A/S</t>
    <phoneticPr fontId="2" type="noConversion"/>
  </si>
  <si>
    <t>P167</t>
    <phoneticPr fontId="2" type="noConversion"/>
  </si>
  <si>
    <t>PE</t>
    <phoneticPr fontId="2" type="noConversion"/>
  </si>
  <si>
    <t>코멘트조치</t>
    <phoneticPr fontId="2" type="noConversion"/>
  </si>
  <si>
    <t>사전품의 완료</t>
    <phoneticPr fontId="2" type="noConversion"/>
  </si>
  <si>
    <t>A/S</t>
    <phoneticPr fontId="2" type="noConversion"/>
  </si>
  <si>
    <t>P167</t>
    <phoneticPr fontId="2" type="noConversion"/>
  </si>
  <si>
    <t>ML</t>
    <phoneticPr fontId="2" type="noConversion"/>
  </si>
  <si>
    <t>코멘트조치(도장수정, 케이블보호, 리미트스위치교체, 체인박스 수정, 커넥터 교체)</t>
    <phoneticPr fontId="2" type="noConversion"/>
  </si>
  <si>
    <t>합계</t>
    <phoneticPr fontId="2" type="noConversion"/>
  </si>
  <si>
    <t>3월</t>
    <phoneticPr fontId="2" type="noConversion"/>
  </si>
  <si>
    <t>RCS,HHD</t>
    <phoneticPr fontId="2" type="noConversion"/>
  </si>
  <si>
    <t>시운전지원</t>
    <phoneticPr fontId="2" type="noConversion"/>
  </si>
  <si>
    <t>조립지원</t>
    <phoneticPr fontId="2" type="noConversion"/>
  </si>
  <si>
    <t>SN2598</t>
    <phoneticPr fontId="2" type="noConversion"/>
  </si>
  <si>
    <t>아이앤지(최기출2)</t>
    <phoneticPr fontId="2" type="noConversion"/>
  </si>
  <si>
    <t>HOOK BLOCK 수정, 호스정리</t>
    <phoneticPr fontId="2" type="noConversion"/>
  </si>
  <si>
    <t>04-01(월)~
04-03(수)</t>
    <phoneticPr fontId="2" type="noConversion"/>
  </si>
  <si>
    <t>04-04(목)~
04-05(금)</t>
    <phoneticPr fontId="2" type="noConversion"/>
  </si>
  <si>
    <t>04-01(월)~
04-02(화)</t>
    <phoneticPr fontId="2" type="noConversion"/>
  </si>
  <si>
    <t>04-02(화)~
04-03(수)</t>
    <phoneticPr fontId="2" type="noConversion"/>
  </si>
  <si>
    <t>사외작업</t>
  </si>
  <si>
    <t>가포신항</t>
    <phoneticPr fontId="2" type="noConversion"/>
  </si>
  <si>
    <t>H2518</t>
    <phoneticPr fontId="2" type="noConversion"/>
  </si>
  <si>
    <t>DC</t>
    <phoneticPr fontId="2" type="noConversion"/>
  </si>
  <si>
    <t>부두조립</t>
    <phoneticPr fontId="2" type="noConversion"/>
  </si>
  <si>
    <t>실행예산에 부함함</t>
    <phoneticPr fontId="2" type="noConversion"/>
  </si>
  <si>
    <t>출고검사</t>
    <phoneticPr fontId="2" type="noConversion"/>
  </si>
  <si>
    <t>DB4502</t>
    <phoneticPr fontId="2" type="noConversion"/>
  </si>
  <si>
    <t>DB4501</t>
    <phoneticPr fontId="2" type="noConversion"/>
  </si>
  <si>
    <t>아이앤지</t>
  </si>
  <si>
    <t>우신테크</t>
    <phoneticPr fontId="2" type="noConversion"/>
  </si>
  <si>
    <r>
      <rPr>
        <sz val="10"/>
        <rFont val="돋움"/>
        <family val="3"/>
        <charset val="129"/>
      </rPr>
      <t>외주</t>
    </r>
    <r>
      <rPr>
        <sz val="10"/>
        <rFont val="Arial"/>
        <family val="2"/>
      </rPr>
      <t>(1)-ing</t>
    </r>
    <phoneticPr fontId="2" type="noConversion"/>
  </si>
  <si>
    <t>커미셔닝</t>
    <phoneticPr fontId="2" type="noConversion"/>
  </si>
  <si>
    <t>ㅇㄹㅇㄹ</t>
    <phoneticPr fontId="2" type="noConversion"/>
  </si>
  <si>
    <t>ㅇㄹㅇㄹ</t>
    <phoneticPr fontId="2" type="noConversion"/>
  </si>
  <si>
    <t>04-08(월)~
04-09(화)</t>
    <phoneticPr fontId="2" type="noConversion"/>
  </si>
  <si>
    <t>04-11(목)~
04-12(금)</t>
    <phoneticPr fontId="2" type="noConversion"/>
  </si>
  <si>
    <t>사내작업</t>
    <phoneticPr fontId="2" type="noConversion"/>
  </si>
  <si>
    <t>SWN0283</t>
    <phoneticPr fontId="2" type="noConversion"/>
  </si>
  <si>
    <t>(6.5T, 9T)조립, 설치 지원</t>
    <phoneticPr fontId="2" type="noConversion"/>
  </si>
  <si>
    <t>04-02(화)~</t>
  </si>
  <si>
    <t>04-03(수)</t>
  </si>
  <si>
    <t>덴소 / 도장 / 포장 지원</t>
  </si>
  <si>
    <t>송영국</t>
  </si>
  <si>
    <t>     500,000</t>
  </si>
  <si>
    <t>04-04(목)~</t>
  </si>
  <si>
    <t>04-05(금)</t>
  </si>
  <si>
    <t>(2TON)덴소 / 도장 / 포장 지원</t>
  </si>
  <si>
    <t>14-1</t>
    <phoneticPr fontId="2" type="noConversion"/>
  </si>
  <si>
    <t>대선조선</t>
    <phoneticPr fontId="2" type="noConversion"/>
  </si>
  <si>
    <t>디에스티, 외주(1)</t>
    <phoneticPr fontId="2" type="noConversion"/>
  </si>
  <si>
    <t>S192</t>
    <phoneticPr fontId="2" type="noConversion"/>
  </si>
  <si>
    <t>HHIC</t>
    <phoneticPr fontId="2" type="noConversion"/>
  </si>
  <si>
    <t>승조원 교육 및 코멘트 처리
(후크라싱, JIB REST 수정)</t>
    <phoneticPr fontId="2" type="noConversion"/>
  </si>
  <si>
    <t>A/S 조치(함수 램프 유압계통 작동불량)</t>
    <phoneticPr fontId="2" type="noConversion"/>
  </si>
  <si>
    <t>DB4501</t>
    <phoneticPr fontId="2" type="noConversion"/>
  </si>
  <si>
    <t>04-11(목)~
04-12(금)</t>
    <phoneticPr fontId="2" type="noConversion"/>
  </si>
  <si>
    <t>04-8(목)~
04-9(금)</t>
    <phoneticPr fontId="2" type="noConversion"/>
  </si>
  <si>
    <t>SN2598</t>
    <phoneticPr fontId="2" type="noConversion"/>
  </si>
  <si>
    <t>PV</t>
    <phoneticPr fontId="2" type="noConversion"/>
  </si>
  <si>
    <t>포장지원</t>
    <phoneticPr fontId="2" type="noConversion"/>
  </si>
  <si>
    <t>강지원</t>
    <phoneticPr fontId="2" type="noConversion"/>
  </si>
  <si>
    <t>더베솔(4)</t>
    <phoneticPr fontId="2" type="noConversion"/>
  </si>
  <si>
    <t>TEST JIG 제작/설치</t>
    <phoneticPr fontId="2" type="noConversion"/>
  </si>
  <si>
    <t>장유승</t>
    <phoneticPr fontId="2" type="noConversion"/>
  </si>
  <si>
    <t>아이앤지(4)</t>
    <phoneticPr fontId="2" type="noConversion"/>
  </si>
  <si>
    <t>P157
(한산도함)</t>
    <phoneticPr fontId="2" type="noConversion"/>
  </si>
  <si>
    <t>RCS, RD</t>
    <phoneticPr fontId="2" type="noConversion"/>
  </si>
  <si>
    <t>우신</t>
    <phoneticPr fontId="2" type="noConversion"/>
  </si>
  <si>
    <t>04-15(월)~
04-17(수)</t>
    <phoneticPr fontId="2" type="noConversion"/>
  </si>
  <si>
    <t>04-18(목)~
04-19(금)</t>
    <phoneticPr fontId="2" type="noConversion"/>
  </si>
  <si>
    <t>04-18(목)~
04-20(토)</t>
    <phoneticPr fontId="2" type="noConversion"/>
  </si>
  <si>
    <t>TEST BED 용접 작업</t>
    <phoneticPr fontId="2" type="noConversion"/>
  </si>
  <si>
    <t>S198</t>
    <phoneticPr fontId="2" type="noConversion"/>
  </si>
  <si>
    <t>클레임 조치(PIN교체, STACH BLOCK 추가 제관 용접 &amp; 페인트, CHAIN BLOCK 공급)</t>
    <phoneticPr fontId="2" type="noConversion"/>
  </si>
  <si>
    <t>4/19(금)</t>
    <phoneticPr fontId="2" type="noConversion"/>
  </si>
  <si>
    <t>부산항</t>
    <phoneticPr fontId="2" type="noConversion"/>
  </si>
  <si>
    <t>4/18(목)</t>
    <phoneticPr fontId="2" type="noConversion"/>
  </si>
  <si>
    <t>개선사항(도면변경)</t>
    <phoneticPr fontId="2" type="noConversion"/>
  </si>
  <si>
    <t>보증 수리</t>
    <phoneticPr fontId="2" type="noConversion"/>
  </si>
  <si>
    <t>더베스트솔루션(6)</t>
    <phoneticPr fontId="2" type="noConversion"/>
  </si>
  <si>
    <t>조립 불량</t>
    <phoneticPr fontId="2" type="noConversion"/>
  </si>
  <si>
    <t>HOOK BLOCK 해체/4/19(금)조립포함</t>
    <phoneticPr fontId="2" type="noConversion"/>
  </si>
  <si>
    <t>TC,RB</t>
    <phoneticPr fontId="2" type="noConversion"/>
  </si>
  <si>
    <t>CRADLE 수정작업</t>
    <phoneticPr fontId="2" type="noConversion"/>
  </si>
  <si>
    <t>LUFFING WIRE 정렬 조치</t>
    <phoneticPr fontId="2" type="noConversion"/>
  </si>
  <si>
    <t>04-22(월)~
04-26(금)</t>
    <phoneticPr fontId="2" type="noConversion"/>
  </si>
  <si>
    <t>(25T) 조립지원</t>
    <phoneticPr fontId="2" type="noConversion"/>
  </si>
  <si>
    <t>아이앤지(최기출5)</t>
    <phoneticPr fontId="2" type="noConversion"/>
  </si>
  <si>
    <t>YARD 탑재 지원</t>
  </si>
  <si>
    <t>도면 불량</t>
    <phoneticPr fontId="2" type="noConversion"/>
  </si>
  <si>
    <t>SHI</t>
    <phoneticPr fontId="2" type="noConversion"/>
  </si>
  <si>
    <t>도면개정 반영</t>
    <phoneticPr fontId="2" type="noConversion"/>
  </si>
  <si>
    <t>그리스라인 수정, 니쁠 데미지 교체</t>
    <phoneticPr fontId="2" type="noConversion"/>
  </si>
  <si>
    <t>4/25(목)</t>
    <phoneticPr fontId="2" type="noConversion"/>
  </si>
  <si>
    <t>SN2598/P169</t>
    <phoneticPr fontId="2" type="noConversion"/>
  </si>
  <si>
    <t>더베스트솔루션(2)</t>
    <phoneticPr fontId="2" type="noConversion"/>
  </si>
  <si>
    <t>고객 탑재 지원 요청</t>
    <phoneticPr fontId="2" type="noConversion"/>
  </si>
  <si>
    <t>(20T) S/B BOLT 교체 및 토르크 작업</t>
    <phoneticPr fontId="2" type="noConversion"/>
  </si>
  <si>
    <t>이경원</t>
    <phoneticPr fontId="2" type="noConversion"/>
  </si>
  <si>
    <t xml:space="preserve">HH PD/
HO RAIL
</t>
    <phoneticPr fontId="2" type="noConversion"/>
  </si>
  <si>
    <t>업체명</t>
    <phoneticPr fontId="2" type="noConversion"/>
  </si>
  <si>
    <t>품의일자</t>
    <phoneticPr fontId="2" type="noConversion"/>
  </si>
  <si>
    <t>작업내용</t>
    <phoneticPr fontId="2" type="noConversion"/>
  </si>
  <si>
    <t>금액</t>
    <phoneticPr fontId="2" type="noConversion"/>
  </si>
  <si>
    <t>김해공장</t>
    <phoneticPr fontId="2" type="noConversion"/>
  </si>
  <si>
    <t>3306 (2T)</t>
    <phoneticPr fontId="2" type="noConversion"/>
  </si>
  <si>
    <t>OJC</t>
    <phoneticPr fontId="2" type="noConversion"/>
  </si>
  <si>
    <t>강지원</t>
    <phoneticPr fontId="2" type="noConversion"/>
  </si>
  <si>
    <t>아이앤지(6)
→ 더베솔(9)</t>
    <phoneticPr fontId="2" type="noConversion"/>
  </si>
  <si>
    <t>품의13</t>
    <phoneticPr fontId="2" type="noConversion"/>
  </si>
  <si>
    <t>04-02(화)~
04-03(수)</t>
    <phoneticPr fontId="2" type="noConversion"/>
  </si>
  <si>
    <t>사내작업</t>
    <phoneticPr fontId="2" type="noConversion"/>
  </si>
  <si>
    <t>납품전</t>
    <phoneticPr fontId="2" type="noConversion"/>
  </si>
  <si>
    <t>덴소 / 도장 / 포장 지원</t>
    <phoneticPr fontId="2" type="noConversion"/>
  </si>
  <si>
    <t>품의14</t>
  </si>
  <si>
    <t>04-11(목)~
04-12(금)</t>
    <phoneticPr fontId="2" type="noConversion"/>
  </si>
  <si>
    <t>SN2598</t>
    <phoneticPr fontId="2" type="noConversion"/>
  </si>
  <si>
    <t>PV</t>
    <phoneticPr fontId="2" type="noConversion"/>
  </si>
  <si>
    <t>포장지원</t>
    <phoneticPr fontId="2" type="noConversion"/>
  </si>
  <si>
    <t>품의15</t>
  </si>
  <si>
    <t>04-18(목)~
04-20(토)</t>
    <phoneticPr fontId="2" type="noConversion"/>
  </si>
  <si>
    <t>S198</t>
    <phoneticPr fontId="2" type="noConversion"/>
  </si>
  <si>
    <t>품의16</t>
  </si>
  <si>
    <t>SN2598/P169</t>
    <phoneticPr fontId="2" type="noConversion"/>
  </si>
  <si>
    <t xml:space="preserve">HH PD/
HO RAIL
</t>
    <phoneticPr fontId="2" type="noConversion"/>
  </si>
  <si>
    <t>더베스트솔루션(2)</t>
    <phoneticPr fontId="2" type="noConversion"/>
  </si>
  <si>
    <t>품의17</t>
  </si>
  <si>
    <t>11일 뼴</t>
    <phoneticPr fontId="2" type="noConversion"/>
  </si>
  <si>
    <t>작업일자</t>
    <phoneticPr fontId="2" type="noConversion"/>
  </si>
  <si>
    <t>담당자</t>
    <phoneticPr fontId="2" type="noConversion"/>
  </si>
  <si>
    <t>투입인원</t>
    <phoneticPr fontId="2" type="noConversion"/>
  </si>
  <si>
    <t>아이앤지
(최기출)</t>
    <phoneticPr fontId="2" type="noConversion"/>
  </si>
  <si>
    <t>04-01(월)~
04-03(수)</t>
    <phoneticPr fontId="2" type="noConversion"/>
  </si>
  <si>
    <t>사내작업</t>
    <phoneticPr fontId="2" type="noConversion"/>
  </si>
  <si>
    <t>김해공장</t>
    <phoneticPr fontId="2" type="noConversion"/>
  </si>
  <si>
    <t>S198</t>
    <phoneticPr fontId="2" type="noConversion"/>
  </si>
  <si>
    <t>시운전지원</t>
    <phoneticPr fontId="2" type="noConversion"/>
  </si>
  <si>
    <t>이광형</t>
    <phoneticPr fontId="2" type="noConversion"/>
  </si>
  <si>
    <t>04-04(목)~
04-05(금)</t>
    <phoneticPr fontId="2" type="noConversion"/>
  </si>
  <si>
    <t>HH</t>
    <phoneticPr fontId="2" type="noConversion"/>
  </si>
  <si>
    <t>조립지원</t>
    <phoneticPr fontId="2" type="noConversion"/>
  </si>
  <si>
    <t>04-08(월)~
04-09(화)</t>
    <phoneticPr fontId="2" type="noConversion"/>
  </si>
  <si>
    <t>SWN0283</t>
    <phoneticPr fontId="2" type="noConversion"/>
  </si>
  <si>
    <t>(6.5T, 9T)조립, 설치 지원</t>
    <phoneticPr fontId="2" type="noConversion"/>
  </si>
  <si>
    <t>04-11(목)~
04-12(금)</t>
    <phoneticPr fontId="2" type="noConversion"/>
  </si>
  <si>
    <t>04-15(월)~
04-17(수)</t>
    <phoneticPr fontId="2" type="noConversion"/>
  </si>
  <si>
    <t>납품전</t>
    <phoneticPr fontId="2" type="noConversion"/>
  </si>
  <si>
    <t>SWN0283</t>
    <phoneticPr fontId="2" type="noConversion"/>
  </si>
  <si>
    <t>RB</t>
    <phoneticPr fontId="2" type="noConversion"/>
  </si>
  <si>
    <t>04-18(목)~
04-19(금)</t>
    <phoneticPr fontId="2" type="noConversion"/>
  </si>
  <si>
    <t>ER</t>
    <phoneticPr fontId="2" type="noConversion"/>
  </si>
  <si>
    <t>04-22(월)~
04-26(금)</t>
    <phoneticPr fontId="2" type="noConversion"/>
  </si>
  <si>
    <t>(25T) 조립지원</t>
    <phoneticPr fontId="2" type="noConversion"/>
  </si>
  <si>
    <t>이순신함</t>
    <phoneticPr fontId="2" type="noConversion"/>
  </si>
  <si>
    <t>합 계</t>
    <phoneticPr fontId="2" type="noConversion"/>
  </si>
  <si>
    <t>SN2584</t>
    <phoneticPr fontId="2" type="noConversion"/>
  </si>
  <si>
    <t>A/S</t>
    <phoneticPr fontId="2" type="noConversion"/>
  </si>
  <si>
    <t>대선조선</t>
    <phoneticPr fontId="2" type="noConversion"/>
  </si>
  <si>
    <t>승조원교육(10:00~)</t>
    <phoneticPr fontId="2" type="noConversion"/>
  </si>
  <si>
    <t>계약사항</t>
    <phoneticPr fontId="2" type="noConversion"/>
  </si>
  <si>
    <t>4/24(목)</t>
    <phoneticPr fontId="2" type="noConversion"/>
  </si>
  <si>
    <t>아이앤지(2)</t>
    <phoneticPr fontId="2" type="noConversion"/>
  </si>
  <si>
    <t>(25TON) TEST P/D OUTSIDE용접 및 추가 보강 용접</t>
    <phoneticPr fontId="2" type="noConversion"/>
  </si>
  <si>
    <t>아이앤지(최기추2)</t>
    <phoneticPr fontId="2" type="noConversion"/>
  </si>
  <si>
    <t>(TELE JIB2)쇼트 검사</t>
  </si>
  <si>
    <t>DSME-3307-OAC-25T-C1</t>
  </si>
  <si>
    <t>HOOK 선주검사(LOAD TEST)</t>
    <phoneticPr fontId="2" type="noConversion"/>
  </si>
  <si>
    <t>합 계</t>
    <phoneticPr fontId="2" type="noConversion"/>
  </si>
  <si>
    <t>4월</t>
    <phoneticPr fontId="2" type="noConversion"/>
  </si>
  <si>
    <r>
      <t>3/22(</t>
    </r>
    <r>
      <rPr>
        <sz val="10"/>
        <rFont val="돋움"/>
        <family val="3"/>
        <charset val="129"/>
      </rPr>
      <t>금</t>
    </r>
    <r>
      <rPr>
        <sz val="10"/>
        <rFont val="Arial"/>
        <family val="2"/>
      </rPr>
      <t>)</t>
    </r>
    <phoneticPr fontId="2" type="noConversion"/>
  </si>
  <si>
    <t>4/29~4/30</t>
    <phoneticPr fontId="2" type="noConversion"/>
  </si>
  <si>
    <t>3/26(화)</t>
    <phoneticPr fontId="2" type="noConversion"/>
  </si>
  <si>
    <t>HJ중공업</t>
    <phoneticPr fontId="2" type="noConversion"/>
  </si>
  <si>
    <t>S192</t>
    <phoneticPr fontId="2" type="noConversion"/>
  </si>
  <si>
    <t>DC</t>
    <phoneticPr fontId="2" type="noConversion"/>
  </si>
  <si>
    <t>코멘트 처리( 블라인드 설치 작업, 와이어가이드 볼팅 홀 작업)</t>
    <phoneticPr fontId="2" type="noConversion"/>
  </si>
  <si>
    <t>코멘트 처리(선반걸이, J/R PAD 수정)</t>
    <phoneticPr fontId="2" type="noConversion"/>
  </si>
  <si>
    <t>임상섭</t>
    <phoneticPr fontId="2" type="noConversion"/>
  </si>
  <si>
    <t>임상섭</t>
    <phoneticPr fontId="2" type="noConversion"/>
  </si>
  <si>
    <t>긴급 코멘트처리</t>
    <phoneticPr fontId="2" type="noConversion"/>
  </si>
  <si>
    <t>(25TON) TEST P/D OUTSIDE용접 및 추가 보강 용접</t>
    <phoneticPr fontId="2" type="noConversion"/>
  </si>
  <si>
    <t>04-01(월)~
04-02(화)</t>
    <phoneticPr fontId="2" type="noConversion"/>
  </si>
  <si>
    <t>TEST JIG 제작/설치</t>
    <phoneticPr fontId="2" type="noConversion"/>
  </si>
  <si>
    <t>04-8(목)~
04-9(금)</t>
    <phoneticPr fontId="2" type="noConversion"/>
  </si>
  <si>
    <t>사내작업</t>
    <phoneticPr fontId="2" type="noConversion"/>
  </si>
  <si>
    <t>납품전</t>
    <phoneticPr fontId="2" type="noConversion"/>
  </si>
  <si>
    <t>김해공장</t>
    <phoneticPr fontId="2" type="noConversion"/>
  </si>
  <si>
    <t>P170</t>
    <phoneticPr fontId="2" type="noConversion"/>
  </si>
  <si>
    <t>ML</t>
    <phoneticPr fontId="2" type="noConversion"/>
  </si>
  <si>
    <t>김해공장</t>
    <phoneticPr fontId="2" type="noConversion"/>
  </si>
  <si>
    <t>TEST BED 용접 작업</t>
    <phoneticPr fontId="2" type="noConversion"/>
  </si>
  <si>
    <t>SWN0283</t>
    <phoneticPr fontId="2" type="noConversion"/>
  </si>
  <si>
    <t>A/S</t>
    <phoneticPr fontId="2" type="noConversion"/>
  </si>
  <si>
    <t>인도후</t>
    <phoneticPr fontId="2" type="noConversion"/>
  </si>
  <si>
    <t>진해해군</t>
    <phoneticPr fontId="2" type="noConversion"/>
  </si>
  <si>
    <t>S161</t>
    <phoneticPr fontId="2" type="noConversion"/>
  </si>
  <si>
    <t>BSR</t>
    <phoneticPr fontId="2" type="noConversion"/>
  </si>
  <si>
    <t>A/S 조치(함수 램프 유압계통 작동불량)</t>
    <phoneticPr fontId="2" type="noConversion"/>
  </si>
  <si>
    <t>박주성</t>
    <phoneticPr fontId="2" type="noConversion"/>
  </si>
  <si>
    <t>CLAIM</t>
    <phoneticPr fontId="2" type="noConversion"/>
  </si>
  <si>
    <t>인도후</t>
    <phoneticPr fontId="2" type="noConversion"/>
  </si>
  <si>
    <t>SWN0271</t>
    <phoneticPr fontId="2" type="noConversion"/>
  </si>
  <si>
    <t>FC</t>
    <phoneticPr fontId="2" type="noConversion"/>
  </si>
  <si>
    <t>LUFFING WIRE 정렬 조치</t>
    <phoneticPr fontId="2" type="noConversion"/>
  </si>
  <si>
    <t>4/25(목)</t>
    <phoneticPr fontId="2" type="noConversion"/>
  </si>
  <si>
    <t>인도후</t>
    <phoneticPr fontId="2" type="noConversion"/>
  </si>
  <si>
    <t>클레임 조치(PIN교체, STACH BLOCK 추가 제관 용접 &amp; 페인트, CHAIN BLOCK 공급)</t>
    <phoneticPr fontId="2" type="noConversion"/>
  </si>
  <si>
    <t>사전품의 완료 (업체변경)</t>
    <phoneticPr fontId="2" type="noConversion"/>
  </si>
  <si>
    <t>사전품의 완료
(업체변경)</t>
    <phoneticPr fontId="2" type="noConversion"/>
  </si>
  <si>
    <r>
      <t>코멘트 작업</t>
    </r>
    <r>
      <rPr>
        <sz val="14"/>
        <color theme="1"/>
        <rFont val="맑은 고딕"/>
        <family val="3"/>
        <charset val="129"/>
      </rPr>
      <t xml:space="preserve"> </t>
    </r>
    <r>
      <rPr>
        <b/>
        <sz val="12"/>
        <color theme="1"/>
        <rFont val="맑은 고딕"/>
        <family val="3"/>
        <charset val="129"/>
      </rPr>
      <t>(철야)</t>
    </r>
    <phoneticPr fontId="2" type="noConversion"/>
  </si>
  <si>
    <t>03-28(목)~
03-29(금)</t>
    <phoneticPr fontId="2" type="noConversion"/>
  </si>
  <si>
    <t xml:space="preserve">사전품의 완료
(업체변경) </t>
    <phoneticPr fontId="2" type="noConversion"/>
  </si>
  <si>
    <t>6(9)</t>
    <phoneticPr fontId="2" type="noConversion"/>
  </si>
  <si>
    <t>4/18(목)</t>
    <phoneticPr fontId="2" type="noConversion"/>
  </si>
  <si>
    <t>인도전</t>
    <phoneticPr fontId="2" type="noConversion"/>
  </si>
  <si>
    <t>미래중공업</t>
    <phoneticPr fontId="2" type="noConversion"/>
  </si>
  <si>
    <t>HH PD/
HO RAIL</t>
    <phoneticPr fontId="2" type="noConversion"/>
  </si>
  <si>
    <t>CMR</t>
    <phoneticPr fontId="2" type="noConversion"/>
  </si>
  <si>
    <t>SN2598/2599</t>
    <phoneticPr fontId="2" type="noConversion"/>
  </si>
  <si>
    <t>PV</t>
    <phoneticPr fontId="2" type="noConversion"/>
  </si>
  <si>
    <t>(P/D)쇼트 검사</t>
    <phoneticPr fontId="2" type="noConversion"/>
  </si>
  <si>
    <t>(JIB&amp;U/P)쇼트 검사</t>
    <phoneticPr fontId="2" type="noConversion"/>
  </si>
  <si>
    <t>SN2598</t>
    <phoneticPr fontId="2" type="noConversion"/>
  </si>
  <si>
    <t>(25T)쇼트 검사</t>
    <phoneticPr fontId="2" type="noConversion"/>
  </si>
  <si>
    <t>문덕민</t>
    <phoneticPr fontId="2" type="noConversion"/>
  </si>
  <si>
    <t>DB4501</t>
    <phoneticPr fontId="2" type="noConversion"/>
  </si>
  <si>
    <t>4/19(금)</t>
    <phoneticPr fontId="2" type="noConversion"/>
  </si>
  <si>
    <t>부산항</t>
    <phoneticPr fontId="2" type="noConversion"/>
  </si>
  <si>
    <t>MRS106</t>
    <phoneticPr fontId="2" type="noConversion"/>
  </si>
  <si>
    <t>KT</t>
    <phoneticPr fontId="2" type="noConversion"/>
  </si>
  <si>
    <t>클레임 조치(PIN교체, STACH BLOCK 추가 제관 용접 &amp; 페인트, CHAIN BLOCK 공급)</t>
    <phoneticPr fontId="2" type="noConversion"/>
  </si>
  <si>
    <t>박성용</t>
    <phoneticPr fontId="2" type="noConversion"/>
  </si>
  <si>
    <t>장소</t>
    <phoneticPr fontId="2" type="noConversion"/>
  </si>
  <si>
    <t>CLAIM</t>
    <phoneticPr fontId="2" type="noConversion"/>
  </si>
  <si>
    <t>인도전</t>
    <phoneticPr fontId="2" type="noConversion"/>
  </si>
  <si>
    <t>인도전</t>
    <phoneticPr fontId="2" type="noConversion"/>
  </si>
  <si>
    <t>SHI</t>
    <phoneticPr fontId="2" type="noConversion"/>
  </si>
  <si>
    <t>HH</t>
    <phoneticPr fontId="2" type="noConversion"/>
  </si>
  <si>
    <t>HOOK BLOCK 수정, 호스정리</t>
    <phoneticPr fontId="2" type="noConversion"/>
  </si>
  <si>
    <t>SN2579</t>
    <phoneticPr fontId="2" type="noConversion"/>
  </si>
  <si>
    <t>HOOK 선주검사(LOAD TEST)</t>
    <phoneticPr fontId="2" type="noConversion"/>
  </si>
  <si>
    <t>SHI</t>
    <phoneticPr fontId="2" type="noConversion"/>
  </si>
  <si>
    <t>SHI</t>
    <phoneticPr fontId="2" type="noConversion"/>
  </si>
  <si>
    <t>SN2579</t>
    <phoneticPr fontId="2" type="noConversion"/>
  </si>
  <si>
    <t>PV</t>
    <phoneticPr fontId="2" type="noConversion"/>
  </si>
  <si>
    <t>그리스라인 수정, 니쁠 데미지 교체</t>
    <phoneticPr fontId="2" type="noConversion"/>
  </si>
  <si>
    <t>A/S</t>
    <phoneticPr fontId="2" type="noConversion"/>
  </si>
  <si>
    <t>SN2579</t>
    <phoneticPr fontId="2" type="noConversion"/>
  </si>
  <si>
    <t>HH</t>
    <phoneticPr fontId="2" type="noConversion"/>
  </si>
  <si>
    <t>그리스라인 수정, 니쁠 데미지 교체</t>
    <phoneticPr fontId="2" type="noConversion"/>
  </si>
  <si>
    <t>HOOK BLOCK 조립, 해체 , 재조립</t>
    <phoneticPr fontId="2" type="noConversion"/>
  </si>
  <si>
    <t>신명
엔지니어링</t>
    <phoneticPr fontId="2" type="noConversion"/>
  </si>
  <si>
    <t>03-28(목)~
03-29(금)</t>
    <phoneticPr fontId="2" type="noConversion"/>
  </si>
  <si>
    <t>더베스트솔루션(4)</t>
    <phoneticPr fontId="2" type="noConversion"/>
  </si>
  <si>
    <t>더베스트솔루션(4)</t>
    <phoneticPr fontId="2" type="noConversion"/>
  </si>
  <si>
    <t>HOOK BLOCK 재 해체/조립포함</t>
    <phoneticPr fontId="2" type="noConversion"/>
  </si>
  <si>
    <t>04-27(토)~</t>
  </si>
  <si>
    <t>(20T) S/B BOLT 교체 및 토르크 작업</t>
  </si>
  <si>
    <t>        1,000,000</t>
  </si>
  <si>
    <t>04-28(일)</t>
  </si>
  <si>
    <t>04-30(월)~</t>
  </si>
  <si>
    <t>(25T) 호스릴 설치 작업</t>
  </si>
  <si>
    <t>          250,000</t>
  </si>
  <si>
    <t>04-29(월)~</t>
  </si>
  <si>
    <t>이순신함</t>
  </si>
  <si>
    <t>아이앤지(최기추3)</t>
  </si>
  <si>
    <t>          750,000</t>
  </si>
  <si>
    <t>05-01(수)</t>
  </si>
  <si>
    <t>05-02(목)~</t>
  </si>
  <si>
    <t>P171</t>
  </si>
  <si>
    <t>설치지원</t>
  </si>
  <si>
    <t>아이앤지(최기추2)</t>
  </si>
  <si>
    <t>          500,000</t>
  </si>
  <si>
    <t>설치반 지원</t>
  </si>
  <si>
    <t>05-03(금)</t>
    <phoneticPr fontId="2" type="noConversion"/>
  </si>
  <si>
    <t>4/29(월)</t>
  </si>
  <si>
    <t>SN2584</t>
  </si>
  <si>
    <t>HH,PV,CMR</t>
  </si>
  <si>
    <t>코멘트 처리(SLEWING LIMIT V/V오류,</t>
  </si>
  <si>
    <t>진진(1),우신(1)</t>
  </si>
  <si>
    <t>코멘트 사항</t>
  </si>
  <si>
    <t>V/V 시트 연장) 외 점검</t>
  </si>
  <si>
    <t>4/30(화)</t>
  </si>
  <si>
    <t>고객 탑재 지원 요청</t>
  </si>
  <si>
    <t>5/2(목)</t>
  </si>
  <si>
    <t>울산온산항달포부두</t>
  </si>
  <si>
    <t>MRS107</t>
  </si>
  <si>
    <t>클레임조치</t>
  </si>
  <si>
    <t>          300,000</t>
  </si>
  <si>
    <t>방함하여 확인필요</t>
  </si>
  <si>
    <t>김해공장</t>
    <phoneticPr fontId="2" type="noConversion"/>
  </si>
  <si>
    <t>사전품의 완료
(주간작업으로 대체)</t>
    <phoneticPr fontId="2" type="noConversion"/>
  </si>
  <si>
    <r>
      <t>코멘트 작업</t>
    </r>
    <r>
      <rPr>
        <sz val="14"/>
        <color theme="1"/>
        <rFont val="맑은 고딕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(</t>
    </r>
    <r>
      <rPr>
        <strike/>
        <sz val="10"/>
        <color theme="1"/>
        <rFont val="맑은 고딕"/>
        <family val="3"/>
        <charset val="129"/>
      </rPr>
      <t>철야)</t>
    </r>
    <phoneticPr fontId="2" type="noConversion"/>
  </si>
  <si>
    <t>아이앤지(6)
→ 더베솔(9)</t>
    <phoneticPr fontId="2" type="noConversion"/>
  </si>
  <si>
    <t>FC</t>
    <phoneticPr fontId="2" type="noConversion"/>
  </si>
  <si>
    <t>SKMT</t>
    <phoneticPr fontId="2" type="noConversion"/>
  </si>
  <si>
    <t>목포</t>
    <phoneticPr fontId="2" type="noConversion"/>
  </si>
  <si>
    <t>05-13(월)~
05-14(화)</t>
    <phoneticPr fontId="2" type="noConversion"/>
  </si>
  <si>
    <t>05-16(목)~
05-17(금)</t>
    <phoneticPr fontId="2" type="noConversion"/>
  </si>
  <si>
    <t>보증수리(선회 사이렌 미작동, 와이어 감김 불량,조정실 중량 측정기 0 1, 헌팅)</t>
    <phoneticPr fontId="2" type="noConversion"/>
  </si>
  <si>
    <t>조립지원 / 설치지원</t>
  </si>
  <si>
    <t>보증수리 사항</t>
    <phoneticPr fontId="2" type="noConversion"/>
  </si>
  <si>
    <t>05-08(수)~</t>
  </si>
  <si>
    <t>05-10(금)</t>
  </si>
  <si>
    <t>SN2598/왕건함</t>
  </si>
  <si>
    <t>CMR/RD</t>
  </si>
  <si>
    <t>(최기추4)</t>
  </si>
  <si>
    <t>   1,000,000</t>
  </si>
  <si>
    <t>05-06(월)~</t>
  </si>
  <si>
    <t>P171/3306</t>
  </si>
  <si>
    <t>HT/OAC</t>
  </si>
  <si>
    <t>설치지원 / PLATFORM 용접</t>
  </si>
  <si>
    <t>   1,250,000</t>
  </si>
  <si>
    <t>4/19(금)</t>
  </si>
  <si>
    <t>부산해경</t>
  </si>
  <si>
    <t>MRS106</t>
  </si>
  <si>
    <t>클레임 조치(PIN교체, STACH BLOCK 추가 제관 용접 &amp; 페인트, CHAIN BLOCK 공급)</t>
  </si>
  <si>
    <t>아이앤지(1)</t>
  </si>
  <si>
    <t>     250,000</t>
  </si>
  <si>
    <t>사전품의 누락분</t>
  </si>
  <si>
    <t>(박성용 맹장 수술 당일 아이앤지 1명 추가 지원)</t>
  </si>
  <si>
    <t>5/6(월)</t>
  </si>
  <si>
    <t>RD</t>
  </si>
  <si>
    <t>CRADLE 수정작업</t>
  </si>
  <si>
    <t>     750,000</t>
  </si>
  <si>
    <t>개선사항-RCS 간섭으로 인한 도면변경</t>
  </si>
  <si>
    <t>(휴일 1.5배)</t>
  </si>
  <si>
    <t>5/7(화)</t>
  </si>
  <si>
    <t>5/10(금)</t>
  </si>
  <si>
    <t>HH,PV</t>
  </si>
  <si>
    <t>블록 10MM연장 러핑 리미트 터치바 교체,</t>
  </si>
  <si>
    <t>PV 리미트 연장, SLEWING 블록 체크</t>
  </si>
  <si>
    <t>도면불량</t>
  </si>
  <si>
    <t>미래중공업</t>
  </si>
  <si>
    <t>MRS108</t>
  </si>
  <si>
    <t>승조원 교육 (오후 1시~)</t>
  </si>
  <si>
    <t>     300,000</t>
  </si>
  <si>
    <t>05-17(금)</t>
    <phoneticPr fontId="2" type="noConversion"/>
  </si>
  <si>
    <t>LIMIT 해제 스위치 설치, 전체 리미트 세팅, 
커미셔닝</t>
    <phoneticPr fontId="2" type="noConversion"/>
  </si>
  <si>
    <t>05-13(월)</t>
    <phoneticPr fontId="2" type="noConversion"/>
  </si>
  <si>
    <t>05-14(화)</t>
    <phoneticPr fontId="2" type="noConversion"/>
  </si>
  <si>
    <t>아이앤지(최기추1)</t>
    <phoneticPr fontId="2" type="noConversion"/>
  </si>
  <si>
    <t>도장/덴소</t>
    <phoneticPr fontId="2" type="noConversion"/>
  </si>
  <si>
    <t xml:space="preserve"> 덴소</t>
    <phoneticPr fontId="2" type="noConversion"/>
  </si>
  <si>
    <t>(25T) 붐 조립자원</t>
    <phoneticPr fontId="2" type="noConversion"/>
  </si>
  <si>
    <t>설치 지원</t>
    <phoneticPr fontId="2" type="noConversion"/>
  </si>
  <si>
    <t>이순신함
(왕건함)</t>
    <phoneticPr fontId="2" type="noConversion"/>
  </si>
  <si>
    <t>코멘트 작업</t>
    <phoneticPr fontId="2" type="noConversion"/>
  </si>
  <si>
    <t>CP</t>
    <phoneticPr fontId="2" type="noConversion"/>
  </si>
  <si>
    <t>사용자불만조치(보트시트 수정)</t>
    <phoneticPr fontId="2" type="noConversion"/>
  </si>
  <si>
    <t>리모트 컨트롤러 조작 시 작동 불량 관련 점검</t>
    <phoneticPr fontId="2" type="noConversion"/>
  </si>
  <si>
    <t>박성용, 박주성</t>
    <phoneticPr fontId="2" type="noConversion"/>
  </si>
  <si>
    <t>부산</t>
    <phoneticPr fontId="2" type="noConversion"/>
  </si>
  <si>
    <t>S042
(독도함)</t>
    <phoneticPr fontId="2" type="noConversion"/>
  </si>
  <si>
    <t>김해공장</t>
    <phoneticPr fontId="2" type="noConversion"/>
  </si>
  <si>
    <t>YN02</t>
    <phoneticPr fontId="2" type="noConversion"/>
  </si>
  <si>
    <t>HH/PV/ER</t>
    <phoneticPr fontId="2" type="noConversion"/>
  </si>
  <si>
    <t>05-22(수)~
05-23(목)</t>
    <phoneticPr fontId="2" type="noConversion"/>
  </si>
  <si>
    <t>실행예산 부합함</t>
    <phoneticPr fontId="2" type="noConversion"/>
  </si>
  <si>
    <t>05-23(목)~
05-24(금)</t>
    <phoneticPr fontId="2" type="noConversion"/>
  </si>
  <si>
    <t>설치/시운전 지원</t>
    <phoneticPr fontId="2" type="noConversion"/>
  </si>
  <si>
    <t>해체지원</t>
    <phoneticPr fontId="2" type="noConversion"/>
  </si>
  <si>
    <t>05-20(월)~
05-21(수)</t>
    <phoneticPr fontId="2" type="noConversion"/>
  </si>
  <si>
    <t>(25T) S/B BOLT 교체 및 토르크 작업</t>
    <phoneticPr fontId="2" type="noConversion"/>
  </si>
  <si>
    <t>05-20(월)~
05-21(화)</t>
    <phoneticPr fontId="2" type="noConversion"/>
  </si>
  <si>
    <t>RD,TC</t>
    <phoneticPr fontId="2" type="noConversion"/>
  </si>
  <si>
    <t>S/L 리미트 V/V 레버 복귀 불량 관련 조치</t>
    <phoneticPr fontId="2" type="noConversion"/>
  </si>
  <si>
    <t>덴소/도장</t>
    <phoneticPr fontId="2" type="noConversion"/>
  </si>
  <si>
    <t>TEST P/D 용접</t>
    <phoneticPr fontId="2" type="noConversion"/>
  </si>
  <si>
    <t>5/28(화)~
5/29(수)</t>
    <phoneticPr fontId="2" type="noConversion"/>
  </si>
  <si>
    <t>SN2598</t>
    <phoneticPr fontId="2" type="noConversion"/>
  </si>
  <si>
    <t>OAC</t>
    <phoneticPr fontId="2" type="noConversion"/>
  </si>
  <si>
    <t>더베스트솔루션(4)</t>
    <phoneticPr fontId="2" type="noConversion"/>
  </si>
  <si>
    <t>(25T) 조립 지원</t>
    <phoneticPr fontId="2" type="noConversion"/>
  </si>
  <si>
    <t>5/27(월)~
5/28(화)</t>
    <phoneticPr fontId="2" type="noConversion"/>
  </si>
  <si>
    <t>설치지원</t>
    <phoneticPr fontId="2" type="noConversion"/>
  </si>
  <si>
    <t>05-29(수)~
05-31(금)</t>
    <phoneticPr fontId="2" type="noConversion"/>
  </si>
  <si>
    <t>아이앤지(최기추3)</t>
    <phoneticPr fontId="2" type="noConversion"/>
  </si>
  <si>
    <t>코멘트 처리, 커미셔닝 마무리(LOAD TEST)</t>
    <phoneticPr fontId="2" type="noConversion"/>
  </si>
  <si>
    <t>도면변경 후 발생사항(추후 원인 파악)</t>
    <phoneticPr fontId="2" type="noConversion"/>
  </si>
  <si>
    <t>선주 코멘트/계약사항</t>
    <phoneticPr fontId="2" type="noConversion"/>
  </si>
  <si>
    <t>동아(2)</t>
    <phoneticPr fontId="2" type="noConversion"/>
  </si>
  <si>
    <t>덴소/포장</t>
    <phoneticPr fontId="2" type="noConversion"/>
  </si>
  <si>
    <t>더베스트솔루션(2)</t>
    <phoneticPr fontId="2" type="noConversion"/>
  </si>
  <si>
    <t>보증수리사항</t>
    <phoneticPr fontId="2" type="noConversion"/>
  </si>
  <si>
    <t>보증수리사항</t>
    <phoneticPr fontId="2" type="noConversion"/>
  </si>
  <si>
    <t>코멘트 사항</t>
    <phoneticPr fontId="2" type="noConversion"/>
  </si>
  <si>
    <t>RD</t>
    <phoneticPr fontId="2" type="noConversion"/>
  </si>
  <si>
    <t>05-13(월)</t>
    <phoneticPr fontId="2" type="noConversion"/>
  </si>
  <si>
    <t>이순신함</t>
    <phoneticPr fontId="2" type="noConversion"/>
  </si>
  <si>
    <t xml:space="preserve"> 덴소</t>
    <phoneticPr fontId="2" type="noConversion"/>
  </si>
  <si>
    <t>강지원</t>
    <phoneticPr fontId="2" type="noConversion"/>
  </si>
  <si>
    <t>05-16(목)~
05-17(금)</t>
    <phoneticPr fontId="2" type="noConversion"/>
  </si>
  <si>
    <t>납품전</t>
    <phoneticPr fontId="2" type="noConversion"/>
  </si>
  <si>
    <t>김해공장</t>
    <phoneticPr fontId="2" type="noConversion"/>
  </si>
  <si>
    <t>사내작업</t>
    <phoneticPr fontId="2" type="noConversion"/>
  </si>
  <si>
    <t>HH/PV/ER</t>
    <phoneticPr fontId="2" type="noConversion"/>
  </si>
  <si>
    <t>도장/덴소</t>
    <phoneticPr fontId="2" type="noConversion"/>
  </si>
  <si>
    <t>SN2598</t>
    <phoneticPr fontId="2" type="noConversion"/>
  </si>
  <si>
    <t>CMR</t>
    <phoneticPr fontId="2" type="noConversion"/>
  </si>
  <si>
    <t>박성용</t>
    <phoneticPr fontId="2" type="noConversion"/>
  </si>
  <si>
    <t>HJSC</t>
    <phoneticPr fontId="2" type="noConversion"/>
  </si>
  <si>
    <t>P167</t>
    <phoneticPr fontId="2" type="noConversion"/>
  </si>
  <si>
    <t>HOC</t>
    <phoneticPr fontId="2" type="noConversion"/>
  </si>
  <si>
    <t>STOPPER 위치 이동, 
수동 브레이크 볼트 조임 레버 수정</t>
    <phoneticPr fontId="2" type="noConversion"/>
  </si>
  <si>
    <t>우신(1)</t>
    <phoneticPr fontId="2" type="noConversion"/>
  </si>
  <si>
    <t>SN2584</t>
    <phoneticPr fontId="2" type="noConversion"/>
  </si>
  <si>
    <t>PV, HH</t>
    <phoneticPr fontId="2" type="noConversion"/>
  </si>
  <si>
    <t>박성용</t>
    <phoneticPr fontId="2" type="noConversion"/>
  </si>
  <si>
    <t>우신(1)</t>
    <phoneticPr fontId="2" type="noConversion"/>
  </si>
  <si>
    <t>5월</t>
    <phoneticPr fontId="2" type="noConversion"/>
  </si>
  <si>
    <t>4/27(토)</t>
    <phoneticPr fontId="2" type="noConversion"/>
  </si>
  <si>
    <t>PV(2대) HH(PORT) 와이어 꼬임 해결 조치</t>
    <phoneticPr fontId="2" type="noConversion"/>
  </si>
  <si>
    <t>무상</t>
    <phoneticPr fontId="2" type="noConversion"/>
  </si>
  <si>
    <t>6/3(월)~</t>
  </si>
  <si>
    <t>(25T)JIB LUG 절단작업</t>
  </si>
  <si>
    <t>     500,000</t>
  </si>
  <si>
    <t>06/04(화)</t>
  </si>
  <si>
    <t>06/03(월)~</t>
  </si>
  <si>
    <t>ER</t>
  </si>
  <si>
    <t>6/4(화)</t>
  </si>
  <si>
    <t>YN02</t>
  </si>
  <si>
    <t>PV,ER,HH</t>
  </si>
  <si>
    <t>컨테이너작업</t>
  </si>
  <si>
    <t>더베스트솔루션(2)</t>
  </si>
  <si>
    <t>6/5(수),</t>
  </si>
  <si>
    <t>6/7(금)</t>
  </si>
  <si>
    <t>SWN0283</t>
  </si>
  <si>
    <t>덴소/포장</t>
  </si>
  <si>
    <t>6/3(월)</t>
  </si>
  <si>
    <t>CP</t>
  </si>
  <si>
    <t>작동 불량 관련 점검</t>
  </si>
  <si>
    <t>디에스티(1)</t>
  </si>
  <si>
    <t>보증수리사항</t>
  </si>
  <si>
    <t>대변항</t>
  </si>
  <si>
    <t>SWN0281</t>
  </si>
  <si>
    <t>(좌현) 보트 해상 안착 후 hoisting 이상현상</t>
  </si>
  <si>
    <t>(우현) 도킹헤드 압 불량 관련 긴급 조치</t>
  </si>
  <si>
    <t>GNN0015</t>
  </si>
  <si>
    <t>검사입회(오전10시)</t>
  </si>
  <si>
    <t>범양(1), 아이앤지(1)</t>
  </si>
  <si>
    <t>     550,000</t>
  </si>
  <si>
    <t>계약사항 (KT 크레인에 경우, 안전 문제로 2인 입회 필요)</t>
  </si>
  <si>
    <t>6/8(토)</t>
  </si>
  <si>
    <t>RD,ML</t>
  </si>
  <si>
    <t>발판 수정 및, RAMP HOLE 간격 수정</t>
  </si>
  <si>
    <t>코멘트 작업(유압라인 덴소 시공, Hoisting limit 길이 조절, 그리스니쁠 캡 시공외)</t>
    <phoneticPr fontId="2" type="noConversion"/>
  </si>
  <si>
    <t>END CAP 보완 작업</t>
    <phoneticPr fontId="2" type="noConversion"/>
  </si>
  <si>
    <t>6/10(월)~
6/11(화)</t>
    <phoneticPr fontId="2" type="noConversion"/>
  </si>
  <si>
    <t>6/12(수)~
6/13(목)</t>
    <phoneticPr fontId="2" type="noConversion"/>
  </si>
  <si>
    <t>6/14(금)</t>
    <phoneticPr fontId="2" type="noConversion"/>
  </si>
  <si>
    <t>(25T)수정작업 지원</t>
    <phoneticPr fontId="2" type="noConversion"/>
  </si>
  <si>
    <t>설치/자체테스트 지원</t>
    <phoneticPr fontId="2" type="noConversion"/>
  </si>
  <si>
    <t>6/10(월)~
6/12(수)</t>
    <phoneticPr fontId="2" type="noConversion"/>
  </si>
  <si>
    <t>더베스트솔루션(6)</t>
    <phoneticPr fontId="2" type="noConversion"/>
  </si>
  <si>
    <t>이순신함
(왕건함)</t>
    <phoneticPr fontId="2" type="noConversion"/>
  </si>
  <si>
    <t>이시맥</t>
    <phoneticPr fontId="2" type="noConversion"/>
  </si>
  <si>
    <t>3001함</t>
    <phoneticPr fontId="2" type="noConversion"/>
  </si>
  <si>
    <t>7058
(대전함)</t>
    <phoneticPr fontId="2" type="noConversion"/>
  </si>
  <si>
    <t>하부 센서 작동 불량(센서 및 케이블 교체)</t>
    <phoneticPr fontId="2" type="noConversion"/>
  </si>
  <si>
    <t>RCSD</t>
    <phoneticPr fontId="2" type="noConversion"/>
  </si>
  <si>
    <t>6/18(화)~
6/19(수)</t>
    <phoneticPr fontId="2" type="noConversion"/>
  </si>
  <si>
    <t>(6.5T,9T)덴소/포장</t>
    <phoneticPr fontId="2" type="noConversion"/>
  </si>
  <si>
    <t>FAT지원 및 해체</t>
    <phoneticPr fontId="2" type="noConversion"/>
  </si>
  <si>
    <t>아이앤지(최기추1)</t>
    <phoneticPr fontId="2" type="noConversion"/>
  </si>
  <si>
    <t>6/17(월)</t>
    <phoneticPr fontId="2" type="noConversion"/>
  </si>
  <si>
    <t>(25T) 개정도 용접작업</t>
    <phoneticPr fontId="2" type="noConversion"/>
  </si>
  <si>
    <t>아이앤지(최기추2)</t>
    <phoneticPr fontId="2" type="noConversion"/>
  </si>
  <si>
    <t>(우현) 오일 레벨 센서 교체,Hoisting 기어유 보충, (2대) U/P 케이블 웨이 용접작업</t>
    <phoneticPr fontId="2" type="noConversion"/>
  </si>
  <si>
    <t>코멘트 및 제작불량 사항</t>
    <phoneticPr fontId="2" type="noConversion"/>
  </si>
  <si>
    <t>조립 지원</t>
    <phoneticPr fontId="2" type="noConversion"/>
  </si>
  <si>
    <t>개선사항(도면 개정)</t>
    <phoneticPr fontId="2" type="noConversion"/>
  </si>
  <si>
    <t>6/20(목)~
6/21(금)</t>
    <phoneticPr fontId="2" type="noConversion"/>
  </si>
  <si>
    <t>전기계통 오류 수정(점검 시 램프 점등 및 부져 작동 안함,  배터리 charger ABN 발생)</t>
    <phoneticPr fontId="2" type="noConversion"/>
  </si>
  <si>
    <t>SWN0281(무궁화22호)</t>
    <phoneticPr fontId="2" type="noConversion"/>
  </si>
  <si>
    <t>6/27(목)~
6/28(금)</t>
    <phoneticPr fontId="2" type="noConversion"/>
  </si>
  <si>
    <t>P169</t>
    <phoneticPr fontId="2" type="noConversion"/>
  </si>
  <si>
    <t>HOC</t>
    <phoneticPr fontId="2" type="noConversion"/>
  </si>
  <si>
    <t>조립반 지원</t>
    <phoneticPr fontId="2" type="noConversion"/>
  </si>
  <si>
    <t>P171</t>
    <phoneticPr fontId="2" type="noConversion"/>
  </si>
  <si>
    <t>HTS</t>
    <phoneticPr fontId="2" type="noConversion"/>
  </si>
  <si>
    <t>6/24(월)~
6/25(화)</t>
    <phoneticPr fontId="2" type="noConversion"/>
  </si>
  <si>
    <t>철거</t>
    <phoneticPr fontId="2" type="noConversion"/>
  </si>
  <si>
    <t>(20T)덴소/포장(U/P)</t>
    <phoneticPr fontId="2" type="noConversion"/>
  </si>
  <si>
    <t>6/25(화)~
6/26(수)</t>
    <phoneticPr fontId="2" type="noConversion"/>
  </si>
  <si>
    <t>설치/시운전 지원</t>
    <phoneticPr fontId="2" type="noConversion"/>
  </si>
  <si>
    <t xml:space="preserve"> 누유 SLEWING 리미트 밸브 교체 및 
레더 홀 수정</t>
    <phoneticPr fontId="2" type="noConversion"/>
  </si>
  <si>
    <t>코멘트 사항</t>
    <phoneticPr fontId="2" type="noConversion"/>
  </si>
  <si>
    <t>선주 코멘트 사항</t>
    <phoneticPr fontId="2" type="noConversion"/>
  </si>
  <si>
    <t>MESH 재조립</t>
    <phoneticPr fontId="2" type="noConversion"/>
  </si>
  <si>
    <t>결선작업 및 커미셔닝</t>
    <phoneticPr fontId="2" type="noConversion"/>
  </si>
  <si>
    <t>결선(분리납품) 및 계약사항</t>
    <phoneticPr fontId="2" type="noConversion"/>
  </si>
  <si>
    <t>업체명</t>
    <phoneticPr fontId="2" type="noConversion"/>
  </si>
  <si>
    <t>품의일자</t>
    <phoneticPr fontId="2" type="noConversion"/>
  </si>
  <si>
    <t>작업장소</t>
    <phoneticPr fontId="2" type="noConversion"/>
  </si>
  <si>
    <t>특이사항</t>
    <phoneticPr fontId="2" type="noConversion"/>
  </si>
  <si>
    <t>작업결과</t>
    <phoneticPr fontId="2" type="noConversion"/>
  </si>
  <si>
    <t>05-13(월)</t>
    <phoneticPr fontId="2" type="noConversion"/>
  </si>
  <si>
    <t>도장/덴소</t>
  </si>
  <si>
    <t>05-16(목)~
05-17(금)</t>
    <phoneticPr fontId="2" type="noConversion"/>
  </si>
  <si>
    <t>05-22(수)~
05-23(목)</t>
    <phoneticPr fontId="2" type="noConversion"/>
  </si>
  <si>
    <t>HH/PV/ER</t>
  </si>
  <si>
    <t>5/28(화)~
5/29(수)</t>
    <phoneticPr fontId="2" type="noConversion"/>
  </si>
  <si>
    <t>SN2598</t>
  </si>
  <si>
    <t>사전품의 완료</t>
    <phoneticPr fontId="2" type="noConversion"/>
  </si>
  <si>
    <t>완료</t>
    <phoneticPr fontId="2" type="noConversion"/>
  </si>
  <si>
    <t>업체명</t>
    <phoneticPr fontId="2" type="noConversion"/>
  </si>
  <si>
    <t>일자</t>
    <phoneticPr fontId="2" type="noConversion"/>
  </si>
  <si>
    <t>작업내용</t>
    <phoneticPr fontId="2" type="noConversion"/>
  </si>
  <si>
    <t>부산</t>
    <phoneticPr fontId="2" type="noConversion"/>
  </si>
  <si>
    <t>S042
(독도함)</t>
    <phoneticPr fontId="2" type="noConversion"/>
  </si>
  <si>
    <t>사용자불만조치(보트시트 수정)</t>
    <phoneticPr fontId="2" type="noConversion"/>
  </si>
  <si>
    <t>박성용, 박주성</t>
    <phoneticPr fontId="2" type="noConversion"/>
  </si>
  <si>
    <t>일자</t>
    <phoneticPr fontId="2" type="noConversion"/>
  </si>
  <si>
    <t>담당자</t>
    <phoneticPr fontId="2" type="noConversion"/>
  </si>
  <si>
    <t>투입인원</t>
    <phoneticPr fontId="2" type="noConversion"/>
  </si>
  <si>
    <t>아이앤지</t>
    <phoneticPr fontId="2" type="noConversion"/>
  </si>
  <si>
    <t>5/14(화)</t>
    <phoneticPr fontId="2" type="noConversion"/>
  </si>
  <si>
    <t>이순신함</t>
    <phoneticPr fontId="2" type="noConversion"/>
  </si>
  <si>
    <t>실행예산에 부함함</t>
    <phoneticPr fontId="2" type="noConversion"/>
  </si>
  <si>
    <t>작업장소</t>
    <phoneticPr fontId="2" type="noConversion"/>
  </si>
  <si>
    <t>(20T) S/B BOLT 교체 및 토르크 작업</t>
    <phoneticPr fontId="2" type="noConversion"/>
  </si>
  <si>
    <t>05-20(월)~
05-21(화)</t>
    <phoneticPr fontId="2" type="noConversion"/>
  </si>
  <si>
    <t>(25T) S/B BOLT 교체 및 토르크 작업</t>
    <phoneticPr fontId="2" type="noConversion"/>
  </si>
  <si>
    <t>(25TON) DRUM 해체</t>
    <phoneticPr fontId="2" type="noConversion"/>
  </si>
  <si>
    <t>이광형</t>
    <phoneticPr fontId="2" type="noConversion"/>
  </si>
  <si>
    <t>별도 품의 완료</t>
    <phoneticPr fontId="2" type="noConversion"/>
  </si>
  <si>
    <t>납품전</t>
    <phoneticPr fontId="2" type="noConversion"/>
  </si>
  <si>
    <t>김해공장</t>
    <phoneticPr fontId="2" type="noConversion"/>
  </si>
  <si>
    <t>(25TON) DRUM 조립</t>
    <phoneticPr fontId="2" type="noConversion"/>
  </si>
  <si>
    <t>별도 품의 완료</t>
    <phoneticPr fontId="2" type="noConversion"/>
  </si>
  <si>
    <t>(25TON) DRUM 조립</t>
    <phoneticPr fontId="2" type="noConversion"/>
  </si>
  <si>
    <t>플랫폼 이동 설치 작업(철야)</t>
    <phoneticPr fontId="2" type="noConversion"/>
  </si>
  <si>
    <t>RB</t>
    <phoneticPr fontId="2" type="noConversion"/>
  </si>
  <si>
    <t>작업일자</t>
    <phoneticPr fontId="2" type="noConversion"/>
  </si>
  <si>
    <t>아이앤지
(최기추)</t>
    <phoneticPr fontId="2" type="noConversion"/>
  </si>
  <si>
    <t>05-03(금)</t>
  </si>
  <si>
    <t>05-13(월)</t>
    <phoneticPr fontId="2" type="noConversion"/>
  </si>
  <si>
    <t>SN2598</t>
    <phoneticPr fontId="2" type="noConversion"/>
  </si>
  <si>
    <t>조립지원</t>
    <phoneticPr fontId="2" type="noConversion"/>
  </si>
  <si>
    <t>05-14(화)</t>
    <phoneticPr fontId="2" type="noConversion"/>
  </si>
  <si>
    <t>OAC</t>
    <phoneticPr fontId="2" type="noConversion"/>
  </si>
  <si>
    <t>(25T) 붐 조립자원</t>
    <phoneticPr fontId="2" type="noConversion"/>
  </si>
  <si>
    <t>05-16(목)~
05-17(금)</t>
    <phoneticPr fontId="2" type="noConversion"/>
  </si>
  <si>
    <t>사내작업</t>
    <phoneticPr fontId="2" type="noConversion"/>
  </si>
  <si>
    <t>05-20(월)~
05-21(화)</t>
    <phoneticPr fontId="2" type="noConversion"/>
  </si>
  <si>
    <t>설치/시운전 지원</t>
    <phoneticPr fontId="2" type="noConversion"/>
  </si>
  <si>
    <t>해체지원</t>
    <phoneticPr fontId="2" type="noConversion"/>
  </si>
  <si>
    <t>05-23(목)~
05-24(금)</t>
    <phoneticPr fontId="2" type="noConversion"/>
  </si>
  <si>
    <t>조립/설치 지원</t>
    <phoneticPr fontId="2" type="noConversion"/>
  </si>
  <si>
    <t>5/27(월)~
5/28(화)</t>
    <phoneticPr fontId="2" type="noConversion"/>
  </si>
  <si>
    <t>05-29(수)~
05-31(금)</t>
    <phoneticPr fontId="2" type="noConversion"/>
  </si>
  <si>
    <t>(25T) 조립 지원</t>
    <phoneticPr fontId="2" type="noConversion"/>
  </si>
  <si>
    <t>우신테크</t>
    <phoneticPr fontId="2" type="noConversion"/>
  </si>
  <si>
    <t>사외작업</t>
    <phoneticPr fontId="2" type="noConversion"/>
  </si>
  <si>
    <t>진성</t>
    <phoneticPr fontId="2" type="noConversion"/>
  </si>
  <si>
    <t>SN2599</t>
    <phoneticPr fontId="2" type="noConversion"/>
  </si>
  <si>
    <t>PV</t>
    <phoneticPr fontId="2" type="noConversion"/>
  </si>
  <si>
    <t>(P/D)쇼트 검사</t>
    <phoneticPr fontId="2" type="noConversion"/>
  </si>
  <si>
    <t>오승만</t>
    <phoneticPr fontId="2" type="noConversion"/>
  </si>
  <si>
    <t>실행 예산에 부합함</t>
    <phoneticPr fontId="2" type="noConversion"/>
  </si>
  <si>
    <t>창성</t>
    <phoneticPr fontId="2" type="noConversion"/>
  </si>
  <si>
    <t>(25T)P/D쇼트 검사 (일요일 2명, 1.5배)</t>
    <phoneticPr fontId="2" type="noConversion"/>
  </si>
  <si>
    <t>문덕민</t>
    <phoneticPr fontId="2" type="noConversion"/>
  </si>
  <si>
    <t>실행 예산에 부합함
(추가PO발행 건)</t>
    <phoneticPr fontId="2" type="noConversion"/>
  </si>
  <si>
    <t>창성</t>
    <phoneticPr fontId="2" type="noConversion"/>
  </si>
  <si>
    <t>(25T)P/D쇼트 검사</t>
    <phoneticPr fontId="2" type="noConversion"/>
  </si>
  <si>
    <t>합계</t>
    <phoneticPr fontId="2" type="noConversion"/>
  </si>
  <si>
    <t>4/27(토)</t>
    <phoneticPr fontId="2" type="noConversion"/>
  </si>
  <si>
    <t>RD</t>
    <phoneticPr fontId="2" type="noConversion"/>
  </si>
  <si>
    <t>CRADLE 수정작업</t>
    <phoneticPr fontId="2" type="noConversion"/>
  </si>
  <si>
    <t>05/13(월)~
05/14(화)</t>
    <phoneticPr fontId="2" type="noConversion"/>
  </si>
  <si>
    <t>A/S</t>
    <phoneticPr fontId="2" type="noConversion"/>
  </si>
  <si>
    <t>목포</t>
    <phoneticPr fontId="2" type="noConversion"/>
  </si>
  <si>
    <t>SWN0272</t>
    <phoneticPr fontId="2" type="noConversion"/>
  </si>
  <si>
    <t>보증수리(선회 사이렌 미작동, 와이어 감김 불량,조정실 중량 측정기 0 1, 헌팅)</t>
    <phoneticPr fontId="2" type="noConversion"/>
  </si>
  <si>
    <t>박성용</t>
    <phoneticPr fontId="2" type="noConversion"/>
  </si>
  <si>
    <t>코멘트 작업</t>
    <phoneticPr fontId="2" type="noConversion"/>
  </si>
  <si>
    <t>04/30(화)</t>
    <phoneticPr fontId="2" type="noConversion"/>
  </si>
  <si>
    <t>(25T) 호스릴 설치 작업</t>
    <phoneticPr fontId="2" type="noConversion"/>
  </si>
  <si>
    <t>긴급지원(근로자의 날)</t>
    <phoneticPr fontId="2" type="noConversion"/>
  </si>
  <si>
    <t>(6.5T, 9T) TEST BED 절단작업</t>
    <phoneticPr fontId="2" type="noConversion"/>
  </si>
  <si>
    <t>긴급지원</t>
    <phoneticPr fontId="2" type="noConversion"/>
  </si>
  <si>
    <t>SLEWING COVER 설치</t>
    <phoneticPr fontId="2" type="noConversion"/>
  </si>
  <si>
    <t>긴급지원(토요일)</t>
    <phoneticPr fontId="2" type="noConversion"/>
  </si>
  <si>
    <t>MSH06
(고성함)</t>
    <phoneticPr fontId="2" type="noConversion"/>
  </si>
  <si>
    <t>김해공장</t>
    <phoneticPr fontId="2" type="noConversion"/>
  </si>
  <si>
    <t>A/S</t>
    <phoneticPr fontId="2" type="noConversion"/>
  </si>
  <si>
    <t>김해공장</t>
    <phoneticPr fontId="2" type="noConversion"/>
  </si>
  <si>
    <t>A/S</t>
    <phoneticPr fontId="2" type="noConversion"/>
  </si>
  <si>
    <t>김해공장</t>
    <phoneticPr fontId="2" type="noConversion"/>
  </si>
  <si>
    <t>A/S</t>
    <phoneticPr fontId="2" type="noConversion"/>
  </si>
  <si>
    <t>A/S</t>
    <phoneticPr fontId="2" type="noConversion"/>
  </si>
  <si>
    <t>왕건함</t>
    <phoneticPr fontId="2" type="noConversion"/>
  </si>
  <si>
    <t>7/1(월)~
7/2(화)</t>
    <phoneticPr fontId="2" type="noConversion"/>
  </si>
  <si>
    <t>7/4(목)~
7/5(금)</t>
    <phoneticPr fontId="2" type="noConversion"/>
  </si>
  <si>
    <t>보증수리사항(보증기한24년7월)</t>
    <phoneticPr fontId="2" type="noConversion"/>
  </si>
  <si>
    <t>FAT 및 해체 지원</t>
    <phoneticPr fontId="2" type="noConversion"/>
  </si>
  <si>
    <t>보증수리 (노후 명판교체, 유압라인검사, HPU 로드센싱 밸브 &amp; 유압 밸브 누유 교체 수리)</t>
    <phoneticPr fontId="2" type="noConversion"/>
  </si>
  <si>
    <t>(20T)코멘트 처리</t>
    <phoneticPr fontId="2" type="noConversion"/>
  </si>
  <si>
    <t>RD</t>
    <phoneticPr fontId="2" type="noConversion"/>
  </si>
  <si>
    <t>6월</t>
    <phoneticPr fontId="2" type="noConversion"/>
  </si>
  <si>
    <t>사전품의 완료</t>
    <phoneticPr fontId="2" type="noConversion"/>
  </si>
  <si>
    <t>OT평가</t>
    <phoneticPr fontId="2" type="noConversion"/>
  </si>
  <si>
    <t>HD현대중공업</t>
    <phoneticPr fontId="2" type="noConversion"/>
  </si>
  <si>
    <t>SN2585</t>
    <phoneticPr fontId="2" type="noConversion"/>
  </si>
  <si>
    <t>동아(1), 디에스티(1)</t>
    <phoneticPr fontId="2" type="noConversion"/>
  </si>
  <si>
    <t>미들 - 작동 불량 해결 조치
선미- 판넬 불량 해결 조치</t>
    <phoneticPr fontId="2" type="noConversion"/>
  </si>
  <si>
    <t>무상</t>
    <phoneticPr fontId="2" type="noConversion"/>
  </si>
  <si>
    <t>(STBD)SLEWING LIMIT V/V 복귀불량 자재 교체 
WIRE 꼬임 해결 조치</t>
    <phoneticPr fontId="2" type="noConversion"/>
  </si>
  <si>
    <t>계약사항</t>
    <phoneticPr fontId="2" type="noConversion"/>
  </si>
  <si>
    <t>보증수리 사항(동아,디에스티 보증기간 (납품 후 1년) 경과)</t>
    <phoneticPr fontId="2" type="noConversion"/>
  </si>
  <si>
    <t>아이앤지(최기추2)</t>
    <phoneticPr fontId="2" type="noConversion"/>
  </si>
  <si>
    <t>7/8(월)~
7/10(수)</t>
    <phoneticPr fontId="2" type="noConversion"/>
  </si>
  <si>
    <t>7/11(목)~
7/12(금)</t>
    <phoneticPr fontId="2" type="noConversion"/>
  </si>
  <si>
    <t>더베스트솔루션(6)</t>
    <phoneticPr fontId="2" type="noConversion"/>
  </si>
  <si>
    <t>아이앤지(2)</t>
    <phoneticPr fontId="2" type="noConversion"/>
  </si>
  <si>
    <t>(20T U/P) PLATFORM 조립</t>
    <phoneticPr fontId="2" type="noConversion"/>
  </si>
  <si>
    <t>(20T JIB) 코멘트 처리 및 덴소 작업</t>
    <phoneticPr fontId="2" type="noConversion"/>
  </si>
  <si>
    <t>RD, TC</t>
    <phoneticPr fontId="2" type="noConversion"/>
  </si>
  <si>
    <t>보증수리 사항 (노후 명판교체, 유압라인검사, HPU 로드센싱 밸브 &amp; 유압 밸브 누유 교체 수리) 2차</t>
    <phoneticPr fontId="2" type="noConversion"/>
  </si>
  <si>
    <t>김해공장</t>
    <phoneticPr fontId="2" type="noConversion"/>
  </si>
  <si>
    <t>보증수리 사항</t>
    <phoneticPr fontId="2" type="noConversion"/>
  </si>
  <si>
    <t>계약 사항(당사-CNM계약 단가 30만)</t>
    <phoneticPr fontId="2" type="noConversion"/>
  </si>
  <si>
    <t>코멘트 사항(도면 개정)</t>
    <phoneticPr fontId="2" type="noConversion"/>
  </si>
  <si>
    <t>검사 / 해체 지원</t>
    <phoneticPr fontId="2" type="noConversion"/>
  </si>
  <si>
    <t>아이앤지(최기추3)</t>
    <phoneticPr fontId="2" type="noConversion"/>
  </si>
  <si>
    <t>7/17(목)~
7/19(금)</t>
    <phoneticPr fontId="2" type="noConversion"/>
  </si>
  <si>
    <t>SLEWING LIMIT SWITCH 위치 조정 작업
(판넬 간섭) / 커미셔닝</t>
    <phoneticPr fontId="2" type="noConversion"/>
  </si>
  <si>
    <t>7/15(월)~
7/16(수)</t>
    <phoneticPr fontId="2" type="noConversion"/>
  </si>
  <si>
    <t>7/15(월)</t>
  </si>
  <si>
    <t>도장 / 덴소</t>
    <phoneticPr fontId="2" type="noConversion"/>
  </si>
  <si>
    <t>(20T) U/P 도장/덴소</t>
    <phoneticPr fontId="2" type="noConversion"/>
  </si>
  <si>
    <t>SN2585</t>
    <phoneticPr fontId="2" type="noConversion"/>
  </si>
  <si>
    <t>디에스티(1)</t>
    <phoneticPr fontId="2" type="noConversion"/>
  </si>
  <si>
    <t>박성용, 이시맥</t>
    <phoneticPr fontId="2" type="noConversion"/>
  </si>
  <si>
    <t>코멘트 마무리 작업</t>
    <phoneticPr fontId="2" type="noConversion"/>
  </si>
  <si>
    <t>SWN0281
(무궁화22호)</t>
    <phoneticPr fontId="2" type="noConversion"/>
  </si>
  <si>
    <t>HJSC</t>
    <phoneticPr fontId="2" type="noConversion"/>
  </si>
  <si>
    <t>OT 평가</t>
    <phoneticPr fontId="2" type="noConversion"/>
  </si>
  <si>
    <t>SOL V/V 누유, 
TROLLEY비상작동 불가 해결 조치</t>
    <phoneticPr fontId="2" type="noConversion"/>
  </si>
  <si>
    <t>보증수리 사항(보증수리기한-24년9월)</t>
    <phoneticPr fontId="2" type="noConversion"/>
  </si>
  <si>
    <t>7/22(월)~
7/24(수)</t>
    <phoneticPr fontId="2" type="noConversion"/>
  </si>
  <si>
    <t>GNN0017</t>
    <phoneticPr fontId="2" type="noConversion"/>
  </si>
  <si>
    <t>7/25(목)~
7/26(금)</t>
    <phoneticPr fontId="2" type="noConversion"/>
  </si>
  <si>
    <t>도장/덴소</t>
    <phoneticPr fontId="2" type="noConversion"/>
  </si>
  <si>
    <t>왕건함</t>
    <phoneticPr fontId="2" type="noConversion"/>
  </si>
  <si>
    <t>코멘트 사항(신속한 원인파악 및 해결을 위해 전기 전문 파견)</t>
    <phoneticPr fontId="2" type="noConversion"/>
  </si>
  <si>
    <t>7/23(화)~
7/25(목)</t>
    <phoneticPr fontId="2" type="noConversion"/>
  </si>
  <si>
    <t>LUFFING 조작 시 SLEWING 동시 동작 관련 
해결 조치</t>
    <phoneticPr fontId="2" type="noConversion"/>
  </si>
  <si>
    <t>DOCKING HEAD 내려오지 않는 문제로
TELE LEG CYL PIN 교체</t>
    <phoneticPr fontId="2" type="noConversion"/>
  </si>
  <si>
    <t>개선 사항(도면 개정 - 
PIN에 GREASE LINE 추가)</t>
    <phoneticPr fontId="2" type="noConversion"/>
  </si>
  <si>
    <t>보증수리 사항 (HPU 해수라인 용접)</t>
    <phoneticPr fontId="2" type="noConversion"/>
  </si>
  <si>
    <t>GNN0015</t>
    <phoneticPr fontId="2" type="noConversion"/>
  </si>
  <si>
    <t>SK오션플랜트</t>
    <phoneticPr fontId="2" type="noConversion"/>
  </si>
  <si>
    <t>HOISTING 시 이상소음으로 펌프 교체</t>
    <phoneticPr fontId="2" type="noConversion"/>
  </si>
  <si>
    <t>씨앤엠(1), 우신(2)</t>
    <phoneticPr fontId="2" type="noConversion"/>
  </si>
  <si>
    <t>SN2584</t>
    <phoneticPr fontId="2" type="noConversion"/>
  </si>
  <si>
    <t>PV,HH,CMR</t>
    <phoneticPr fontId="2" type="noConversion"/>
  </si>
  <si>
    <t>아이앤지(2)</t>
    <phoneticPr fontId="2" type="noConversion"/>
  </si>
  <si>
    <t>AUTO TENSION  기능 불량 점검</t>
    <phoneticPr fontId="2" type="noConversion"/>
  </si>
  <si>
    <t>동아(1)</t>
    <phoneticPr fontId="2" type="noConversion"/>
  </si>
  <si>
    <t>보증수리(보조 LOAD MOMENT SYSTEM불량 점검)</t>
    <phoneticPr fontId="2" type="noConversion"/>
  </si>
  <si>
    <t>코멘트 처리(JIB REST PAD 교체,  HOISTING LIMIT 길이조절 외) / 승조원 교육</t>
    <phoneticPr fontId="2" type="noConversion"/>
  </si>
  <si>
    <t>7/29(월)~
7/31(수)</t>
    <phoneticPr fontId="2" type="noConversion"/>
  </si>
  <si>
    <t>코멘트 사항</t>
    <phoneticPr fontId="2" type="noConversion"/>
  </si>
  <si>
    <t>8/1(목)~
8/2(금)</t>
    <phoneticPr fontId="2" type="noConversion"/>
  </si>
  <si>
    <t>범양(2)</t>
    <phoneticPr fontId="2" type="noConversion"/>
  </si>
  <si>
    <t>자재(H/PUMP)불량</t>
    <phoneticPr fontId="2" type="noConversion"/>
  </si>
  <si>
    <t>김해공장</t>
    <phoneticPr fontId="2" type="noConversion"/>
  </si>
  <si>
    <t>A/S</t>
    <phoneticPr fontId="2" type="noConversion"/>
  </si>
  <si>
    <t>박성용</t>
    <phoneticPr fontId="2" type="noConversion"/>
  </si>
  <si>
    <t>SN2599/
GNN0017</t>
    <phoneticPr fontId="2" type="noConversion"/>
  </si>
  <si>
    <t>PV/RB</t>
    <phoneticPr fontId="2" type="noConversion"/>
  </si>
  <si>
    <t>7/31(수)</t>
    <phoneticPr fontId="2" type="noConversion"/>
  </si>
  <si>
    <t>더베스트솔루션(2)</t>
    <phoneticPr fontId="2" type="noConversion"/>
  </si>
  <si>
    <t>포장반 지원</t>
    <phoneticPr fontId="2" type="noConversion"/>
  </si>
  <si>
    <t>P171</t>
    <phoneticPr fontId="2" type="noConversion"/>
  </si>
  <si>
    <t>HTS</t>
    <phoneticPr fontId="2" type="noConversion"/>
  </si>
  <si>
    <t>보증수리 기간 내 발생 문제(거한 측 점검 거부로 범양 점검 진행-1박2일)</t>
    <phoneticPr fontId="2" type="noConversion"/>
  </si>
  <si>
    <t>송영국</t>
    <phoneticPr fontId="2" type="noConversion"/>
  </si>
  <si>
    <t>HANGER WINCH 덴소/포장</t>
    <phoneticPr fontId="2" type="noConversion"/>
  </si>
  <si>
    <t>김해공장</t>
    <phoneticPr fontId="2" type="noConversion"/>
  </si>
  <si>
    <t>A/S</t>
    <phoneticPr fontId="2" type="noConversion"/>
  </si>
  <si>
    <t>업체명</t>
    <phoneticPr fontId="2" type="noConversion"/>
  </si>
  <si>
    <t>품의일자</t>
    <phoneticPr fontId="2" type="noConversion"/>
  </si>
  <si>
    <t>작업장소</t>
    <phoneticPr fontId="2" type="noConversion"/>
  </si>
  <si>
    <t>작업내용</t>
    <phoneticPr fontId="2" type="noConversion"/>
  </si>
  <si>
    <t>투입인원</t>
    <phoneticPr fontId="2" type="noConversion"/>
  </si>
  <si>
    <t>사전품의 완료</t>
    <phoneticPr fontId="2" type="noConversion"/>
  </si>
  <si>
    <t>6/5(수),
6/7(금)</t>
    <phoneticPr fontId="2" type="noConversion"/>
  </si>
  <si>
    <t>6/10(월)~
6/12(수)</t>
    <phoneticPr fontId="2" type="noConversion"/>
  </si>
  <si>
    <t>SN2598</t>
    <phoneticPr fontId="2" type="noConversion"/>
  </si>
  <si>
    <t>HH</t>
    <phoneticPr fontId="2" type="noConversion"/>
  </si>
  <si>
    <t>덴소/포장</t>
    <phoneticPr fontId="2" type="noConversion"/>
  </si>
  <si>
    <t>사전품의 완료</t>
    <phoneticPr fontId="2" type="noConversion"/>
  </si>
  <si>
    <t>6/18(화)~
6/19(수)</t>
    <phoneticPr fontId="2" type="noConversion"/>
  </si>
  <si>
    <t>(6.5T,9T)덴소/포장</t>
    <phoneticPr fontId="2" type="noConversion"/>
  </si>
  <si>
    <t>강지원</t>
    <phoneticPr fontId="2" type="noConversion"/>
  </si>
  <si>
    <t>6/25(화)~
6/26(수)</t>
    <phoneticPr fontId="2" type="noConversion"/>
  </si>
  <si>
    <t>DB4502</t>
    <phoneticPr fontId="2" type="noConversion"/>
  </si>
  <si>
    <t>ER</t>
    <phoneticPr fontId="2" type="noConversion"/>
  </si>
  <si>
    <t>포장지원</t>
    <phoneticPr fontId="2" type="noConversion"/>
  </si>
  <si>
    <t>OAC</t>
    <phoneticPr fontId="2" type="noConversion"/>
  </si>
  <si>
    <t>(20T)덴소/포장(U/P)</t>
    <phoneticPr fontId="2" type="noConversion"/>
  </si>
  <si>
    <t>우신테크</t>
    <phoneticPr fontId="2" type="noConversion"/>
  </si>
  <si>
    <t>일자</t>
    <phoneticPr fontId="2" type="noConversion"/>
  </si>
  <si>
    <t>투입인원</t>
    <phoneticPr fontId="2" type="noConversion"/>
  </si>
  <si>
    <t>우신테크</t>
    <phoneticPr fontId="2" type="noConversion"/>
  </si>
  <si>
    <t>A/S</t>
    <phoneticPr fontId="2" type="noConversion"/>
  </si>
  <si>
    <t>인도전</t>
    <phoneticPr fontId="2" type="noConversion"/>
  </si>
  <si>
    <t>SN2584</t>
    <phoneticPr fontId="2" type="noConversion"/>
  </si>
  <si>
    <t>S/L 리미트 V/V 레버 복귀 불량 관련 조치</t>
    <phoneticPr fontId="2" type="noConversion"/>
  </si>
  <si>
    <t>A/S</t>
    <phoneticPr fontId="2" type="noConversion"/>
  </si>
  <si>
    <t>SKMT</t>
    <phoneticPr fontId="2" type="noConversion"/>
  </si>
  <si>
    <t>GNN0015</t>
    <phoneticPr fontId="2" type="noConversion"/>
  </si>
  <si>
    <t>KT</t>
    <phoneticPr fontId="2" type="noConversion"/>
  </si>
  <si>
    <t>코멘트 처리, 커미셔닝 마무리(LOAD TEST)</t>
    <phoneticPr fontId="2" type="noConversion"/>
  </si>
  <si>
    <t>HOC</t>
    <phoneticPr fontId="2" type="noConversion"/>
  </si>
  <si>
    <t>STOPPER 위치 이동, 
수동 브레이크 볼트 조임 레버 수정</t>
    <phoneticPr fontId="2" type="noConversion"/>
  </si>
  <si>
    <t>인도전</t>
    <phoneticPr fontId="2" type="noConversion"/>
  </si>
  <si>
    <t>코멘트 작업(유압라인 덴소 시공, Hoisting limit 길이 조절, 그리스니쁠 캡 시공외)</t>
    <phoneticPr fontId="2" type="noConversion"/>
  </si>
  <si>
    <t>SHI</t>
    <phoneticPr fontId="2" type="noConversion"/>
  </si>
  <si>
    <t>HH</t>
    <phoneticPr fontId="2" type="noConversion"/>
  </si>
  <si>
    <t xml:space="preserve"> 누유 SLEWING 리미트 밸브 교체 및 
레더 홀 수정</t>
    <phoneticPr fontId="2" type="noConversion"/>
  </si>
  <si>
    <t>합 계</t>
    <phoneticPr fontId="2" type="noConversion"/>
  </si>
  <si>
    <t>업체명</t>
    <phoneticPr fontId="2" type="noConversion"/>
  </si>
  <si>
    <t>일자</t>
    <phoneticPr fontId="2" type="noConversion"/>
  </si>
  <si>
    <t>장소</t>
    <phoneticPr fontId="2" type="noConversion"/>
  </si>
  <si>
    <t>작업내용</t>
    <phoneticPr fontId="2" type="noConversion"/>
  </si>
  <si>
    <t>담당자</t>
    <phoneticPr fontId="2" type="noConversion"/>
  </si>
  <si>
    <t>특이사항</t>
    <phoneticPr fontId="2" type="noConversion"/>
  </si>
  <si>
    <t>우신테크</t>
    <phoneticPr fontId="2" type="noConversion"/>
  </si>
  <si>
    <t>사외작업</t>
    <phoneticPr fontId="2" type="noConversion"/>
  </si>
  <si>
    <t>납품전</t>
    <phoneticPr fontId="2" type="noConversion"/>
  </si>
  <si>
    <t>창성</t>
    <phoneticPr fontId="2" type="noConversion"/>
  </si>
  <si>
    <t>(25T, MAIN JIB)쇼트 검사 지원</t>
    <phoneticPr fontId="2" type="noConversion"/>
  </si>
  <si>
    <t>문덕민</t>
    <phoneticPr fontId="2" type="noConversion"/>
  </si>
  <si>
    <t>실행 예산에 부합함</t>
    <phoneticPr fontId="2" type="noConversion"/>
  </si>
  <si>
    <t>(25T U/P), (2T P/D)쇼트 검사 지원</t>
    <phoneticPr fontId="2" type="noConversion"/>
  </si>
  <si>
    <t>(2T EXT JIB6)쇼트 검사 지원</t>
    <phoneticPr fontId="2" type="noConversion"/>
  </si>
  <si>
    <t>합 계</t>
    <phoneticPr fontId="2" type="noConversion"/>
  </si>
  <si>
    <t>작업결과</t>
    <phoneticPr fontId="2" type="noConversion"/>
  </si>
  <si>
    <t>범양
엔지니어링</t>
    <phoneticPr fontId="2" type="noConversion"/>
  </si>
  <si>
    <t>SKMT</t>
    <phoneticPr fontId="2" type="noConversion"/>
  </si>
  <si>
    <t>완료</t>
    <phoneticPr fontId="2" type="noConversion"/>
  </si>
  <si>
    <t>합계</t>
    <phoneticPr fontId="2" type="noConversion"/>
  </si>
  <si>
    <t>진진산업</t>
    <phoneticPr fontId="2" type="noConversion"/>
  </si>
  <si>
    <t>인도후</t>
    <phoneticPr fontId="2" type="noConversion"/>
  </si>
  <si>
    <t>진해해군</t>
    <phoneticPr fontId="2" type="noConversion"/>
  </si>
  <si>
    <t>이순신함
(왕건함)</t>
    <phoneticPr fontId="2" type="noConversion"/>
  </si>
  <si>
    <t>RB</t>
    <phoneticPr fontId="2" type="noConversion"/>
  </si>
  <si>
    <t>(우현) 오일 레벨 센서 교체,Hoisting 기어유 보충, (2대) U/P 케이블 웨이 용접작업</t>
    <phoneticPr fontId="2" type="noConversion"/>
  </si>
  <si>
    <t>박성용</t>
    <phoneticPr fontId="2" type="noConversion"/>
  </si>
  <si>
    <t>HHI</t>
    <phoneticPr fontId="2" type="noConversion"/>
  </si>
  <si>
    <t>P168</t>
    <phoneticPr fontId="2" type="noConversion"/>
  </si>
  <si>
    <t>RCS</t>
    <phoneticPr fontId="2" type="noConversion"/>
  </si>
  <si>
    <t>MESH 재조립</t>
    <phoneticPr fontId="2" type="noConversion"/>
  </si>
  <si>
    <t>박주성, 박성용</t>
    <phoneticPr fontId="2" type="noConversion"/>
  </si>
  <si>
    <t>PA31</t>
    <phoneticPr fontId="2" type="noConversion"/>
  </si>
  <si>
    <t>TR</t>
    <phoneticPr fontId="2" type="noConversion"/>
  </si>
  <si>
    <t>분해작업</t>
    <phoneticPr fontId="2" type="noConversion"/>
  </si>
  <si>
    <t>실행 예산에 부합함
(추가PO발행 건)</t>
    <phoneticPr fontId="2" type="noConversion"/>
  </si>
  <si>
    <t>아이앤지</t>
    <phoneticPr fontId="2" type="noConversion"/>
  </si>
  <si>
    <t>부산</t>
    <phoneticPr fontId="2" type="noConversion"/>
  </si>
  <si>
    <t>S042
(독도함)</t>
    <phoneticPr fontId="2" type="noConversion"/>
  </si>
  <si>
    <t>사용자불만조치(보트시트 수정)</t>
    <phoneticPr fontId="2" type="noConversion"/>
  </si>
  <si>
    <t>박성용, 박주성</t>
    <phoneticPr fontId="2" type="noConversion"/>
  </si>
  <si>
    <t>검사입회</t>
    <phoneticPr fontId="2" type="noConversion"/>
  </si>
  <si>
    <t>장소</t>
    <phoneticPr fontId="2" type="noConversion"/>
  </si>
  <si>
    <t>SN2598</t>
    <phoneticPr fontId="2" type="noConversion"/>
  </si>
  <si>
    <t>TEST P/D 용접</t>
    <phoneticPr fontId="2" type="noConversion"/>
  </si>
  <si>
    <t>이광형</t>
    <phoneticPr fontId="2" type="noConversion"/>
  </si>
  <si>
    <t>작업일자</t>
    <phoneticPr fontId="2" type="noConversion"/>
  </si>
  <si>
    <t>아이앤지
(최기추)</t>
    <phoneticPr fontId="2" type="noConversion"/>
  </si>
  <si>
    <t>06/03(월)~
06/04(화)</t>
    <phoneticPr fontId="2" type="noConversion"/>
  </si>
  <si>
    <t>6/10(월)~
6/11(화)</t>
    <phoneticPr fontId="2" type="noConversion"/>
  </si>
  <si>
    <t>ER</t>
    <phoneticPr fontId="2" type="noConversion"/>
  </si>
  <si>
    <t>설치/자체테스트 지원</t>
    <phoneticPr fontId="2" type="noConversion"/>
  </si>
  <si>
    <t>6/12(수)~
6/13(목)</t>
    <phoneticPr fontId="2" type="noConversion"/>
  </si>
  <si>
    <t>PV</t>
    <phoneticPr fontId="2" type="noConversion"/>
  </si>
  <si>
    <t>6/14(금)</t>
    <phoneticPr fontId="2" type="noConversion"/>
  </si>
  <si>
    <t>(25T)수정작업 지원</t>
    <phoneticPr fontId="2" type="noConversion"/>
  </si>
  <si>
    <t>6/17(월)</t>
    <phoneticPr fontId="2" type="noConversion"/>
  </si>
  <si>
    <t>FAT지원 및 해체</t>
    <phoneticPr fontId="2" type="noConversion"/>
  </si>
  <si>
    <t>6/18(화)~
6/19(수)</t>
    <phoneticPr fontId="2" type="noConversion"/>
  </si>
  <si>
    <t>(25T) 개정도 용접작업</t>
    <phoneticPr fontId="2" type="noConversion"/>
  </si>
  <si>
    <t>6/20(목)~
6/21(금)</t>
    <phoneticPr fontId="2" type="noConversion"/>
  </si>
  <si>
    <t>S204</t>
    <phoneticPr fontId="2" type="noConversion"/>
  </si>
  <si>
    <t>BR</t>
    <phoneticPr fontId="2" type="noConversion"/>
  </si>
  <si>
    <t>조립 지원</t>
    <phoneticPr fontId="2" type="noConversion"/>
  </si>
  <si>
    <t>6/24(월)~
6/25(화)</t>
    <phoneticPr fontId="2" type="noConversion"/>
  </si>
  <si>
    <t>P171</t>
    <phoneticPr fontId="2" type="noConversion"/>
  </si>
  <si>
    <t>HTS</t>
    <phoneticPr fontId="2" type="noConversion"/>
  </si>
  <si>
    <t>철거</t>
    <phoneticPr fontId="2" type="noConversion"/>
  </si>
  <si>
    <t>시운전 지원</t>
    <phoneticPr fontId="2" type="noConversion"/>
  </si>
  <si>
    <t>6/27(목)~
6/28(금)</t>
    <phoneticPr fontId="2" type="noConversion"/>
  </si>
  <si>
    <t>P169</t>
    <phoneticPr fontId="2" type="noConversion"/>
  </si>
  <si>
    <t>HOC</t>
    <phoneticPr fontId="2" type="noConversion"/>
  </si>
  <si>
    <t>사전품의 완료</t>
  </si>
  <si>
    <t>외주(2)→우신</t>
    <phoneticPr fontId="2" type="noConversion"/>
  </si>
  <si>
    <t>진진(2)
→범양(1)</t>
    <phoneticPr fontId="2" type="noConversion"/>
  </si>
  <si>
    <t>외주(1)
→ 진진(1)</t>
    <phoneticPr fontId="2" type="noConversion"/>
  </si>
  <si>
    <t>LUFFING WIRE 교체</t>
    <phoneticPr fontId="2" type="noConversion"/>
  </si>
  <si>
    <t>8/5(월)~
8/7(수)</t>
    <phoneticPr fontId="2" type="noConversion"/>
  </si>
  <si>
    <t>8/8(목)~
8/9(금)</t>
    <phoneticPr fontId="2" type="noConversion"/>
  </si>
  <si>
    <t>보증수리사항(용접 불량 재조치)</t>
    <phoneticPr fontId="2" type="noConversion"/>
  </si>
  <si>
    <t>아이앤지(2), 외주(2)</t>
    <phoneticPr fontId="2" type="noConversion"/>
  </si>
  <si>
    <t>(25T JIB 1&amp;2단) GREASE 도포 작업</t>
    <phoneticPr fontId="2" type="noConversion"/>
  </si>
  <si>
    <t>(25T) U/P 하부 RUST 제거 작업</t>
    <phoneticPr fontId="2" type="noConversion"/>
  </si>
  <si>
    <t>LOAD MOMENT SYSTEM 점검 (최대각 생태 작업반경 설계치와 모니터 상 수치 상이)</t>
    <phoneticPr fontId="2" type="noConversion"/>
  </si>
  <si>
    <t>P/D 용접 불량(언더컷)부분 사상&amp; 재용접</t>
    <phoneticPr fontId="2" type="noConversion"/>
  </si>
  <si>
    <t xml:space="preserve">개선 사항(도면 개정 - 
PIN에 GREASE LINE 추가) </t>
    <phoneticPr fontId="2" type="noConversion"/>
  </si>
  <si>
    <t>용접 불량</t>
    <phoneticPr fontId="2" type="noConversion"/>
  </si>
  <si>
    <t>설치/자체 테스트 지원</t>
    <phoneticPr fontId="2" type="noConversion"/>
  </si>
  <si>
    <t>8/12(월)~
8/13(화)</t>
    <phoneticPr fontId="2" type="noConversion"/>
  </si>
  <si>
    <t>8/14(수),
8/16(금)</t>
    <phoneticPr fontId="2" type="noConversion"/>
  </si>
  <si>
    <t>TELE LEG CYL PIN 교체 (7/31 고착이 심각해 교체 실패 - 산소절단기 등 사용해 재시도)</t>
    <phoneticPr fontId="2" type="noConversion"/>
  </si>
  <si>
    <t>보증수리사항(거한 대응 불가로 범양 파견)</t>
    <phoneticPr fontId="2" type="noConversion"/>
  </si>
  <si>
    <t>코멘트 조치 (발판 수정)</t>
    <phoneticPr fontId="2" type="noConversion"/>
  </si>
  <si>
    <t>코멘트 사항(도면 변경)</t>
    <phoneticPr fontId="2" type="noConversion"/>
  </si>
  <si>
    <t>(MAIN JIB) GREASE 도포</t>
    <phoneticPr fontId="2" type="noConversion"/>
  </si>
  <si>
    <t>SLEWING MOTOR 점검 후 설치, HOSE 교체</t>
    <phoneticPr fontId="2" type="noConversion"/>
  </si>
  <si>
    <t>8/19(월)~
8/21(수)</t>
    <phoneticPr fontId="2" type="noConversion"/>
  </si>
  <si>
    <t>P169/
GNN0017</t>
    <phoneticPr fontId="2" type="noConversion"/>
  </si>
  <si>
    <t>PE/RD</t>
    <phoneticPr fontId="2" type="noConversion"/>
  </si>
  <si>
    <t>시운전 / 특수진동 검사 지원</t>
    <phoneticPr fontId="2" type="noConversion"/>
  </si>
  <si>
    <t>8/22(목)~
8/23(금)</t>
    <phoneticPr fontId="2" type="noConversion"/>
  </si>
  <si>
    <t>조립 지원</t>
    <phoneticPr fontId="2" type="noConversion"/>
  </si>
  <si>
    <t>덴소 / 포장</t>
    <phoneticPr fontId="2" type="noConversion"/>
  </si>
  <si>
    <t>8/20(화)~
8/21(수)</t>
    <phoneticPr fontId="2" type="noConversion"/>
  </si>
  <si>
    <t>이순신함
(강감찬함)</t>
    <phoneticPr fontId="2" type="noConversion"/>
  </si>
  <si>
    <t>(25T) LUG 절단(제작 LUG)</t>
    <phoneticPr fontId="2" type="noConversion"/>
  </si>
  <si>
    <t>TELE LEG CYL PIN 교체(브라켓 절단 작업 외)
9시~</t>
    <phoneticPr fontId="2" type="noConversion"/>
  </si>
  <si>
    <t>PV</t>
    <phoneticPr fontId="2" type="noConversion"/>
  </si>
  <si>
    <t>8/26(월)~
8/28(수)</t>
    <phoneticPr fontId="2" type="noConversion"/>
  </si>
  <si>
    <t>8/29(목)~
8/30(금)</t>
    <phoneticPr fontId="2" type="noConversion"/>
  </si>
  <si>
    <t>강감찬함</t>
    <phoneticPr fontId="2" type="noConversion"/>
  </si>
  <si>
    <t>YN03</t>
    <phoneticPr fontId="2" type="noConversion"/>
  </si>
  <si>
    <t>ER/PV/HH</t>
    <phoneticPr fontId="2" type="noConversion"/>
  </si>
  <si>
    <t>용접불량</t>
    <phoneticPr fontId="2" type="noConversion"/>
  </si>
  <si>
    <t>(P,S) JIB STEP 얼라인 불량 용접 수정</t>
    <phoneticPr fontId="2" type="noConversion"/>
  </si>
  <si>
    <t>8/28(수)~
8/29(목)</t>
    <phoneticPr fontId="2" type="noConversion"/>
  </si>
  <si>
    <t>보증수리
(보조 LOAD MOMENT SYSTEM불량 추가 점검)</t>
    <phoneticPr fontId="2" type="noConversion"/>
  </si>
  <si>
    <t>포장반 지원</t>
    <phoneticPr fontId="2" type="noConversion"/>
  </si>
  <si>
    <t>(P/D) 도장/조립</t>
    <phoneticPr fontId="2" type="noConversion"/>
  </si>
  <si>
    <t>임상섭, 박성용</t>
    <phoneticPr fontId="2" type="noConversion"/>
  </si>
  <si>
    <t>S204</t>
    <phoneticPr fontId="2" type="noConversion"/>
  </si>
  <si>
    <t>누락 자재 용접작업</t>
    <phoneticPr fontId="2" type="noConversion"/>
  </si>
  <si>
    <t>제작불량</t>
    <phoneticPr fontId="2" type="noConversion"/>
  </si>
  <si>
    <t>CLAIM</t>
    <phoneticPr fontId="2" type="noConversion"/>
  </si>
  <si>
    <t>A/S</t>
    <phoneticPr fontId="2" type="noConversion"/>
  </si>
  <si>
    <t>S192</t>
    <phoneticPr fontId="2" type="noConversion"/>
  </si>
  <si>
    <t>누유 개소 점검 및 수리(누유 부분 크리닝 포함)</t>
    <phoneticPr fontId="2" type="noConversion"/>
  </si>
  <si>
    <t>아이앤지(1)</t>
    <phoneticPr fontId="2" type="noConversion"/>
  </si>
  <si>
    <t>WINCH 위치 상향 조정(PIPE반출 및 길이 수정)</t>
    <phoneticPr fontId="2" type="noConversion"/>
  </si>
  <si>
    <t>9/2(월)~
9/4(수)</t>
    <phoneticPr fontId="2" type="noConversion"/>
  </si>
  <si>
    <t>강감찬함
(이순신함)</t>
    <phoneticPr fontId="2" type="noConversion"/>
  </si>
  <si>
    <t>보증수리 사항(2024년 인도-보증수리기한 인도 후 24개월까지)</t>
    <phoneticPr fontId="2" type="noConversion"/>
  </si>
  <si>
    <t>9/5(목)~
9/6(금)</t>
    <phoneticPr fontId="2" type="noConversion"/>
  </si>
  <si>
    <t>9/6(금)~
9/7(토)</t>
    <phoneticPr fontId="2" type="noConversion"/>
  </si>
  <si>
    <t>(P) JIB STEP 얼라인 불량 용접 수정</t>
    <phoneticPr fontId="2" type="noConversion"/>
  </si>
  <si>
    <t>(P,S)LADDER SUPPORT 위치 수정</t>
    <phoneticPr fontId="2" type="noConversion"/>
  </si>
  <si>
    <t>업체명</t>
    <phoneticPr fontId="2" type="noConversion"/>
  </si>
  <si>
    <t>품의일자</t>
    <phoneticPr fontId="2" type="noConversion"/>
  </si>
  <si>
    <t>작업장소</t>
    <phoneticPr fontId="2" type="noConversion"/>
  </si>
  <si>
    <t>작업내용</t>
    <phoneticPr fontId="2" type="noConversion"/>
  </si>
  <si>
    <t>투입인원</t>
    <phoneticPr fontId="2" type="noConversion"/>
  </si>
  <si>
    <t>특이사항</t>
    <phoneticPr fontId="2" type="noConversion"/>
  </si>
  <si>
    <t>더베스트솔루션</t>
    <phoneticPr fontId="2" type="noConversion"/>
  </si>
  <si>
    <t>7/4(목)~
7/5(금)</t>
    <phoneticPr fontId="2" type="noConversion"/>
  </si>
  <si>
    <t>OAC</t>
    <phoneticPr fontId="2" type="noConversion"/>
  </si>
  <si>
    <t>(20T)코멘트 처리</t>
    <phoneticPr fontId="2" type="noConversion"/>
  </si>
  <si>
    <t>강지원</t>
    <phoneticPr fontId="2" type="noConversion"/>
  </si>
  <si>
    <t>덴소/포장</t>
    <phoneticPr fontId="2" type="noConversion"/>
  </si>
  <si>
    <t>강지원</t>
    <phoneticPr fontId="2" type="noConversion"/>
  </si>
  <si>
    <t>사전품의 완료</t>
    <phoneticPr fontId="2" type="noConversion"/>
  </si>
  <si>
    <t>7/11(목)~
7/12(금)</t>
    <phoneticPr fontId="2" type="noConversion"/>
  </si>
  <si>
    <t>(20T JIB) 코멘트 처리 및 덴소 작업</t>
    <phoneticPr fontId="2" type="noConversion"/>
  </si>
  <si>
    <t>PV</t>
    <phoneticPr fontId="2" type="noConversion"/>
  </si>
  <si>
    <t>도장 / 덴소</t>
    <phoneticPr fontId="2" type="noConversion"/>
  </si>
  <si>
    <t>강지원</t>
    <phoneticPr fontId="2" type="noConversion"/>
  </si>
  <si>
    <t>사전품의 완료</t>
    <phoneticPr fontId="2" type="noConversion"/>
  </si>
  <si>
    <t>왕건함</t>
    <phoneticPr fontId="2" type="noConversion"/>
  </si>
  <si>
    <t>RB</t>
    <phoneticPr fontId="2" type="noConversion"/>
  </si>
  <si>
    <t>도장/덴소</t>
    <phoneticPr fontId="2" type="noConversion"/>
  </si>
  <si>
    <t>7/31(수)</t>
    <phoneticPr fontId="2" type="noConversion"/>
  </si>
  <si>
    <t>P171</t>
    <phoneticPr fontId="2" type="noConversion"/>
  </si>
  <si>
    <t>HTS</t>
    <phoneticPr fontId="2" type="noConversion"/>
  </si>
  <si>
    <t>송영국</t>
    <phoneticPr fontId="2" type="noConversion"/>
  </si>
  <si>
    <t>일자</t>
    <phoneticPr fontId="2" type="noConversion"/>
  </si>
  <si>
    <t>A/S</t>
    <phoneticPr fontId="2" type="noConversion"/>
  </si>
  <si>
    <t>인도전</t>
    <phoneticPr fontId="2" type="noConversion"/>
  </si>
  <si>
    <t>SHI</t>
    <phoneticPr fontId="2" type="noConversion"/>
  </si>
  <si>
    <t>SN2584</t>
    <phoneticPr fontId="2" type="noConversion"/>
  </si>
  <si>
    <t>PV, HH</t>
    <phoneticPr fontId="2" type="noConversion"/>
  </si>
  <si>
    <t>박성용</t>
    <phoneticPr fontId="2" type="noConversion"/>
  </si>
  <si>
    <t>인도전</t>
    <phoneticPr fontId="2" type="noConversion"/>
  </si>
  <si>
    <t>HH</t>
    <phoneticPr fontId="2" type="noConversion"/>
  </si>
  <si>
    <t>(STBD)SLEWING LIMIT V/V 복귀불량 자재 교체 WIRE 꼬임 해결 조치 (H/H 2대, PV 2대)</t>
    <phoneticPr fontId="2" type="noConversion"/>
  </si>
  <si>
    <t>외주(2)
→우신(2)</t>
    <phoneticPr fontId="2" type="noConversion"/>
  </si>
  <si>
    <t>합 계</t>
    <phoneticPr fontId="2" type="noConversion"/>
  </si>
  <si>
    <t>업체명</t>
    <phoneticPr fontId="2" type="noConversion"/>
  </si>
  <si>
    <t>장소</t>
    <phoneticPr fontId="2" type="noConversion"/>
  </si>
  <si>
    <t>담당자</t>
    <phoneticPr fontId="2" type="noConversion"/>
  </si>
  <si>
    <t>투입인원</t>
    <phoneticPr fontId="2" type="noConversion"/>
  </si>
  <si>
    <t>특이사항</t>
    <phoneticPr fontId="2" type="noConversion"/>
  </si>
  <si>
    <t>우신테크</t>
    <phoneticPr fontId="2" type="noConversion"/>
  </si>
  <si>
    <t>사외작업</t>
    <phoneticPr fontId="2" type="noConversion"/>
  </si>
  <si>
    <t>납품전</t>
    <phoneticPr fontId="2" type="noConversion"/>
  </si>
  <si>
    <t>P169</t>
    <phoneticPr fontId="2" type="noConversion"/>
  </si>
  <si>
    <t>쇼트 검사 지원</t>
    <phoneticPr fontId="2" type="noConversion"/>
  </si>
  <si>
    <t>문덕민</t>
    <phoneticPr fontId="2" type="noConversion"/>
  </si>
  <si>
    <t>실행 예산에 부합함</t>
    <phoneticPr fontId="2" type="noConversion"/>
  </si>
  <si>
    <t>합 계</t>
    <phoneticPr fontId="2" type="noConversion"/>
  </si>
  <si>
    <t>장소</t>
    <phoneticPr fontId="2" type="noConversion"/>
  </si>
  <si>
    <t>담당자</t>
    <phoneticPr fontId="2" type="noConversion"/>
  </si>
  <si>
    <t>특이사항</t>
    <phoneticPr fontId="2" type="noConversion"/>
  </si>
  <si>
    <t>창성</t>
    <phoneticPr fontId="2" type="noConversion"/>
  </si>
  <si>
    <t xml:space="preserve">(2T, TELE JIB 6)쇼트 검사 지원 </t>
    <phoneticPr fontId="2" type="noConversion"/>
  </si>
  <si>
    <t>실행 예산 초과</t>
    <phoneticPr fontId="2" type="noConversion"/>
  </si>
  <si>
    <t>사외작업</t>
    <phoneticPr fontId="2" type="noConversion"/>
  </si>
  <si>
    <t>납품전</t>
    <phoneticPr fontId="2" type="noConversion"/>
  </si>
  <si>
    <t>창성</t>
    <phoneticPr fontId="2" type="noConversion"/>
  </si>
  <si>
    <t>(2T, MAIN JIB)쇼트 검사 지원</t>
    <phoneticPr fontId="2" type="noConversion"/>
  </si>
  <si>
    <t>문덕민</t>
    <phoneticPr fontId="2" type="noConversion"/>
  </si>
  <si>
    <t>실행 예산 초과</t>
    <phoneticPr fontId="2" type="noConversion"/>
  </si>
  <si>
    <t>사외작업</t>
    <phoneticPr fontId="2" type="noConversion"/>
  </si>
  <si>
    <t>OAC</t>
    <phoneticPr fontId="2" type="noConversion"/>
  </si>
  <si>
    <t>(2T, MAIN JIB)쇼트 검사 지원</t>
    <phoneticPr fontId="2" type="noConversion"/>
  </si>
  <si>
    <t>실행 예산 초과</t>
    <phoneticPr fontId="2" type="noConversion"/>
  </si>
  <si>
    <t>(2T U/P), (20T TELE JIB)쇼트 검사 지원</t>
    <phoneticPr fontId="2" type="noConversion"/>
  </si>
  <si>
    <t>일자</t>
    <phoneticPr fontId="2" type="noConversion"/>
  </si>
  <si>
    <t>작업내용</t>
    <phoneticPr fontId="2" type="noConversion"/>
  </si>
  <si>
    <t>작업결과</t>
    <phoneticPr fontId="2" type="noConversion"/>
  </si>
  <si>
    <t>범양
엔지니어링</t>
    <phoneticPr fontId="2" type="noConversion"/>
  </si>
  <si>
    <t>A/S</t>
    <phoneticPr fontId="2" type="noConversion"/>
  </si>
  <si>
    <t>인도전</t>
    <phoneticPr fontId="2" type="noConversion"/>
  </si>
  <si>
    <t>HJ중공업</t>
    <phoneticPr fontId="2" type="noConversion"/>
  </si>
  <si>
    <t>S198</t>
    <phoneticPr fontId="2" type="noConversion"/>
  </si>
  <si>
    <t>RD,TC</t>
    <phoneticPr fontId="2" type="noConversion"/>
  </si>
  <si>
    <t>검사입회</t>
    <phoneticPr fontId="2" type="noConversion"/>
  </si>
  <si>
    <t>진진(2)
→범양(1)</t>
    <phoneticPr fontId="2" type="noConversion"/>
  </si>
  <si>
    <t>사전품의 완료
(1공수 직영인력(박성용) 투입)</t>
    <phoneticPr fontId="2" type="noConversion"/>
  </si>
  <si>
    <t>완료</t>
    <phoneticPr fontId="2" type="noConversion"/>
  </si>
  <si>
    <t>합계</t>
    <phoneticPr fontId="2" type="noConversion"/>
  </si>
  <si>
    <t>진진산업</t>
    <phoneticPr fontId="2" type="noConversion"/>
  </si>
  <si>
    <t>RD</t>
    <phoneticPr fontId="2" type="noConversion"/>
  </si>
  <si>
    <t>외주(1)
→ 진진(1)</t>
    <phoneticPr fontId="2" type="noConversion"/>
  </si>
  <si>
    <t>SLEWING LIMIT SWITCH 위치 조정 작업
(판넬 간섭) / 커미셔닝</t>
    <phoneticPr fontId="2" type="noConversion"/>
  </si>
  <si>
    <t>박성용</t>
    <phoneticPr fontId="2" type="noConversion"/>
  </si>
  <si>
    <t>진진(1)</t>
    <phoneticPr fontId="2" type="noConversion"/>
  </si>
  <si>
    <t>RD, TC</t>
    <phoneticPr fontId="2" type="noConversion"/>
  </si>
  <si>
    <t>커미셔닝</t>
    <phoneticPr fontId="2" type="noConversion"/>
  </si>
  <si>
    <t>작업일자</t>
    <phoneticPr fontId="2" type="noConversion"/>
  </si>
  <si>
    <t>아이앤지
(최기추)</t>
    <phoneticPr fontId="2" type="noConversion"/>
  </si>
  <si>
    <t>7/1(월)~
7/2(화)</t>
    <phoneticPr fontId="2" type="noConversion"/>
  </si>
  <si>
    <t>P169</t>
    <phoneticPr fontId="2" type="noConversion"/>
  </si>
  <si>
    <t>HOC</t>
    <phoneticPr fontId="2" type="noConversion"/>
  </si>
  <si>
    <t>조립 지원</t>
    <phoneticPr fontId="2" type="noConversion"/>
  </si>
  <si>
    <t>이광형</t>
    <phoneticPr fontId="2" type="noConversion"/>
  </si>
  <si>
    <t>FAT 및 해체 지원</t>
    <phoneticPr fontId="2" type="noConversion"/>
  </si>
  <si>
    <t>왕건함</t>
    <phoneticPr fontId="2" type="noConversion"/>
  </si>
  <si>
    <t>RB</t>
    <phoneticPr fontId="2" type="noConversion"/>
  </si>
  <si>
    <t>7/8(월)~
7/10(수)</t>
    <phoneticPr fontId="2" type="noConversion"/>
  </si>
  <si>
    <t>7/11(목)~
7/12(금)</t>
    <phoneticPr fontId="2" type="noConversion"/>
  </si>
  <si>
    <t>7/15(월)~
7/16(수)</t>
    <phoneticPr fontId="2" type="noConversion"/>
  </si>
  <si>
    <t>검사 / 해체 지원</t>
    <phoneticPr fontId="2" type="noConversion"/>
  </si>
  <si>
    <t>7/17(목)~
7/19(금)</t>
    <phoneticPr fontId="2" type="noConversion"/>
  </si>
  <si>
    <t>7/22(월)~
7/24(수)</t>
    <phoneticPr fontId="2" type="noConversion"/>
  </si>
  <si>
    <t>GNN0017</t>
    <phoneticPr fontId="2" type="noConversion"/>
  </si>
  <si>
    <t>7/25(목)~
7/26(금)</t>
    <phoneticPr fontId="2" type="noConversion"/>
  </si>
  <si>
    <t>SN2599</t>
    <phoneticPr fontId="2" type="noConversion"/>
  </si>
  <si>
    <t>7/29(월)~
7/31(수)</t>
    <phoneticPr fontId="2" type="noConversion"/>
  </si>
  <si>
    <t>SN2599/
GNN0017</t>
    <phoneticPr fontId="2" type="noConversion"/>
  </si>
  <si>
    <t>PV/RB</t>
    <phoneticPr fontId="2" type="noConversion"/>
  </si>
  <si>
    <t>7월</t>
    <phoneticPr fontId="2" type="noConversion"/>
  </si>
  <si>
    <t>아이앤지(1), 디에스티(1)</t>
    <phoneticPr fontId="2" type="noConversion"/>
  </si>
  <si>
    <t>진진(2)→아이앤지</t>
    <phoneticPr fontId="2" type="noConversion"/>
  </si>
  <si>
    <t>외주(1)
→ 아이앤지(1)</t>
    <phoneticPr fontId="2" type="noConversion"/>
  </si>
  <si>
    <t>해체 지원</t>
    <phoneticPr fontId="2" type="noConversion"/>
  </si>
  <si>
    <t>누유 부분 부품교체 및 캐빈 내 작동불량 조치</t>
    <phoneticPr fontId="2" type="noConversion"/>
  </si>
  <si>
    <t>아이앤지(최기추4)</t>
    <phoneticPr fontId="2" type="noConversion"/>
  </si>
  <si>
    <t>9/12(목)~
9/13(금)</t>
    <phoneticPr fontId="2" type="noConversion"/>
  </si>
  <si>
    <t>9/12(목)</t>
    <phoneticPr fontId="2" type="noConversion"/>
  </si>
  <si>
    <t>9/9~9/11,
9/13</t>
    <phoneticPr fontId="2" type="noConversion"/>
  </si>
  <si>
    <t>9/19(목)~
9/20(금)</t>
    <phoneticPr fontId="2" type="noConversion"/>
  </si>
  <si>
    <t>아이앤지(최기추2)</t>
    <phoneticPr fontId="2" type="noConversion"/>
  </si>
  <si>
    <t>3001함</t>
    <phoneticPr fontId="2" type="noConversion"/>
  </si>
  <si>
    <t>이광형</t>
    <phoneticPr fontId="2" type="noConversion"/>
  </si>
  <si>
    <t>9/19(목)~
9/20(금)</t>
    <phoneticPr fontId="2" type="noConversion"/>
  </si>
  <si>
    <t>우신(4)</t>
    <phoneticPr fontId="2" type="noConversion"/>
  </si>
  <si>
    <t>박성용</t>
    <phoneticPr fontId="2" type="noConversion"/>
  </si>
  <si>
    <t>SN2599</t>
    <phoneticPr fontId="2" type="noConversion"/>
  </si>
  <si>
    <t>CMR</t>
    <phoneticPr fontId="2" type="noConversion"/>
  </si>
  <si>
    <t>강지원</t>
    <phoneticPr fontId="2" type="noConversion"/>
  </si>
  <si>
    <t>베스트솔루션(2)</t>
    <phoneticPr fontId="2" type="noConversion"/>
  </si>
  <si>
    <t>포장반 지원</t>
    <phoneticPr fontId="2" type="noConversion"/>
  </si>
  <si>
    <t>TELE LEG CYL PIN 교체(브라켓 절단 작업 외)</t>
    <phoneticPr fontId="2" type="noConversion"/>
  </si>
  <si>
    <t>9/23(월)</t>
    <phoneticPr fontId="2" type="noConversion"/>
  </si>
  <si>
    <t>개선 사항(도면 개정 - 실린더 잔여 1개소 작업 예정-4개소 중 3개소 작업완료)</t>
    <phoneticPr fontId="2" type="noConversion"/>
  </si>
  <si>
    <t>9/24(화)~
9/25(수)</t>
    <phoneticPr fontId="2" type="noConversion"/>
  </si>
  <si>
    <t>9/26(목)~
9/27(금)</t>
    <phoneticPr fontId="2" type="noConversion"/>
  </si>
  <si>
    <t>조립/설치지원</t>
    <phoneticPr fontId="2" type="noConversion"/>
  </si>
  <si>
    <t>RB</t>
    <phoneticPr fontId="2" type="noConversion"/>
  </si>
  <si>
    <t>포장 / 덴소</t>
    <phoneticPr fontId="2" type="noConversion"/>
  </si>
  <si>
    <t>GNN0016</t>
    <phoneticPr fontId="2" type="noConversion"/>
  </si>
  <si>
    <t>정비창교육</t>
    <phoneticPr fontId="2" type="noConversion"/>
  </si>
  <si>
    <t>동아(2)</t>
    <phoneticPr fontId="2" type="noConversion"/>
  </si>
  <si>
    <t>컨트롤 밸브 누유 관련 조치</t>
    <phoneticPr fontId="2" type="noConversion"/>
  </si>
  <si>
    <t>9/30,10/2
10/4</t>
    <phoneticPr fontId="2" type="noConversion"/>
  </si>
  <si>
    <t>10/2,10/4</t>
    <phoneticPr fontId="2" type="noConversion"/>
  </si>
  <si>
    <t>덴소 및 보수 도장</t>
    <phoneticPr fontId="2" type="noConversion"/>
  </si>
  <si>
    <t>(20T)JIB 조립</t>
    <phoneticPr fontId="2" type="noConversion"/>
  </si>
  <si>
    <t>리미트 추가 세팅, 코멘트 처리, 커미셔닝</t>
    <phoneticPr fontId="2" type="noConversion"/>
  </si>
  <si>
    <t>김해공장</t>
    <phoneticPr fontId="2" type="noConversion"/>
  </si>
  <si>
    <t>WIRE RIGGING</t>
    <phoneticPr fontId="2" type="noConversion"/>
  </si>
  <si>
    <t>대조영함</t>
    <phoneticPr fontId="2" type="noConversion"/>
  </si>
  <si>
    <t>10/7(월)~
10/8(화)</t>
    <phoneticPr fontId="2" type="noConversion"/>
  </si>
  <si>
    <t>TC</t>
    <phoneticPr fontId="2" type="noConversion"/>
  </si>
  <si>
    <t>코멘트 처리 및 LOAD TEST</t>
    <phoneticPr fontId="2" type="noConversion"/>
  </si>
  <si>
    <t>계약 사항</t>
    <phoneticPr fontId="2" type="noConversion"/>
  </si>
  <si>
    <t>우신(1)</t>
    <phoneticPr fontId="2" type="noConversion"/>
  </si>
  <si>
    <t>HH</t>
    <phoneticPr fontId="2" type="noConversion"/>
  </si>
  <si>
    <t>YN03</t>
    <phoneticPr fontId="2" type="noConversion"/>
  </si>
  <si>
    <t>ER/PV</t>
    <phoneticPr fontId="2" type="noConversion"/>
  </si>
  <si>
    <t>10/10(목)~
10/11(금)</t>
    <phoneticPr fontId="2" type="noConversion"/>
  </si>
  <si>
    <t>더베스트솔루션(4)</t>
    <phoneticPr fontId="2" type="noConversion"/>
  </si>
  <si>
    <t>결선작업 및 테스트</t>
    <phoneticPr fontId="2" type="noConversion"/>
  </si>
  <si>
    <t>10/16(수)~
10/18(금)</t>
    <phoneticPr fontId="2" type="noConversion"/>
  </si>
  <si>
    <t>코멘트 (YARD 덕트 간섭으로 수정 조치 요청 받음 - 도면 개정 방안 검토)</t>
    <phoneticPr fontId="2" type="noConversion"/>
  </si>
  <si>
    <t>(YARD반출품) 공장 내 설치 후 테스트</t>
    <phoneticPr fontId="2" type="noConversion"/>
  </si>
  <si>
    <t>덴소/ 포장</t>
    <phoneticPr fontId="2" type="noConversion"/>
  </si>
  <si>
    <t>HH</t>
    <phoneticPr fontId="2" type="noConversion"/>
  </si>
  <si>
    <t>(P,S)  유압 호스 덴소 추가 조치</t>
    <phoneticPr fontId="2" type="noConversion"/>
  </si>
  <si>
    <t>(20T,25T) P/D RING PLATFORM 조립</t>
    <phoneticPr fontId="2" type="noConversion"/>
  </si>
  <si>
    <t>1006함</t>
    <phoneticPr fontId="2" type="noConversion"/>
  </si>
  <si>
    <t>10/21(월)~
10/24(목)</t>
    <phoneticPr fontId="2" type="noConversion"/>
  </si>
  <si>
    <t>코멘트(YARD 덕트 간섭으로 도면개정 사항 반영)</t>
    <phoneticPr fontId="2" type="noConversion"/>
  </si>
  <si>
    <t>RB</t>
    <phoneticPr fontId="2" type="noConversion"/>
  </si>
  <si>
    <t>10/25(금)~
10/26(토)</t>
    <phoneticPr fontId="2" type="noConversion"/>
  </si>
  <si>
    <t>검사입회(TORPEDO MAGAZINE 1)</t>
    <phoneticPr fontId="2" type="noConversion"/>
  </si>
  <si>
    <t>설치&amp; 테스트(TORPEDO MAGAZINE 1)</t>
    <phoneticPr fontId="2" type="noConversion"/>
  </si>
  <si>
    <t>설치/시운전지원</t>
    <phoneticPr fontId="2" type="noConversion"/>
  </si>
  <si>
    <t>아이앤지(최기추2)</t>
    <phoneticPr fontId="2" type="noConversion"/>
  </si>
  <si>
    <t>10/28(월)~
10/29(화)</t>
    <phoneticPr fontId="2" type="noConversion"/>
  </si>
  <si>
    <t>설치/시운전/자체테스트 지원</t>
    <phoneticPr fontId="2" type="noConversion"/>
  </si>
  <si>
    <t>아이앤지(최기추3)</t>
    <phoneticPr fontId="2" type="noConversion"/>
  </si>
  <si>
    <t>10/30(수)~
11/01(금)</t>
    <phoneticPr fontId="2" type="noConversion"/>
  </si>
  <si>
    <t>녹제거 작업</t>
    <phoneticPr fontId="2" type="noConversion"/>
  </si>
  <si>
    <t>10/29~10/30,
11/1</t>
    <phoneticPr fontId="2" type="noConversion"/>
  </si>
  <si>
    <t>범양(3)</t>
    <phoneticPr fontId="2" type="noConversion"/>
  </si>
  <si>
    <t>코멘트 사항</t>
    <phoneticPr fontId="2" type="noConversion"/>
  </si>
  <si>
    <t>김해공장</t>
    <phoneticPr fontId="2" type="noConversion"/>
  </si>
  <si>
    <t>A/S</t>
    <phoneticPr fontId="2" type="noConversion"/>
  </si>
  <si>
    <t>김해공장</t>
    <phoneticPr fontId="2" type="noConversion"/>
  </si>
  <si>
    <t>A/S</t>
    <phoneticPr fontId="2" type="noConversion"/>
  </si>
  <si>
    <t>A/S</t>
    <phoneticPr fontId="2" type="noConversion"/>
  </si>
  <si>
    <t>김해공장</t>
    <phoneticPr fontId="2" type="noConversion"/>
  </si>
  <si>
    <t>김해공장</t>
    <phoneticPr fontId="2" type="noConversion"/>
  </si>
  <si>
    <t>S160/161</t>
    <phoneticPr fontId="2" type="noConversion"/>
  </si>
  <si>
    <t>LOCK SENSOR교체</t>
    <phoneticPr fontId="2" type="noConversion"/>
  </si>
  <si>
    <t>HT,ML</t>
    <phoneticPr fontId="2" type="noConversion"/>
  </si>
  <si>
    <t>전기계통 오류 점검(정상 상태이나 저유준/고온/모터트립에대한 점등발생,조이스틱(우현)작동불가)</t>
    <phoneticPr fontId="2" type="noConversion"/>
  </si>
  <si>
    <t>보증수리사항</t>
    <phoneticPr fontId="2" type="noConversion"/>
  </si>
  <si>
    <t>H1197</t>
    <phoneticPr fontId="2" type="noConversion"/>
  </si>
  <si>
    <t>누유 개소 점검 및 수리(레벨 게이지측 누유로
유압유 제거 후 누유부 확인 후 자재 교체예정)</t>
    <phoneticPr fontId="2" type="noConversion"/>
  </si>
  <si>
    <t>11/4(월)~
11/8(금)</t>
    <phoneticPr fontId="2" type="noConversion"/>
  </si>
  <si>
    <t>아이앤지(최기추5)</t>
    <phoneticPr fontId="2" type="noConversion"/>
  </si>
  <si>
    <t>11/7(목)~
11/8(금)</t>
    <phoneticPr fontId="2" type="noConversion"/>
  </si>
  <si>
    <t>TEST JIG 설치지원</t>
    <phoneticPr fontId="2" type="noConversion"/>
  </si>
  <si>
    <t>코멘트 작업
(브레이크 일부구간 작동불가로 레일 수정)</t>
    <phoneticPr fontId="2" type="noConversion"/>
  </si>
  <si>
    <t>외주(1)</t>
    <phoneticPr fontId="2" type="noConversion"/>
  </si>
  <si>
    <t>재검사 입회 (피니언 기어 교체로 재검사)</t>
    <phoneticPr fontId="2" type="noConversion"/>
  </si>
  <si>
    <t>P169</t>
    <phoneticPr fontId="2" type="noConversion"/>
  </si>
  <si>
    <t>누유 개소 용접</t>
    <phoneticPr fontId="2" type="noConversion"/>
  </si>
  <si>
    <t>KING POST 반출</t>
    <phoneticPr fontId="2" type="noConversion"/>
  </si>
  <si>
    <t>추후 수평FAT예정</t>
    <phoneticPr fontId="2" type="noConversion"/>
  </si>
  <si>
    <t>FAT코멘트 
(SLEWING 속도+10%로 도면변경)</t>
    <phoneticPr fontId="2" type="noConversion"/>
  </si>
  <si>
    <t>ALGLE DETECTOR 교체 및 테스트</t>
    <phoneticPr fontId="2" type="noConversion"/>
  </si>
  <si>
    <t>11/11(월)~
11/15(금)</t>
    <phoneticPr fontId="2" type="noConversion"/>
  </si>
  <si>
    <t>11/11(월)~
11/12(화)</t>
    <phoneticPr fontId="2" type="noConversion"/>
  </si>
  <si>
    <t>부산허치슨
간만CY</t>
    <phoneticPr fontId="2" type="noConversion"/>
  </si>
  <si>
    <t>11/19(화)~
11/20(수)</t>
    <phoneticPr fontId="2" type="noConversion"/>
  </si>
  <si>
    <t>P171</t>
    <phoneticPr fontId="2" type="noConversion"/>
  </si>
  <si>
    <t>11/21(목)~
11/22(금)</t>
    <phoneticPr fontId="2" type="noConversion"/>
  </si>
  <si>
    <t>SN0116</t>
    <phoneticPr fontId="2" type="noConversion"/>
  </si>
  <si>
    <t>FAT 진행</t>
    <phoneticPr fontId="2" type="noConversion"/>
  </si>
  <si>
    <t>검사 지원 (3306-25T YARD FAT 입회로 인한 인력 부족)</t>
    <phoneticPr fontId="2" type="noConversion"/>
  </si>
  <si>
    <t>전로 수정 외 용접작업</t>
    <phoneticPr fontId="2" type="noConversion"/>
  </si>
  <si>
    <t>JIB 진동 관련 점검</t>
    <phoneticPr fontId="2" type="noConversion"/>
  </si>
  <si>
    <t>11/19(화)~
11/21(목)</t>
    <phoneticPr fontId="2" type="noConversion"/>
  </si>
  <si>
    <t>(25T) 덴소 / 포장</t>
    <phoneticPr fontId="2" type="noConversion"/>
  </si>
  <si>
    <t>더베스트솔루션(9)</t>
    <phoneticPr fontId="2" type="noConversion"/>
  </si>
  <si>
    <t>볼팅부 실란트 작업 / 
레일 수정 작업, 파이프 반출</t>
    <phoneticPr fontId="2" type="noConversion"/>
  </si>
  <si>
    <t>김해공장</t>
    <phoneticPr fontId="2" type="noConversion"/>
  </si>
  <si>
    <t>11/25(월)~
11/29(금)</t>
    <phoneticPr fontId="2" type="noConversion"/>
  </si>
  <si>
    <t>전로 / 시트 / 핸드레일 외 용접작업</t>
    <phoneticPr fontId="2" type="noConversion"/>
  </si>
  <si>
    <t>11/22(금)~
11/23(토)</t>
    <phoneticPr fontId="2" type="noConversion"/>
  </si>
  <si>
    <t>SN0116</t>
    <phoneticPr fontId="2" type="noConversion"/>
  </si>
  <si>
    <t>RB</t>
    <phoneticPr fontId="2" type="noConversion"/>
  </si>
  <si>
    <t>더베스트솔루션(3)</t>
    <phoneticPr fontId="2" type="noConversion"/>
  </si>
  <si>
    <t>덴소 / 포장</t>
    <phoneticPr fontId="2" type="noConversion"/>
  </si>
  <si>
    <t>11/29(금)~
11/30(토)</t>
    <phoneticPr fontId="2" type="noConversion"/>
  </si>
  <si>
    <t>더베스트솔루션(6)</t>
    <phoneticPr fontId="2" type="noConversion"/>
  </si>
  <si>
    <t>포장반 지원</t>
    <phoneticPr fontId="2" type="noConversion"/>
  </si>
  <si>
    <t>포장반 지원(47주 누락분)</t>
    <phoneticPr fontId="2" type="noConversion"/>
  </si>
  <si>
    <t>(2T) 덴소 / 포장</t>
    <phoneticPr fontId="2" type="noConversion"/>
  </si>
  <si>
    <t>코멘트 사항</t>
    <phoneticPr fontId="2" type="noConversion"/>
  </si>
  <si>
    <t>HJSC</t>
  </si>
  <si>
    <t>승조원 교육</t>
  </si>
  <si>
    <t>CP</t>
    <phoneticPr fontId="2" type="noConversion"/>
  </si>
  <si>
    <t>김해공장</t>
    <phoneticPr fontId="2" type="noConversion"/>
  </si>
  <si>
    <t>A/S</t>
    <phoneticPr fontId="2" type="noConversion"/>
  </si>
  <si>
    <t>김해공장</t>
    <phoneticPr fontId="2" type="noConversion"/>
  </si>
  <si>
    <t>SWN0280
(무궁화21호)</t>
    <phoneticPr fontId="2" type="noConversion"/>
  </si>
  <si>
    <t>ASB1249</t>
    <phoneticPr fontId="2" type="noConversion"/>
  </si>
  <si>
    <t>12/2(월)~
12/6(금)</t>
    <phoneticPr fontId="2" type="noConversion"/>
  </si>
  <si>
    <t>시운전 / 자체테스트</t>
    <phoneticPr fontId="2" type="noConversion"/>
  </si>
  <si>
    <t>덴소 / 포장</t>
    <phoneticPr fontId="2" type="noConversion"/>
  </si>
  <si>
    <t>(P)TELE LEG CYL PIN 교체(브라켓 절단 사상 용접)</t>
    <phoneticPr fontId="2" type="noConversion"/>
  </si>
  <si>
    <t>12/3(화),
12/4(수)</t>
    <phoneticPr fontId="2" type="noConversion"/>
  </si>
  <si>
    <t>12/5(목)~
12/6(금)</t>
    <phoneticPr fontId="2" type="noConversion"/>
  </si>
  <si>
    <t>더베스트솔루션(3)</t>
    <phoneticPr fontId="2" type="noConversion"/>
  </si>
  <si>
    <t>마스텍
중공업</t>
    <phoneticPr fontId="2" type="noConversion"/>
  </si>
  <si>
    <t>SN2598</t>
    <phoneticPr fontId="2" type="noConversion"/>
  </si>
  <si>
    <t>HH, PV</t>
    <phoneticPr fontId="2" type="noConversion"/>
  </si>
  <si>
    <t>WIRE RIGGING</t>
    <phoneticPr fontId="2" type="noConversion"/>
  </si>
  <si>
    <t>SN2619</t>
    <phoneticPr fontId="2" type="noConversion"/>
  </si>
  <si>
    <t>조립 / 설치 / 시운전</t>
    <phoneticPr fontId="2" type="noConversion"/>
  </si>
  <si>
    <t>12/9(월)~
12/13(금)</t>
    <phoneticPr fontId="2" type="noConversion"/>
  </si>
  <si>
    <t>작업</t>
    <phoneticPr fontId="2" type="noConversion"/>
  </si>
  <si>
    <t>검사종류 / 고객요청사항</t>
    <phoneticPr fontId="2" type="noConversion"/>
  </si>
  <si>
    <t>12/9(월)~
12/10(화)</t>
    <phoneticPr fontId="2" type="noConversion"/>
  </si>
  <si>
    <t>(S)TELE LEG CYL PIN 교체(브라켓 절단 사상 용접)</t>
    <phoneticPr fontId="2" type="noConversion"/>
  </si>
  <si>
    <t>조립반 지원 (긴급투입-48주 누락분)</t>
    <phoneticPr fontId="2" type="noConversion"/>
  </si>
  <si>
    <t>RING PLATFORM R/BAR 휘어짐 수정
및 도장 수정</t>
    <phoneticPr fontId="2" type="noConversion"/>
  </si>
  <si>
    <t>납품 불량 및 코멘트 사항
(생산관리-&gt;전국화물구상권 청구 예정)</t>
    <phoneticPr fontId="2" type="noConversion"/>
  </si>
  <si>
    <t>우신(4), *진진(2)</t>
    <phoneticPr fontId="2" type="noConversion"/>
  </si>
  <si>
    <t>개선 사항(도면 개정 - PIN에 GREASE LINE 추가)
*이시맥 기장 빙모상으로 박성용기장 한화 3306-25T FAT외 투입, 이에 직영 → 진진으로 대체 
(교체 총 4일 소요 품의 49주 2일 50주 2일)</t>
    <phoneticPr fontId="2" type="noConversion"/>
  </si>
  <si>
    <t>녹발생 명판 교체 작업, 
고착된 캠플로워 베어링 교체</t>
    <phoneticPr fontId="2" type="noConversion"/>
  </si>
  <si>
    <t>HH,CMR</t>
    <phoneticPr fontId="2" type="noConversion"/>
  </si>
  <si>
    <t>SLEWING LIMIT VALVE 세팅 문제점 관련 점검/
CMR 래더 수정</t>
    <phoneticPr fontId="2" type="noConversion"/>
  </si>
  <si>
    <t>김해공장</t>
    <phoneticPr fontId="2" type="noConversion"/>
  </si>
  <si>
    <t>A/S</t>
    <phoneticPr fontId="2" type="noConversion"/>
  </si>
  <si>
    <t>아시아조선</t>
    <phoneticPr fontId="2" type="noConversion"/>
  </si>
  <si>
    <t>12/16(월)~
12/17(화)</t>
    <phoneticPr fontId="2" type="noConversion"/>
  </si>
  <si>
    <t>LUFFING WINCH 해체/조립</t>
    <phoneticPr fontId="2" type="noConversion"/>
  </si>
  <si>
    <t>12/18(수)~
12/20(금)</t>
    <phoneticPr fontId="2" type="noConversion"/>
  </si>
  <si>
    <t>결선 점검, 커미셔닝</t>
    <phoneticPr fontId="2" type="noConversion"/>
  </si>
  <si>
    <t>코멘트 사항 (긴급 투입)</t>
    <phoneticPr fontId="2" type="noConversion"/>
  </si>
  <si>
    <t>리미트 스트라이크 위지 수정</t>
    <phoneticPr fontId="2" type="noConversion"/>
  </si>
  <si>
    <t>도면 불량 (-긴급 투입
도면 변경 요청 예정)</t>
    <phoneticPr fontId="2" type="noConversion"/>
  </si>
  <si>
    <t>WHEEL HOUSE 통신 연결 작업 외 커미셔닝</t>
    <phoneticPr fontId="2" type="noConversion"/>
  </si>
  <si>
    <t>범양(1), 동아(1)</t>
    <phoneticPr fontId="2" type="noConversion"/>
  </si>
  <si>
    <t>WINCH 호스 피팅 녹제거/ 덴소 교체 /
호스 글자 제거</t>
    <phoneticPr fontId="2" type="noConversion"/>
  </si>
  <si>
    <t>계약 사항 (YARD긴급 요청)</t>
    <phoneticPr fontId="2" type="noConversion"/>
  </si>
  <si>
    <t xml:space="preserve">계약 사항 </t>
    <phoneticPr fontId="2" type="noConversion"/>
  </si>
  <si>
    <t>조립반 지원 (전류 부적합)</t>
    <phoneticPr fontId="2" type="noConversion"/>
  </si>
  <si>
    <t>12/23(월)~
12/24(화)</t>
    <phoneticPr fontId="2" type="noConversion"/>
  </si>
  <si>
    <t>12/26(목)~
12/27(금)</t>
    <phoneticPr fontId="2" type="noConversion"/>
  </si>
  <si>
    <t>MRS114</t>
    <phoneticPr fontId="2" type="noConversion"/>
  </si>
  <si>
    <t>SWN0284</t>
    <phoneticPr fontId="2" type="noConversion"/>
  </si>
  <si>
    <t>HH,PV,CMR</t>
    <phoneticPr fontId="2" type="noConversion"/>
  </si>
  <si>
    <t xml:space="preserve">코멘트 조치(도장수정, 케이블 보호조치 및 바인딩, 모터 니플 핀 타입 교체, P/D가스켓교체 외) </t>
    <phoneticPr fontId="2" type="noConversion"/>
  </si>
  <si>
    <t>12/27(금)~
12/28(토)</t>
    <phoneticPr fontId="2" type="noConversion"/>
  </si>
  <si>
    <t>피팅 교체 및 덴소작업</t>
    <phoneticPr fontId="2" type="noConversion"/>
  </si>
  <si>
    <t>12/30,31~
1/2,1/3</t>
    <phoneticPr fontId="2" type="noConversion"/>
  </si>
  <si>
    <t>아이앤지(최기추4)</t>
    <phoneticPr fontId="2" type="noConversion"/>
  </si>
  <si>
    <t>KING POST 분해 및 조립(베어링 교체)</t>
    <phoneticPr fontId="2" type="noConversion"/>
  </si>
  <si>
    <t>조립반 지원(수직 테스트 중 진동 소음 발생)</t>
    <phoneticPr fontId="2" type="noConversion"/>
  </si>
  <si>
    <t>(5대)WIRE 꼬임 수정 조치</t>
    <phoneticPr fontId="2" type="noConversion"/>
  </si>
  <si>
    <t>좌/우현 Dirve Ass'y 설치</t>
    <phoneticPr fontId="2" type="noConversion"/>
  </si>
  <si>
    <t>1/6(월)</t>
    <phoneticPr fontId="2" type="noConversion"/>
  </si>
  <si>
    <t>(6.5T,9T) 해체 지원</t>
    <phoneticPr fontId="2" type="noConversion"/>
  </si>
  <si>
    <t>1/7(화)</t>
    <phoneticPr fontId="2" type="noConversion"/>
  </si>
  <si>
    <t>1/8(수)~
1/10(금)</t>
    <phoneticPr fontId="2" type="noConversion"/>
  </si>
  <si>
    <t>김해공장</t>
    <phoneticPr fontId="2" type="noConversion"/>
  </si>
  <si>
    <t>A/S</t>
    <phoneticPr fontId="2" type="noConversion"/>
  </si>
  <si>
    <t>김해공장</t>
    <phoneticPr fontId="2" type="noConversion"/>
  </si>
  <si>
    <t>A/S</t>
    <phoneticPr fontId="2" type="noConversion"/>
  </si>
  <si>
    <t>(6.5T,9T) 덴소 / 포장</t>
    <phoneticPr fontId="2" type="noConversion"/>
  </si>
  <si>
    <t>시운전/ 자체테스트 / FAT 지원</t>
    <phoneticPr fontId="2" type="noConversion"/>
  </si>
  <si>
    <t>1/9(목)~
1/10(금)</t>
    <phoneticPr fontId="2" type="noConversion"/>
  </si>
  <si>
    <t>YARD 설치 지원(사유: CNM납품지연)</t>
    <phoneticPr fontId="2" type="noConversion"/>
  </si>
  <si>
    <t>우현 Dirve Ass'y 설치</t>
    <phoneticPr fontId="2" type="noConversion"/>
  </si>
  <si>
    <t>1/13(월)~
1/14(화)</t>
    <phoneticPr fontId="2" type="noConversion"/>
  </si>
  <si>
    <t>설치 / 시운전 지원</t>
    <phoneticPr fontId="2" type="noConversion"/>
  </si>
  <si>
    <t>1/15(수)~
1/17(금)</t>
    <phoneticPr fontId="2" type="noConversion"/>
  </si>
  <si>
    <t>TEST P/D 철거</t>
    <phoneticPr fontId="2" type="noConversion"/>
  </si>
  <si>
    <t>1/17(금)~
1/18(토)</t>
    <phoneticPr fontId="2" type="noConversion"/>
  </si>
  <si>
    <t>H2519</t>
    <phoneticPr fontId="2" type="noConversion"/>
  </si>
  <si>
    <t>TEST P/D 설치 용접</t>
    <phoneticPr fontId="2" type="noConversion"/>
  </si>
  <si>
    <t>YARD 설치 지원(사유: CNM납품지연)
*설치 시 YARD간섭부위 다수발생으로 작업기간연장
(예상)1DAY 2M/D → (실제)2DAY 4M/D
1/8(수) 2M/D(품의완료), 1/9(목) 2M/D(현품의)</t>
    <phoneticPr fontId="2" type="noConversion"/>
  </si>
  <si>
    <t>SN2651</t>
    <phoneticPr fontId="2" type="noConversion"/>
  </si>
  <si>
    <t>1/20(월)~
1/22(수)</t>
    <phoneticPr fontId="2" type="noConversion"/>
  </si>
  <si>
    <t>1/23(목)~
1/24(금)</t>
    <phoneticPr fontId="2" type="noConversion"/>
  </si>
  <si>
    <t>1/21(화)~
1/22(수)</t>
    <phoneticPr fontId="2" type="noConversion"/>
  </si>
  <si>
    <t>RB/KT</t>
    <phoneticPr fontId="2" type="noConversion"/>
  </si>
  <si>
    <t>김해공장</t>
    <phoneticPr fontId="2" type="noConversion"/>
  </si>
  <si>
    <t>A/S</t>
    <phoneticPr fontId="2" type="noConversion"/>
  </si>
  <si>
    <t>A/S</t>
    <phoneticPr fontId="2" type="noConversion"/>
  </si>
  <si>
    <t>김해공장</t>
    <phoneticPr fontId="2" type="noConversion"/>
  </si>
  <si>
    <t>A/S</t>
    <phoneticPr fontId="2" type="noConversion"/>
  </si>
  <si>
    <t>A/S</t>
    <phoneticPr fontId="2" type="noConversion"/>
  </si>
  <si>
    <t>2/3(월)~
2/4(화)</t>
    <phoneticPr fontId="2" type="noConversion"/>
  </si>
  <si>
    <t>2/5(수)~
2/7(금)</t>
    <phoneticPr fontId="2" type="noConversion"/>
  </si>
  <si>
    <t>2/5(수)~
2/6(목)</t>
    <phoneticPr fontId="2" type="noConversion"/>
  </si>
  <si>
    <t>서영진</t>
    <phoneticPr fontId="2" type="noConversion"/>
  </si>
  <si>
    <t>판넬 설치 지원</t>
    <phoneticPr fontId="2" type="noConversion"/>
  </si>
  <si>
    <t>YARD 설치 지원(사유: 납품지연, 납기 24년 8월)</t>
    <phoneticPr fontId="2" type="noConversion"/>
  </si>
  <si>
    <t>최용욱</t>
    <phoneticPr fontId="2" type="noConversion"/>
  </si>
  <si>
    <t>커미셔닝(유압 점검)</t>
    <phoneticPr fontId="2" type="noConversion"/>
  </si>
  <si>
    <t>쇼트 검사 지원 (감독관 요청사항)</t>
    <phoneticPr fontId="2" type="noConversion"/>
  </si>
  <si>
    <t>자제테스트 / 검사지원</t>
    <phoneticPr fontId="2" type="noConversion"/>
  </si>
  <si>
    <t>2/10(월)~
2/11(화)</t>
    <phoneticPr fontId="2" type="noConversion"/>
  </si>
  <si>
    <t>2/12(수)~
2/14(금)</t>
    <phoneticPr fontId="2" type="noConversion"/>
  </si>
  <si>
    <t>진성마린</t>
    <phoneticPr fontId="2" type="noConversion"/>
  </si>
  <si>
    <t>(DAVIT ARM 2)쇼트검사 지원(사상/용접)</t>
    <phoneticPr fontId="2" type="noConversion"/>
  </si>
  <si>
    <t>DIS</t>
    <phoneticPr fontId="2" type="noConversion"/>
  </si>
  <si>
    <t>9주</t>
    <phoneticPr fontId="2" type="noConversion"/>
  </si>
  <si>
    <t>S205</t>
    <phoneticPr fontId="2" type="noConversion"/>
  </si>
  <si>
    <t>진진(2), 동아(2)</t>
    <phoneticPr fontId="2" type="noConversion"/>
  </si>
  <si>
    <t>DOG ASS'Y 수정작업</t>
    <phoneticPr fontId="2" type="noConversion"/>
  </si>
  <si>
    <t>김해공장</t>
    <phoneticPr fontId="2" type="noConversion"/>
  </si>
  <si>
    <t>A/S</t>
    <phoneticPr fontId="2" type="noConversion"/>
  </si>
  <si>
    <t>2/17(월)</t>
  </si>
  <si>
    <t>SN2619</t>
  </si>
  <si>
    <t>조립 지원</t>
  </si>
  <si>
    <t>아이앤지(최기추1)</t>
  </si>
  <si>
    <t>쇼트 검사 지원 (감독관 요청사항)</t>
  </si>
  <si>
    <t>2/18(화)</t>
  </si>
  <si>
    <t>H2519</t>
  </si>
  <si>
    <t>(HH) FAT 및 해체작업</t>
  </si>
  <si>
    <t>2/19(수)~</t>
  </si>
  <si>
    <t>2/20(목)</t>
  </si>
  <si>
    <t>2/21(금)</t>
  </si>
  <si>
    <t>설치 지원</t>
  </si>
  <si>
    <t>2/17(월)~</t>
  </si>
  <si>
    <t>SN2651</t>
  </si>
  <si>
    <t>더베스트솔루션(4)</t>
  </si>
  <si>
    <t>김해공장</t>
    <phoneticPr fontId="2" type="noConversion"/>
  </si>
  <si>
    <t>김해공장</t>
    <phoneticPr fontId="2" type="noConversion"/>
  </si>
  <si>
    <t>2/11(화)</t>
  </si>
  <si>
    <t>시험평가 입회</t>
  </si>
  <si>
    <t>계약사항 (2/11 박성용 기장 연차)</t>
  </si>
  <si>
    <t>(영도)</t>
  </si>
  <si>
    <t> 누유 및 붐대 휘어짐 &amp; 맨홀 볼트 간섭 관련 긴급 점검 (오후 출동, 입항 후 점검 요청 (18:00))</t>
  </si>
  <si>
    <t>보증수리사항(긴급 점검 요청)</t>
  </si>
  <si>
    <t>2/24(월)</t>
  </si>
  <si>
    <t>와이어 리깅 및 시운전 지원</t>
  </si>
  <si>
    <t>2/25(화)</t>
  </si>
  <si>
    <t>(20T) TEST P/D 철거</t>
  </si>
  <si>
    <t>2/26(수)~</t>
  </si>
  <si>
    <t>H1197</t>
  </si>
  <si>
    <t>TEST P/D 설치 용접</t>
  </si>
  <si>
    <t>2/28(금)</t>
  </si>
  <si>
    <t>S205</t>
  </si>
  <si>
    <t>2/27(목)</t>
  </si>
  <si>
    <t>철거</t>
  </si>
  <si>
    <t>3/5(수)~
3/7(금)</t>
    <phoneticPr fontId="2" type="noConversion"/>
  </si>
  <si>
    <t>SN2519</t>
    <phoneticPr fontId="2" type="noConversion"/>
  </si>
  <si>
    <t>납품반지원</t>
    <phoneticPr fontId="2" type="noConversion"/>
  </si>
  <si>
    <t>유니버셜조인트 교체(길이 오류) 및 
코멘트 처리(P/D내부 케이블 추가 고정)</t>
    <phoneticPr fontId="2" type="noConversion"/>
  </si>
  <si>
    <t>유니버셜 조인트 오납품(원인 파악 중) 및 선주 코멘트</t>
    <phoneticPr fontId="2" type="noConversion"/>
  </si>
  <si>
    <t>(#1) 재조립</t>
    <phoneticPr fontId="2" type="noConversion"/>
  </si>
  <si>
    <t>조립 / 설치지원</t>
    <phoneticPr fontId="2" type="noConversion"/>
  </si>
  <si>
    <t>S187</t>
    <phoneticPr fontId="2" type="noConversion"/>
  </si>
  <si>
    <t>3/11(화)~
3/12(수)</t>
    <phoneticPr fontId="2" type="noConversion"/>
  </si>
  <si>
    <t>3/13(목)~
3/14(금)</t>
    <phoneticPr fontId="2" type="noConversion"/>
  </si>
  <si>
    <t>외주(최기추2)</t>
    <phoneticPr fontId="2" type="noConversion"/>
  </si>
  <si>
    <t>3/11(화)~
3/13(목)</t>
    <phoneticPr fontId="2" type="noConversion"/>
  </si>
  <si>
    <t>(20T) 덴소/ 포장</t>
    <phoneticPr fontId="2" type="noConversion"/>
  </si>
  <si>
    <t>3/8(토),
3/10(월)</t>
    <phoneticPr fontId="2" type="noConversion"/>
  </si>
  <si>
    <t>개선사항(개정도에 의한 작업)</t>
    <phoneticPr fontId="2" type="noConversion"/>
  </si>
  <si>
    <t>(20T)P/F외 조립작업</t>
    <phoneticPr fontId="2" type="noConversion"/>
  </si>
  <si>
    <r>
      <rPr>
        <sz val="10"/>
        <rFont val="돋움"/>
        <family val="3"/>
        <charset val="129"/>
      </rPr>
      <t>쇼트검사</t>
    </r>
    <r>
      <rPr>
        <sz val="10"/>
        <rFont val="Arial"/>
        <family val="2"/>
      </rPr>
      <t xml:space="preserve"> </t>
    </r>
    <phoneticPr fontId="2" type="noConversion"/>
  </si>
  <si>
    <t>    1,000,000</t>
    <phoneticPr fontId="2" type="noConversion"/>
  </si>
  <si>
    <t>3/17(월)~
3/18(화)</t>
    <phoneticPr fontId="2" type="noConversion"/>
  </si>
  <si>
    <t>(#1) 시운전 / 자체테스트</t>
    <phoneticPr fontId="2" type="noConversion"/>
  </si>
  <si>
    <t>3/19(수)~
3/20(목)</t>
    <phoneticPr fontId="2" type="noConversion"/>
  </si>
  <si>
    <t>외주(최기추3)</t>
    <phoneticPr fontId="2" type="noConversion"/>
  </si>
  <si>
    <t>3/19(수)~
3/21(목)</t>
    <phoneticPr fontId="2" type="noConversion"/>
  </si>
  <si>
    <t>3/18(화)~
3/20(목)</t>
    <phoneticPr fontId="2" type="noConversion"/>
  </si>
  <si>
    <t>YARD 설치 지원</t>
    <phoneticPr fontId="2" type="noConversion"/>
  </si>
  <si>
    <t>박성용, 김은효</t>
    <phoneticPr fontId="2" type="noConversion"/>
  </si>
  <si>
    <t>외주(최기추1)</t>
    <phoneticPr fontId="2" type="noConversion"/>
  </si>
  <si>
    <t>FAT / 해체 지원</t>
    <phoneticPr fontId="2" type="noConversion"/>
  </si>
  <si>
    <t>3/25(화)~
3/27(목)</t>
    <phoneticPr fontId="2" type="noConversion"/>
  </si>
  <si>
    <t>(TC)리모트 컨트롤러 점검 / (WD) 작동 중 배전반 전원 차단 관련 점검 / (CP)리모트 작동 불량 외</t>
    <phoneticPr fontId="2" type="noConversion"/>
  </si>
  <si>
    <t>김해공장</t>
    <phoneticPr fontId="2" type="noConversion"/>
  </si>
  <si>
    <t>김해공장</t>
    <phoneticPr fontId="2" type="noConversion"/>
  </si>
  <si>
    <t>김해공장</t>
    <phoneticPr fontId="2" type="noConversion"/>
  </si>
  <si>
    <t>A/S</t>
    <phoneticPr fontId="2" type="noConversion"/>
  </si>
  <si>
    <t>김해공장</t>
    <phoneticPr fontId="2" type="noConversion"/>
  </si>
  <si>
    <t>계약사항(P/D, U/P&amp;JIB 분리납품으로 인한 작업)</t>
    <phoneticPr fontId="2" type="noConversion"/>
  </si>
  <si>
    <t>TC,WD,CP</t>
    <phoneticPr fontId="2" type="noConversion"/>
  </si>
  <si>
    <t>평가 입회 (기능 평가 및 LOAD TEST)</t>
    <phoneticPr fontId="2" type="noConversion"/>
  </si>
  <si>
    <t>김은효</t>
    <phoneticPr fontId="2" type="noConversion"/>
  </si>
  <si>
    <t>동아(1), 진진(2)</t>
    <phoneticPr fontId="2" type="noConversion"/>
  </si>
  <si>
    <t>외주(최기추2)</t>
    <phoneticPr fontId="2" type="noConversion"/>
  </si>
  <si>
    <t xml:space="preserve"> #1 해체 / 코멘트 처리 지원</t>
    <phoneticPr fontId="2" type="noConversion"/>
  </si>
  <si>
    <t xml:space="preserve"> #2 조립 지원</t>
    <phoneticPr fontId="2" type="noConversion"/>
  </si>
  <si>
    <t>송영국</t>
    <phoneticPr fontId="2" type="noConversion"/>
  </si>
  <si>
    <t>4/2(수)~
4/4(금)</t>
    <phoneticPr fontId="2" type="noConversion"/>
  </si>
  <si>
    <t>더베스트솔루션(6)</t>
    <phoneticPr fontId="2" type="noConversion"/>
  </si>
  <si>
    <t>선주 코멘트 사항 ( FULL LOAD 시 소음 발생)</t>
    <phoneticPr fontId="2" type="noConversion"/>
  </si>
  <si>
    <t>3/31(월)~
4/1(화)</t>
    <phoneticPr fontId="2" type="noConversion"/>
  </si>
  <si>
    <t>포장반 지원 (강지원 직장 퇴사에 따른 인력 보강)</t>
    <phoneticPr fontId="2" type="noConversion"/>
  </si>
  <si>
    <t>(S) PUMP 이상 점검 및 
(S&amp;P)코멘트 처리(WIRE 꼬임 해결, 호스 보호 조치)</t>
    <phoneticPr fontId="2" type="noConversion"/>
  </si>
  <si>
    <t>3/30(일)~
4/3(목)</t>
    <phoneticPr fontId="2" type="noConversion"/>
  </si>
  <si>
    <t>결선 체크 및 와이어 리깅</t>
    <phoneticPr fontId="2" type="noConversion"/>
  </si>
  <si>
    <t>선주 코멘트 사항 ( FULL LOAD 시 소음 발생 - 문제 PUMP 업체에 원인분석 요청 예정)</t>
    <phoneticPr fontId="2" type="noConversion"/>
  </si>
  <si>
    <t>해상 (자체/공식) 시운전 입회
[자체 (3/31 AM 03:40 승선, 4/1 PM 6 시경 하선) / 
공식 (4/2 AM 03:40 승선 4/3 PM 6 시경 하선)]</t>
    <phoneticPr fontId="2" type="noConversion"/>
  </si>
  <si>
    <t>우신(3)</t>
    <phoneticPr fontId="2" type="noConversion"/>
  </si>
  <si>
    <t>(S) PUMP 교체 및 테스트 및 
(S&amp;P) 코멘트 처리 (그리스니쁠 J/R 터치 수정 외)</t>
    <phoneticPr fontId="2" type="noConversion"/>
  </si>
  <si>
    <t>계약사항
(우신1명 4박 5일 / 일요일 &amp; 조출 &amp; 잔업 포함)</t>
    <phoneticPr fontId="2" type="noConversion"/>
  </si>
  <si>
    <t>더베스트솔루션(11)</t>
    <phoneticPr fontId="2" type="noConversion"/>
  </si>
  <si>
    <t>A/S</t>
    <phoneticPr fontId="2" type="noConversion"/>
  </si>
  <si>
    <t>컨트롤 밸브 커버 누유 관련 조치</t>
    <phoneticPr fontId="2" type="noConversion"/>
  </si>
  <si>
    <t>보증수리
(WIRE ROPE 소선 손상으로 수정 가공을 위한 해체)</t>
    <phoneticPr fontId="2" type="noConversion"/>
  </si>
  <si>
    <t>도지성</t>
    <phoneticPr fontId="2" type="noConversion"/>
  </si>
  <si>
    <t>진진(2), 우신(1)</t>
    <phoneticPr fontId="2" type="noConversion"/>
  </si>
  <si>
    <t>박성용,김은효</t>
    <phoneticPr fontId="2" type="noConversion"/>
  </si>
  <si>
    <t>자체테스트 (기능 평가 및 LOAD TEST)</t>
    <phoneticPr fontId="2" type="noConversion"/>
  </si>
  <si>
    <t>GNN0018</t>
    <phoneticPr fontId="2" type="noConversion"/>
  </si>
  <si>
    <t>4/7(월)~
4/8(화)</t>
    <phoneticPr fontId="2" type="noConversion"/>
  </si>
  <si>
    <t>4/9(수)~
4/11(금)</t>
    <phoneticPr fontId="2" type="noConversion"/>
  </si>
  <si>
    <t xml:space="preserve"> #2 설치 지원</t>
    <phoneticPr fontId="2" type="noConversion"/>
  </si>
  <si>
    <t>보증수리 사항(메인판넬 휴즈 단락으로 인한
업리미트 불가 상태로 작동 중 와이어 손상)</t>
    <phoneticPr fontId="2" type="noConversion"/>
  </si>
  <si>
    <t>보증수리
(WIRE ROPE 소선 가공후 설치)</t>
    <phoneticPr fontId="2" type="noConversion"/>
  </si>
  <si>
    <t>포장반 지원 (강지원 직장 퇴사에 따른 인력 보충)</t>
    <phoneticPr fontId="2" type="noConversion"/>
  </si>
  <si>
    <t>4/8(화)~
4/11(금)</t>
    <phoneticPr fontId="2" type="noConversion"/>
  </si>
  <si>
    <t>HIO(8)</t>
    <phoneticPr fontId="2" type="noConversion"/>
  </si>
  <si>
    <t>김해공장</t>
    <phoneticPr fontId="2" type="noConversion"/>
  </si>
  <si>
    <t>A/S</t>
    <phoneticPr fontId="2" type="noConversion"/>
  </si>
  <si>
    <t>HIO(1)</t>
    <phoneticPr fontId="2" type="noConversion"/>
  </si>
  <si>
    <t>전광진,박성용, 도지성</t>
    <phoneticPr fontId="2" type="noConversion"/>
  </si>
  <si>
    <t>4/15(화)~
4/17(목)</t>
    <phoneticPr fontId="2" type="noConversion"/>
  </si>
  <si>
    <t>4/18(금)~
4/19(토)</t>
    <phoneticPr fontId="2" type="noConversion"/>
  </si>
  <si>
    <t>4/16수)~
4/17(목)</t>
    <phoneticPr fontId="2" type="noConversion"/>
  </si>
  <si>
    <t>4/17(목)~
4/18(금)</t>
    <phoneticPr fontId="2" type="noConversion"/>
  </si>
  <si>
    <t>SB687</t>
    <phoneticPr fontId="2" type="noConversion"/>
  </si>
  <si>
    <t>설치 / 시운전 /자체테스트 지원</t>
    <phoneticPr fontId="2" type="noConversion"/>
  </si>
  <si>
    <r>
      <t>포장반 지원</t>
    </r>
    <r>
      <rPr>
        <b/>
        <sz val="10"/>
        <rFont val="맑은 고딕"/>
        <family val="3"/>
        <charset val="129"/>
        <scheme val="minor"/>
      </rPr>
      <t xml:space="preserve"> (강지원 직장 퇴사에 따른 인력 보충)</t>
    </r>
    <phoneticPr fontId="2" type="noConversion"/>
  </si>
  <si>
    <r>
      <t xml:space="preserve">포장반 지원 </t>
    </r>
    <r>
      <rPr>
        <b/>
        <sz val="10"/>
        <rFont val="맑은 고딕"/>
        <family val="3"/>
        <charset val="129"/>
        <scheme val="minor"/>
      </rPr>
      <t>(강지원 직장 퇴사에 따른 인력 보충)</t>
    </r>
    <phoneticPr fontId="2" type="noConversion"/>
  </si>
  <si>
    <t>HIO(2)</t>
    <phoneticPr fontId="2" type="noConversion"/>
  </si>
  <si>
    <t>DST(목포)</t>
    <phoneticPr fontId="2" type="noConversion"/>
  </si>
  <si>
    <t>RB/TC</t>
    <phoneticPr fontId="2" type="noConversion"/>
  </si>
  <si>
    <t>보증수리(DOCKING HEAD LATCH 작동불가 관련 테스트, 엄빌리컬 휨 관련 조치 방안 모색 등)</t>
    <phoneticPr fontId="2" type="noConversion"/>
  </si>
  <si>
    <t>DOCKING HEAD 실린더 압력 테스트 및
오일 쿨러 라인 누유 관련 해결 조치</t>
    <phoneticPr fontId="2" type="noConversion"/>
  </si>
  <si>
    <t>4/21(월)
4/22(화)</t>
    <phoneticPr fontId="2" type="noConversion"/>
  </si>
  <si>
    <t>4/22(화)~
4/24(목)</t>
    <phoneticPr fontId="2" type="noConversion"/>
  </si>
  <si>
    <t>진진(6)</t>
    <phoneticPr fontId="2" type="noConversion"/>
  </si>
  <si>
    <t>와이어 재정렬 작업(텐션기 사용)</t>
    <phoneticPr fontId="2" type="noConversion"/>
  </si>
  <si>
    <t>4/21(월)~
4/23(수)</t>
    <phoneticPr fontId="2" type="noConversion"/>
  </si>
  <si>
    <t>4/24(목)~
4/25(금)</t>
    <phoneticPr fontId="2" type="noConversion"/>
  </si>
  <si>
    <t>#2 시운전 지원</t>
    <phoneticPr fontId="2" type="noConversion"/>
  </si>
  <si>
    <t>#2 자체TEST 지원</t>
    <phoneticPr fontId="2" type="noConversion"/>
  </si>
  <si>
    <t>검사 입회 (HPU 선납으로 과부하 검사 및 FAT 미진행 부분 포함 전체 온보드 검사)</t>
    <phoneticPr fontId="2" type="noConversion"/>
  </si>
  <si>
    <t>보증수리 사항 (WIRE 추가 난권(틈이 벌어진 상태로 감김) 현상 발생으로 관련 조치)</t>
    <phoneticPr fontId="2" type="noConversion"/>
  </si>
  <si>
    <t>(도어간섭으로 인한) 실런더 커플링 체결 &amp; 패드 간격 조절 / 시운전 / 승조원 교육 (2박 3일)</t>
    <phoneticPr fontId="2" type="noConversion"/>
  </si>
  <si>
    <t>ROVL</t>
    <phoneticPr fontId="2" type="noConversion"/>
  </si>
  <si>
    <t>#2 FAT / 해체 지원</t>
    <phoneticPr fontId="2" type="noConversion"/>
  </si>
  <si>
    <t>4/28(월)~
4/29(화)</t>
    <phoneticPr fontId="2" type="noConversion"/>
  </si>
  <si>
    <t>4/30(수),
5/2(금)</t>
    <phoneticPr fontId="2" type="noConversion"/>
  </si>
  <si>
    <t>RB</t>
    <phoneticPr fontId="2" type="noConversion"/>
  </si>
  <si>
    <t>범양(최기추2)</t>
    <phoneticPr fontId="2" type="noConversion"/>
  </si>
  <si>
    <t>덴소/ 포장</t>
    <phoneticPr fontId="2" type="noConversion"/>
  </si>
  <si>
    <t>#3 조립 지원</t>
    <phoneticPr fontId="2" type="noConversion"/>
  </si>
  <si>
    <t>MESSENGER WIRE 설치</t>
    <phoneticPr fontId="2" type="noConversion"/>
  </si>
  <si>
    <t>4/28(월)~
4/30(수)</t>
    <phoneticPr fontId="2" type="noConversion"/>
  </si>
  <si>
    <t>MESSENGER WIRE 본선 설치</t>
    <phoneticPr fontId="2" type="noConversion"/>
  </si>
  <si>
    <t>김해공장</t>
    <phoneticPr fontId="2" type="noConversion"/>
  </si>
  <si>
    <t>김해공장</t>
    <phoneticPr fontId="2" type="noConversion"/>
  </si>
  <si>
    <t>A/S</t>
    <phoneticPr fontId="2" type="noConversion"/>
  </si>
  <si>
    <r>
      <t xml:space="preserve">진진(2), </t>
    </r>
    <r>
      <rPr>
        <sz val="10"/>
        <color rgb="FF0000FF"/>
        <rFont val="맑은 고딕"/>
        <family val="3"/>
        <charset val="129"/>
        <scheme val="minor"/>
      </rPr>
      <t>우신(1)</t>
    </r>
    <phoneticPr fontId="2" type="noConversion"/>
  </si>
  <si>
    <t>컨테이너 작업</t>
    <phoneticPr fontId="2" type="noConversion"/>
  </si>
  <si>
    <t>5/8(목)~
5/9(금)</t>
    <phoneticPr fontId="2" type="noConversion"/>
  </si>
  <si>
    <t>범양(최기추3)</t>
    <phoneticPr fontId="2" type="noConversion"/>
  </si>
  <si>
    <t>5/7(수)~
5/9(금)</t>
    <phoneticPr fontId="2" type="noConversion"/>
  </si>
  <si>
    <t>김해공장</t>
    <phoneticPr fontId="2" type="noConversion"/>
  </si>
  <si>
    <t>박성용,김은효</t>
    <phoneticPr fontId="2" type="noConversion"/>
  </si>
  <si>
    <t>오승만,김은효</t>
    <phoneticPr fontId="2" type="noConversion"/>
  </si>
  <si>
    <r>
      <t>SN26</t>
    </r>
    <r>
      <rPr>
        <b/>
        <sz val="10"/>
        <color theme="1"/>
        <rFont val="맑은 고딕"/>
        <family val="3"/>
        <charset val="129"/>
        <scheme val="minor"/>
      </rPr>
      <t>51</t>
    </r>
    <phoneticPr fontId="2" type="noConversion"/>
  </si>
  <si>
    <t>4/7(월)~
4/8(화)</t>
    <phoneticPr fontId="2" type="noConversion"/>
  </si>
  <si>
    <t>우신(2) -&gt;범양</t>
    <phoneticPr fontId="2" type="noConversion"/>
  </si>
  <si>
    <t>외주(2) -&gt;범양</t>
    <phoneticPr fontId="2" type="noConversion"/>
  </si>
  <si>
    <t>5/12(월)~
5/14(수)</t>
    <phoneticPr fontId="2" type="noConversion"/>
  </si>
  <si>
    <t>5/15(목)~
5/16(금)</t>
    <phoneticPr fontId="2" type="noConversion"/>
  </si>
  <si>
    <t>S200</t>
    <phoneticPr fontId="2" type="noConversion"/>
  </si>
  <si>
    <t>설치 / 시운전/ 자체테스트 지원</t>
    <phoneticPr fontId="2" type="noConversion"/>
  </si>
  <si>
    <t>5/12(월)~
5/13(화)</t>
    <phoneticPr fontId="2" type="noConversion"/>
  </si>
  <si>
    <t>5/14(수)~
5/16(금)</t>
    <phoneticPr fontId="2" type="noConversion"/>
  </si>
  <si>
    <t>#2 포장 지원</t>
    <phoneticPr fontId="2" type="noConversion"/>
  </si>
  <si>
    <t>ROCKING TEST(오전 9시 30분~)</t>
    <phoneticPr fontId="2" type="noConversion"/>
  </si>
  <si>
    <t>보트 배관 간섭 &amp; 시트 유격 발생 관련 패드 설치 / 시운전 / 승조원 교육 / (TC) 인버터 세팅 외</t>
    <phoneticPr fontId="2" type="noConversion"/>
  </si>
  <si>
    <t>계약사항 (동아 별도 혐의 필요)</t>
    <phoneticPr fontId="2" type="noConversion"/>
  </si>
  <si>
    <t>H7064</t>
    <phoneticPr fontId="2" type="noConversion"/>
  </si>
  <si>
    <t>다대포해경정비창</t>
    <phoneticPr fontId="2" type="noConversion"/>
  </si>
  <si>
    <t>해수쿨러 유압 배관 및 조인트 배관 추가 누유 조치</t>
    <phoneticPr fontId="2" type="noConversion"/>
  </si>
  <si>
    <t>(P)MESSENGER WIRE 설치</t>
    <phoneticPr fontId="2" type="noConversion"/>
  </si>
  <si>
    <t xml:space="preserve">보트 배관 간섭 &amp; 시트 유격 발생 관련 패드 설치 / 시운전 / 승조원 교육 </t>
    <phoneticPr fontId="2" type="noConversion"/>
  </si>
  <si>
    <t>외주(5)</t>
    <phoneticPr fontId="2" type="noConversion"/>
  </si>
  <si>
    <t>5/19(월)~
5/21(수)</t>
    <phoneticPr fontId="2" type="noConversion"/>
  </si>
  <si>
    <t>5/19(월)~
5/23(금)</t>
    <phoneticPr fontId="2" type="noConversion"/>
  </si>
  <si>
    <t>5/22(목)~
5/23(금)</t>
    <phoneticPr fontId="2" type="noConversion"/>
  </si>
  <si>
    <t>P172</t>
    <phoneticPr fontId="2" type="noConversion"/>
  </si>
  <si>
    <t>계약사항 (2M/D 추가)
(우천으로 보트 시트 용접 및 교육 연기5/16→5/17),
일정 연장(1박2일(5/15~16) → 2박 3일(5/15~5/17))</t>
    <phoneticPr fontId="2" type="noConversion"/>
  </si>
  <si>
    <t>우신(1), 동아(1)</t>
    <phoneticPr fontId="2" type="noConversion"/>
  </si>
  <si>
    <t>보증수리(손상 호스/ 볼트 / 맨홀 가스켓 교체)</t>
    <phoneticPr fontId="2" type="noConversion"/>
  </si>
  <si>
    <t>5/26(월)~
5/29(수)</t>
    <phoneticPr fontId="2" type="noConversion"/>
  </si>
  <si>
    <t>5/29(목)~
5/30(금)</t>
    <phoneticPr fontId="2" type="noConversion"/>
  </si>
  <si>
    <t>(TOWING BOOM) 시운전/ 자체테스트 지원</t>
    <phoneticPr fontId="2" type="noConversion"/>
  </si>
  <si>
    <t>5/26(월)~
5/31(금)</t>
    <phoneticPr fontId="2" type="noConversion"/>
  </si>
  <si>
    <t>SWN0289</t>
    <phoneticPr fontId="2" type="noConversion"/>
  </si>
  <si>
    <t>5/27(화)~
5/28(수)</t>
    <phoneticPr fontId="2" type="noConversion"/>
  </si>
  <si>
    <t>SWN0289
/H1279/H1197</t>
    <phoneticPr fontId="2" type="noConversion"/>
  </si>
  <si>
    <t>RB/FDC/DC</t>
    <phoneticPr fontId="2" type="noConversion"/>
  </si>
  <si>
    <t>(SWN0289,H1279) 포장, (H1197)  #2컨테이너 작업</t>
    <phoneticPr fontId="2" type="noConversion"/>
  </si>
  <si>
    <t>보증수리 사항(보증수리 기한~'25/5/31)</t>
    <phoneticPr fontId="2" type="noConversion"/>
  </si>
  <si>
    <t>현장 점검</t>
    <phoneticPr fontId="2" type="noConversion"/>
  </si>
  <si>
    <t>T/B,DC</t>
    <phoneticPr fontId="2" type="noConversion"/>
  </si>
  <si>
    <t>S205/222003/H1197</t>
    <phoneticPr fontId="2" type="noConversion"/>
  </si>
  <si>
    <t>SN2661</t>
    <phoneticPr fontId="2" type="noConversion"/>
  </si>
  <si>
    <t>LAC</t>
    <phoneticPr fontId="2" type="noConversion"/>
  </si>
  <si>
    <t>TEST P/D 용접 및 MOTOR SEAT 수정 외</t>
    <phoneticPr fontId="2" type="noConversion"/>
  </si>
  <si>
    <t>6/4(목)~
6/5(금)</t>
    <phoneticPr fontId="2" type="noConversion"/>
  </si>
  <si>
    <t>6/2(월)</t>
    <phoneticPr fontId="2" type="noConversion"/>
  </si>
  <si>
    <t>범양(최기추1)</t>
    <phoneticPr fontId="2" type="noConversion"/>
  </si>
  <si>
    <t>설치 및 시운전</t>
    <phoneticPr fontId="2" type="noConversion"/>
  </si>
  <si>
    <t xml:space="preserve">(S205,222003) TOWING BOOM 코멘트 처리 및 포장(H1197) #2상차 작업 </t>
    <phoneticPr fontId="2" type="noConversion"/>
  </si>
  <si>
    <t>6/2(월),6/4(목)~6/5(금)</t>
    <phoneticPr fontId="2" type="noConversion"/>
  </si>
  <si>
    <t>사전 점검</t>
    <phoneticPr fontId="2" type="noConversion"/>
  </si>
  <si>
    <t>6/4(수) ~
6/5(목)</t>
    <phoneticPr fontId="2" type="noConversion"/>
  </si>
  <si>
    <t>보트 시트 유격 발생 관련 추가 패드 설치 / 시운전 / 승조원 교육 / (TC) UP LIMIT 터치 시 모터 트립 되는 문제점 관련 점검 및 조치</t>
    <phoneticPr fontId="2" type="noConversion"/>
  </si>
  <si>
    <t>계약사항 / 문제점 점검 및 조치
진진 2M/D 50만원, 동아 2M/D 60만원 
조치 완료 후 동아 비용 별도 협의 필요(구매)</t>
    <phoneticPr fontId="2" type="noConversion"/>
  </si>
  <si>
    <t>보트 탑재 지원</t>
    <phoneticPr fontId="2" type="noConversion"/>
  </si>
  <si>
    <t>코멘트 처리 (STOPPER 설치 수정 용접, RUBBER설치, 도장수정 외)/ 자체테스트</t>
    <phoneticPr fontId="2" type="noConversion"/>
  </si>
  <si>
    <t>6/10(화)~
6/11(수)</t>
    <phoneticPr fontId="2" type="noConversion"/>
  </si>
  <si>
    <t>(T/B) 코멘트 처리 (BOOM SEAT용접 외)</t>
    <phoneticPr fontId="2" type="noConversion"/>
  </si>
  <si>
    <t>6/12(목)~
6/13(금)</t>
    <phoneticPr fontId="2" type="noConversion"/>
  </si>
  <si>
    <t>6/9(월)~
6/12(목)</t>
    <phoneticPr fontId="2" type="noConversion"/>
  </si>
  <si>
    <t>222003/GNN0018/P172/H1197</t>
    <phoneticPr fontId="2" type="noConversion"/>
  </si>
  <si>
    <t>RB/ML/DC</t>
    <phoneticPr fontId="2" type="noConversion"/>
  </si>
  <si>
    <t>(TOWING BOOM) 포장, (ML) 포장, (P172 RAIL) 포장, (#3) 코멘트 처리</t>
    <phoneticPr fontId="2" type="noConversion"/>
  </si>
  <si>
    <t>김해공장</t>
    <phoneticPr fontId="2" type="noConversion"/>
  </si>
  <si>
    <t>김해공장</t>
    <phoneticPr fontId="2" type="noConversion"/>
  </si>
  <si>
    <t>김해공장</t>
    <phoneticPr fontId="2" type="noConversion"/>
  </si>
  <si>
    <t>A/S</t>
    <phoneticPr fontId="2" type="noConversion"/>
  </si>
  <si>
    <t>김해공장</t>
    <phoneticPr fontId="2" type="noConversion"/>
  </si>
  <si>
    <t>A/S</t>
    <phoneticPr fontId="2" type="noConversion"/>
  </si>
  <si>
    <t>김해공장</t>
    <phoneticPr fontId="2" type="noConversion"/>
  </si>
  <si>
    <t>A/S</t>
    <phoneticPr fontId="2" type="noConversion"/>
  </si>
  <si>
    <t>ON BOARD 검사 입회</t>
    <phoneticPr fontId="2" type="noConversion"/>
  </si>
  <si>
    <t>#3 포장</t>
    <phoneticPr fontId="2" type="noConversion"/>
  </si>
  <si>
    <t>DC</t>
    <phoneticPr fontId="2" type="noConversion"/>
  </si>
  <si>
    <t>6/16(월)~
6/19(수)</t>
    <phoneticPr fontId="2" type="noConversion"/>
  </si>
  <si>
    <t>6/20(목)~
6/21(금)</t>
    <phoneticPr fontId="2" type="noConversion"/>
  </si>
  <si>
    <t>S201</t>
    <phoneticPr fontId="2" type="noConversion"/>
  </si>
  <si>
    <t>6/17(화)~
6/20(금)</t>
    <phoneticPr fontId="2" type="noConversion"/>
  </si>
  <si>
    <t>외주(4)</t>
    <phoneticPr fontId="2" type="noConversion"/>
  </si>
  <si>
    <t>코멘트 처리 / 커미셔닝</t>
    <phoneticPr fontId="2" type="noConversion"/>
  </si>
  <si>
    <t>코멘트 처리(RAIL 그리스도포,RUBBER 설치, RAIL GAP 조절, 판넬 클리닝 외) / 
테스트 (브레이크 세팅 외)</t>
    <phoneticPr fontId="2" type="noConversion"/>
  </si>
  <si>
    <t>(WINCH) 설치 및 시운전</t>
    <phoneticPr fontId="2" type="noConversion"/>
  </si>
  <si>
    <t>커미셔닝(메신저 와이어 길이 오류, 스토퍼 수정 재설치 외)</t>
    <phoneticPr fontId="2" type="noConversion"/>
  </si>
  <si>
    <t>코멘트 처리 (브레이크 조정, 가이드 롤러 교체 외)</t>
    <phoneticPr fontId="2" type="noConversion"/>
  </si>
  <si>
    <t>P178</t>
    <phoneticPr fontId="2" type="noConversion"/>
  </si>
  <si>
    <t>6/23(월)~
6/25(수)</t>
    <phoneticPr fontId="2" type="noConversion"/>
  </si>
  <si>
    <t>6/26(목)~
6/27(금)</t>
    <phoneticPr fontId="2" type="noConversion"/>
  </si>
  <si>
    <t>설치 / 시운전</t>
    <phoneticPr fontId="2" type="noConversion"/>
  </si>
  <si>
    <t>BR</t>
    <phoneticPr fontId="2" type="noConversion"/>
  </si>
  <si>
    <t>6/23(월)~
6/24(화)</t>
    <phoneticPr fontId="2" type="noConversion"/>
  </si>
  <si>
    <t>LAC</t>
    <phoneticPr fontId="2" type="noConversion"/>
  </si>
  <si>
    <t>PLATFORM 수정작업</t>
    <phoneticPr fontId="2" type="noConversion"/>
  </si>
  <si>
    <t>설치 / 수정 작업</t>
    <phoneticPr fontId="2" type="noConversion"/>
  </si>
  <si>
    <t xml:space="preserve">코멘트 사항 </t>
    <phoneticPr fontId="2" type="noConversion"/>
  </si>
  <si>
    <t>계약사항</t>
    <phoneticPr fontId="2" type="noConversion"/>
  </si>
  <si>
    <t>실행예산내</t>
    <phoneticPr fontId="2" type="noConversion"/>
  </si>
  <si>
    <t>창성쇼트</t>
    <phoneticPr fontId="2" type="noConversion"/>
  </si>
  <si>
    <t>6/25(수)~
6/27(금)</t>
    <phoneticPr fontId="2" type="noConversion"/>
  </si>
  <si>
    <t>(MAIN RAMP) HINGE 조립 외 포장</t>
    <phoneticPr fontId="2" type="noConversion"/>
  </si>
  <si>
    <t>MANIFOLD 누유 관련 조치</t>
    <phoneticPr fontId="2" type="noConversion"/>
  </si>
  <si>
    <t>DOCKING HEAD RUBBER 교체</t>
    <phoneticPr fontId="2" type="noConversion"/>
  </si>
  <si>
    <t xml:space="preserve">인도후 </t>
    <phoneticPr fontId="2" type="noConversion"/>
  </si>
  <si>
    <t>광양항</t>
    <phoneticPr fontId="2" type="noConversion"/>
  </si>
  <si>
    <t>GNN0019</t>
    <phoneticPr fontId="2" type="noConversion"/>
  </si>
  <si>
    <t>재조립</t>
    <phoneticPr fontId="2" type="noConversion"/>
  </si>
  <si>
    <t>범양(최기추4)</t>
    <phoneticPr fontId="2" type="noConversion"/>
  </si>
  <si>
    <t>조립 / 설치 (용접)</t>
    <phoneticPr fontId="2" type="noConversion"/>
  </si>
  <si>
    <t>H7064/SN2661</t>
    <phoneticPr fontId="2" type="noConversion"/>
  </si>
  <si>
    <t>BR/LAC</t>
    <phoneticPr fontId="2" type="noConversion"/>
  </si>
  <si>
    <t>H7064/P178</t>
    <phoneticPr fontId="2" type="noConversion"/>
  </si>
  <si>
    <t>BR/PE</t>
    <phoneticPr fontId="2" type="noConversion"/>
  </si>
  <si>
    <t xml:space="preserve">커플링 분해 / TRUNK 내부 GUIDE BAR 해체 </t>
    <phoneticPr fontId="2" type="noConversion"/>
  </si>
  <si>
    <t>진진(1), 우신(1)</t>
    <phoneticPr fontId="2" type="noConversion"/>
  </si>
  <si>
    <t>7/1(화)~
7/4(금)</t>
    <phoneticPr fontId="2" type="noConversion"/>
  </si>
  <si>
    <t>커미셔닝(자체 웨이트 검사 외)</t>
    <phoneticPr fontId="2" type="noConversion"/>
  </si>
  <si>
    <t>커미셔닝 (유압 라인 체크 외 작동테스트)</t>
    <phoneticPr fontId="2" type="noConversion"/>
  </si>
  <si>
    <t>누유 조치 (컨트롤밸브 커버 교체)</t>
    <phoneticPr fontId="2" type="noConversion"/>
  </si>
  <si>
    <t>조립반 지원 (26주 긴급지원 추가분)</t>
    <phoneticPr fontId="2" type="noConversion"/>
  </si>
  <si>
    <t>GUIDE ROLLER#2 / CABLE GUIDE SUPPORT
수정품 설치 / 결선 수정</t>
    <phoneticPr fontId="2" type="noConversion"/>
  </si>
  <si>
    <t>포장반 지원 (26주 긴급지원 추가분)</t>
    <phoneticPr fontId="2" type="noConversion"/>
  </si>
  <si>
    <t>6/30(월)~7/1(화),
7/3(목)~7/4(금)</t>
    <phoneticPr fontId="2" type="noConversion"/>
  </si>
  <si>
    <t>도면 오작 (HOIST 주행 중 간섭으로 설계 변경)</t>
    <phoneticPr fontId="2" type="noConversion"/>
  </si>
  <si>
    <t>(P) 커미셔닝 
(리미트시트 위치 조정 / 케이블 타이 변경 외)</t>
    <phoneticPr fontId="2" type="noConversion"/>
  </si>
  <si>
    <t>(S) 커미셔닝 
(리미트시트 위치 조정 / 케이블 타이 변경 외)</t>
    <phoneticPr fontId="2" type="noConversion"/>
  </si>
  <si>
    <t>계약사항  (26주 긴급지원 추가분)</t>
    <phoneticPr fontId="2" type="noConversion"/>
  </si>
  <si>
    <t>긴급 조치 사항</t>
    <phoneticPr fontId="2" type="noConversion"/>
  </si>
  <si>
    <t>(MAIN RAMP) HINGE PIN 조립 외 납품준비</t>
    <phoneticPr fontId="2" type="noConversion"/>
  </si>
  <si>
    <t>MAIN RAMP, PULLY STAND 포장, 상차/ (P/D)포장</t>
    <phoneticPr fontId="2" type="noConversion"/>
  </si>
  <si>
    <t>창성/
김해공장</t>
    <phoneticPr fontId="2" type="noConversion"/>
  </si>
  <si>
    <t>HIO(3)</t>
    <phoneticPr fontId="2" type="noConversion"/>
  </si>
  <si>
    <t>씨앤엠(1),진진(1)</t>
    <phoneticPr fontId="2" type="noConversion"/>
  </si>
  <si>
    <t>ML, HOC</t>
    <phoneticPr fontId="2" type="noConversion"/>
  </si>
  <si>
    <t>ML이탈방지 루버 2EA설치 &amp; 본선 자체테스트</t>
    <phoneticPr fontId="2" type="noConversion"/>
  </si>
  <si>
    <t>S188</t>
    <phoneticPr fontId="2" type="noConversion"/>
  </si>
  <si>
    <t>커미셔닝(기계조립, 전기 CHECK)</t>
    <phoneticPr fontId="2" type="noConversion"/>
  </si>
  <si>
    <t>HIO(1)</t>
    <phoneticPr fontId="2" type="noConversion"/>
  </si>
  <si>
    <t>WINCH 납품 준비(시트 조립 외)</t>
    <phoneticPr fontId="2" type="noConversion"/>
  </si>
  <si>
    <t>포장반 지원 (27주 긴급지원 추가분)</t>
    <phoneticPr fontId="2" type="noConversion"/>
  </si>
  <si>
    <t>7/7(월)~
7/11(금)</t>
    <phoneticPr fontId="2" type="noConversion"/>
  </si>
  <si>
    <t>김해공장/
창성</t>
    <phoneticPr fontId="2" type="noConversion"/>
  </si>
  <si>
    <t>조립반 지원</t>
    <phoneticPr fontId="2" type="noConversion"/>
  </si>
  <si>
    <t>시운전 / 자체테스트 지원</t>
    <phoneticPr fontId="2" type="noConversion"/>
  </si>
  <si>
    <t>7/7(월)~7/8(화)</t>
    <phoneticPr fontId="2" type="noConversion"/>
  </si>
  <si>
    <t>개정도 수정 작업(센서 시트 외)</t>
    <phoneticPr fontId="2" type="noConversion"/>
  </si>
  <si>
    <t>YN04</t>
    <phoneticPr fontId="2" type="noConversion"/>
  </si>
  <si>
    <t>조립</t>
    <phoneticPr fontId="2" type="noConversion"/>
  </si>
  <si>
    <t>BR</t>
    <phoneticPr fontId="2" type="noConversion"/>
  </si>
  <si>
    <t>(MOTOR) 특수성능 준비 작업</t>
    <phoneticPr fontId="2" type="noConversion"/>
  </si>
  <si>
    <t>JIB P/F 본체 간섭 관련 수정작업</t>
    <phoneticPr fontId="2" type="noConversion"/>
  </si>
  <si>
    <t>7/10(목)~
7/11(금)</t>
    <phoneticPr fontId="2" type="noConversion"/>
  </si>
  <si>
    <t>포장반 지원 (27주 긴급지원 추가분)- 도면 변경</t>
    <phoneticPr fontId="2" type="noConversion"/>
  </si>
  <si>
    <t>포장반 지원 - 도면 변경</t>
    <phoneticPr fontId="2" type="noConversion"/>
  </si>
  <si>
    <t>P172/H7064
SN2661</t>
    <phoneticPr fontId="2" type="noConversion"/>
  </si>
  <si>
    <t>ML/RAMP
/LAC</t>
    <phoneticPr fontId="2" type="noConversion"/>
  </si>
  <si>
    <t>포장 / HINGE PIN 조립 외 / P/D납품준비</t>
    <phoneticPr fontId="2" type="noConversion"/>
  </si>
  <si>
    <t>7/9(수)</t>
    <phoneticPr fontId="2" type="noConversion"/>
  </si>
  <si>
    <t>7/10(목)~7/11(금)</t>
    <phoneticPr fontId="2" type="noConversion"/>
  </si>
  <si>
    <t>범양(최기추2),HIO(2)</t>
    <phoneticPr fontId="2" type="noConversion"/>
  </si>
  <si>
    <r>
      <t xml:space="preserve">조립반 지원
</t>
    </r>
    <r>
      <rPr>
        <b/>
        <sz val="10"/>
        <rFont val="맑은 고딕"/>
        <family val="3"/>
        <charset val="129"/>
        <scheme val="minor"/>
      </rPr>
      <t>(장유승 기장 대만 출장에 다른 인력 보충)</t>
    </r>
    <phoneticPr fontId="2" type="noConversion"/>
  </si>
  <si>
    <t>7/7(월)~
7/11(금)</t>
    <phoneticPr fontId="2" type="noConversion"/>
  </si>
  <si>
    <t>범양(5)</t>
    <phoneticPr fontId="2" type="noConversion"/>
  </si>
  <si>
    <t>설치 기술 지원 (근접 센서 시트 설치 외)</t>
    <phoneticPr fontId="2" type="noConversion"/>
  </si>
  <si>
    <t>설치 기술 지원 (오전 안전교육 4시간 후 점검)</t>
    <phoneticPr fontId="2" type="noConversion"/>
  </si>
  <si>
    <t>김해공장</t>
    <phoneticPr fontId="2" type="noConversion"/>
  </si>
  <si>
    <t>A/S</t>
    <phoneticPr fontId="2" type="noConversion"/>
  </si>
  <si>
    <t>김해공장</t>
    <phoneticPr fontId="2" type="noConversion"/>
  </si>
  <si>
    <t>A/S</t>
    <phoneticPr fontId="2" type="noConversion"/>
  </si>
  <si>
    <t>A/S</t>
    <phoneticPr fontId="2" type="noConversion"/>
  </si>
  <si>
    <t>범양(최기추1)</t>
    <phoneticPr fontId="2" type="noConversion"/>
  </si>
  <si>
    <t>맨홀 OPEN 시 RING P/F 간섭 관련 수정 용접</t>
    <phoneticPr fontId="2" type="noConversion"/>
  </si>
  <si>
    <t>외주(1)</t>
    <phoneticPr fontId="2" type="noConversion"/>
  </si>
  <si>
    <t>(FLAP) 쇼트 검사 지원 (사상/용접)</t>
    <phoneticPr fontId="2" type="noConversion"/>
  </si>
  <si>
    <r>
      <t xml:space="preserve">검사 지원 </t>
    </r>
    <r>
      <rPr>
        <sz val="10"/>
        <color rgb="FF0000FF"/>
        <rFont val="맑은 고딕"/>
        <family val="3"/>
        <charset val="129"/>
        <scheme val="minor"/>
      </rPr>
      <t xml:space="preserve"> (실행예산내)</t>
    </r>
    <phoneticPr fontId="2" type="noConversion"/>
  </si>
  <si>
    <r>
      <t xml:space="preserve">계약사항 </t>
    </r>
    <r>
      <rPr>
        <sz val="10"/>
        <color rgb="FF0000FF"/>
        <rFont val="맑은 고딕"/>
        <family val="3"/>
        <charset val="129"/>
        <scheme val="minor"/>
      </rPr>
      <t>(실행예산내)</t>
    </r>
    <phoneticPr fontId="2" type="noConversion"/>
  </si>
  <si>
    <r>
      <t xml:space="preserve">조립반 지원 </t>
    </r>
    <r>
      <rPr>
        <sz val="10"/>
        <color rgb="FF0000FF"/>
        <rFont val="맑은 고딕"/>
        <family val="3"/>
        <charset val="129"/>
        <scheme val="minor"/>
      </rPr>
      <t>(실행예산내)</t>
    </r>
    <r>
      <rPr>
        <sz val="10"/>
        <rFont val="맑은 고딕"/>
        <family val="3"/>
        <charset val="129"/>
        <scheme val="minor"/>
      </rPr>
      <t xml:space="preserve">
</t>
    </r>
    <r>
      <rPr>
        <b/>
        <sz val="10"/>
        <rFont val="맑은 고딕"/>
        <family val="3"/>
        <charset val="129"/>
        <scheme val="minor"/>
      </rPr>
      <t>(HIO-&gt;장유승 기장 대만 출장에 다른 인력 보충)</t>
    </r>
    <phoneticPr fontId="2" type="noConversion"/>
  </si>
  <si>
    <t>최용욱</t>
  </si>
  <si>
    <t>YN04</t>
  </si>
  <si>
    <t>조립 / 시운전 / 자체 테스트</t>
  </si>
  <si>
    <t>7/14(월)</t>
  </si>
  <si>
    <t>P178</t>
  </si>
  <si>
    <t>JIG 조립 및 납품 준비</t>
  </si>
  <si>
    <t>진성</t>
  </si>
  <si>
    <t>PE</t>
  </si>
  <si>
    <t>(KING POST, TRUNK) 쇼트 검사 지원 (사상/용접)</t>
  </si>
  <si>
    <t>S188</t>
  </si>
  <si>
    <t>BSR</t>
  </si>
  <si>
    <t>커미셔닝(기계조립, 전기 CHECK)</t>
  </si>
  <si>
    <t>우신(3)</t>
  </si>
  <si>
    <t>7/10(목)</t>
  </si>
  <si>
    <t>원격 비상정지 관련 조치</t>
  </si>
  <si>
    <t>7/11(금)</t>
  </si>
  <si>
    <t>GNN0017</t>
  </si>
  <si>
    <t>설치 기술 지원 / S.T.W</t>
  </si>
  <si>
    <t>SW</t>
  </si>
  <si>
    <t>RB/KT</t>
  </si>
  <si>
    <t>진진(6), 디에스티(2)</t>
  </si>
  <si>
    <t>커미셔닝(기계조립 외) / 검사입회</t>
  </si>
  <si>
    <t>P172</t>
  </si>
  <si>
    <t>우신(2), HIO(1)</t>
  </si>
  <si>
    <t>CNM(1)</t>
    <phoneticPr fontId="2" type="noConversion"/>
  </si>
  <si>
    <t>DST(1)</t>
    <phoneticPr fontId="2" type="noConversion"/>
  </si>
  <si>
    <t>홀 재시공 및 재설치</t>
    <phoneticPr fontId="2" type="noConversion"/>
  </si>
  <si>
    <r>
      <rPr>
        <sz val="10"/>
        <color rgb="FF000000"/>
        <rFont val="돋움"/>
        <family val="3"/>
        <charset val="129"/>
      </rPr>
      <t>우신</t>
    </r>
    <r>
      <rPr>
        <sz val="10"/>
        <color rgb="FF000000"/>
        <rFont val="Arial"/>
        <family val="2"/>
      </rPr>
      <t>(1)</t>
    </r>
    <phoneticPr fontId="2" type="noConversion"/>
  </si>
  <si>
    <t>홀 재시공 및 재설치 (터치업 페인트 준비)</t>
    <phoneticPr fontId="2" type="noConversion"/>
  </si>
  <si>
    <t>7/14(월)~</t>
  </si>
  <si>
    <t>7/18(금)</t>
  </si>
  <si>
    <t>범양(최기추5),</t>
  </si>
  <si>
    <t>  2,500,000</t>
  </si>
  <si>
    <t>조립반 지원 (실행예산 내)</t>
  </si>
  <si>
    <t>(장유승 기장 대만 출장에 다른 인력 보충)</t>
  </si>
  <si>
    <t>포장반 지원 (실행예산 내)</t>
  </si>
  <si>
    <t>쇼트 검사 지원  (실행예산 내)</t>
  </si>
  <si>
    <t>7/8(화),</t>
  </si>
  <si>
    <t>계약사항 (실행예산 내)- 27주 긴급지원</t>
  </si>
  <si>
    <t>7/16(수)</t>
  </si>
  <si>
    <t>커미셔닝(컨트롤스탠드 하부 고압 HOSE 연결 및</t>
  </si>
  <si>
    <t>BOAT SEAT 용접 / 시운전 외)</t>
  </si>
  <si>
    <t>  2,100,000</t>
  </si>
  <si>
    <t>7/17(목)</t>
  </si>
  <si>
    <t>  1,000,000</t>
  </si>
  <si>
    <t>계약사항 (실행예산 내)</t>
  </si>
  <si>
    <t>7/15(화)~</t>
  </si>
  <si>
    <t>김해공장</t>
    <phoneticPr fontId="2" type="noConversion"/>
  </si>
  <si>
    <t>SN2661</t>
  </si>
  <si>
    <t>LAC</t>
  </si>
  <si>
    <t>실린더 외 해체 지원</t>
  </si>
  <si>
    <t>HIO(2)</t>
  </si>
  <si>
    <t>7/19(토)</t>
  </si>
  <si>
    <t>H7064</t>
  </si>
  <si>
    <t>FLAP 납품지원</t>
  </si>
  <si>
    <t>HIO(1)</t>
  </si>
  <si>
    <t>7/21(월)~</t>
  </si>
  <si>
    <t>7/24(목)</t>
  </si>
  <si>
    <t>시운전 / 자체 테스트 / FAT 지원</t>
  </si>
  <si>
    <t>범양(최기추4),</t>
  </si>
  <si>
    <t>  1,500,000</t>
  </si>
  <si>
    <t>7/25(금)</t>
  </si>
  <si>
    <t>S201</t>
  </si>
  <si>
    <t>CS</t>
  </si>
  <si>
    <t>FAT 지원</t>
  </si>
  <si>
    <t>범양(최기추1)</t>
  </si>
  <si>
    <t>A/S</t>
    <phoneticPr fontId="2" type="noConversion"/>
  </si>
  <si>
    <t>7/21(월)</t>
  </si>
  <si>
    <t>모터 단자대 홀 수정품 및 CABLE GLAND 설치</t>
  </si>
  <si>
    <t>설계 오류-</t>
  </si>
  <si>
    <t>모터 단자대 홀 및 CABLE GAND 사이즈 오류</t>
  </si>
  <si>
    <t>SN2619/</t>
  </si>
  <si>
    <t>LIMIT STRIKE 길이 수정/ P/D 내부 케이블 보호 조치/ WIRE 꼬임 해결</t>
  </si>
  <si>
    <t>7/22(화)</t>
  </si>
  <si>
    <t>커미셔닝 - 리미트세팅, 결선 체크, 시운전 외</t>
  </si>
  <si>
    <t>(오전 8시 반까지 도착)</t>
  </si>
  <si>
    <t>진진(1), 동아(1)</t>
  </si>
  <si>
    <t>7/22(화)~</t>
  </si>
  <si>
    <t>7/23(수)</t>
  </si>
  <si>
    <t>코멘트 처리 / 검사 입회</t>
  </si>
  <si>
    <t>7/23(수)~</t>
  </si>
  <si>
    <t>수평 조정 / 자체테스트</t>
  </si>
  <si>
    <t>야전교육(정비창교육)</t>
  </si>
  <si>
    <t>박주성, 임상섭</t>
  </si>
  <si>
    <t>(선미) 전원 ON/OFF 작동 불가 &amp;</t>
  </si>
  <si>
    <t>(중간, 선미) 구리스 주입 불가 관련 점검</t>
  </si>
  <si>
    <t>보증 수리 사항</t>
  </si>
  <si>
    <t>7/28(월)</t>
  </si>
  <si>
    <t>용접 수정</t>
  </si>
  <si>
    <t>       250,000</t>
  </si>
  <si>
    <t>7/28(월)~</t>
  </si>
  <si>
    <t>7/29(화)</t>
  </si>
  <si>
    <t>WINCH 재설치 / 시운전 / FAT지원</t>
  </si>
  <si>
    <t>범양(최기추2)</t>
  </si>
  <si>
    <t>       500,000</t>
  </si>
  <si>
    <t>7/30(수)</t>
  </si>
  <si>
    <t>7/31(목)</t>
  </si>
  <si>
    <t>YN04/1566</t>
  </si>
  <si>
    <t>HH/PV/ER/ER</t>
  </si>
  <si>
    <t>    1,000,000</t>
  </si>
  <si>
    <t>5TON WHIGHT OVER LOAD 작동 TEST</t>
  </si>
  <si>
    <t>계약사항 - 30주 긴급지원</t>
  </si>
  <si>
    <t>보증 수리 사항 - 30주 긴급지원</t>
  </si>
  <si>
    <t>7/24(목)~</t>
  </si>
  <si>
    <t>결선 점검 / 검사 입회</t>
  </si>
  <si>
    <t>진진(2), 가야(1)</t>
  </si>
  <si>
    <t>       800,000</t>
  </si>
  <si>
    <t>(P)도킹루버헤드 교체 / (S) 카운터밸브 교체</t>
  </si>
  <si>
    <t>       300,000</t>
  </si>
  <si>
    <t>부산북항 마리나 디스펜서 설치현장</t>
  </si>
  <si>
    <t>부산항만</t>
  </si>
  <si>
    <t>AMP</t>
  </si>
  <si>
    <t>전기체크 및 시운전 (오전~)</t>
  </si>
  <si>
    <t>진진(1), 범양(1)</t>
  </si>
  <si>
    <t>       550,000</t>
  </si>
  <si>
    <t>보트 탑재 지원</t>
  </si>
  <si>
    <t>7/31(목)~</t>
  </si>
  <si>
    <t>8/2(토)</t>
  </si>
  <si>
    <t>P169</t>
  </si>
  <si>
    <t>HHD</t>
  </si>
  <si>
    <t>S.T.W (릴레이 추가 외)</t>
  </si>
  <si>
    <t>미정</t>
  </si>
  <si>
    <t>진진(3)</t>
  </si>
  <si>
    <t>       750,000</t>
  </si>
  <si>
    <t>8/6(수),8/8(금)</t>
  </si>
  <si>
    <t>ERC</t>
  </si>
  <si>
    <t>범양(최기추)(2)</t>
  </si>
  <si>
    <t>8/7(목)</t>
  </si>
  <si>
    <t>지그 도장 및 포장</t>
  </si>
  <si>
    <t>도장반 지원</t>
  </si>
  <si>
    <t>8/6(수),8/7(목),8/8(금),8/9(토)</t>
  </si>
  <si>
    <t>수정작업 및 설치</t>
  </si>
  <si>
    <t>HIO(5)</t>
  </si>
  <si>
    <t>8/6(수),8/9(토)</t>
  </si>
  <si>
    <t>도장 수정 및 포장</t>
  </si>
  <si>
    <t>8/6(수)</t>
  </si>
  <si>
    <t>OVERLOAD TEST</t>
  </si>
  <si>
    <t>진진</t>
  </si>
  <si>
    <t>8/8(금)</t>
  </si>
  <si>
    <t>왕건함</t>
  </si>
  <si>
    <t>(P) 작동유 수분유입 점검요청</t>
  </si>
  <si>
    <t>설치 기술지원</t>
  </si>
  <si>
    <t>CNM(1)</t>
  </si>
  <si>
    <t>8/9(토)</t>
  </si>
  <si>
    <t>8/11~12</t>
  </si>
  <si>
    <t>수출포장</t>
  </si>
  <si>
    <t>HIO</t>
  </si>
  <si>
    <t>8/11~16</t>
  </si>
  <si>
    <t>간섭부 수정, 시운전</t>
  </si>
  <si>
    <t>8/11~14</t>
  </si>
  <si>
    <t>범양(최기추)</t>
  </si>
  <si>
    <t>김해공장</t>
    <phoneticPr fontId="2" type="noConversion"/>
  </si>
  <si>
    <t>A/S</t>
    <phoneticPr fontId="2" type="noConversion"/>
  </si>
  <si>
    <t>인천항만</t>
  </si>
  <si>
    <t>IC02</t>
  </si>
  <si>
    <t>로드리미터 교체 (유상)</t>
  </si>
  <si>
    <t>-　</t>
  </si>
  <si>
    <t>범양</t>
  </si>
  <si>
    <t> 구매담당 발주 </t>
  </si>
  <si>
    <t>유상 A/S</t>
  </si>
  <si>
    <t>8/13(수)</t>
  </si>
  <si>
    <t>OT 검사입회 (휠하우스 조작 및 비상정지 시험) -AM 10시 평가-</t>
  </si>
  <si>
    <t>계약 사항</t>
  </si>
  <si>
    <t>8/14(목)</t>
  </si>
  <si>
    <t>ML/RB</t>
  </si>
  <si>
    <t>코멘트 조치</t>
  </si>
  <si>
    <t>우신</t>
  </si>
  <si>
    <t>락리미트 관련 회로 점검 
(열림 작동시 EMDP 작동 관련)</t>
    <phoneticPr fontId="2" type="noConversion"/>
  </si>
  <si>
    <t>코멘트 조치 및 검사준비</t>
    <phoneticPr fontId="2" type="noConversion"/>
  </si>
  <si>
    <t>광양
일반부두</t>
    <phoneticPr fontId="2" type="noConversion"/>
  </si>
  <si>
    <t>KC</t>
    <phoneticPr fontId="2" type="noConversion"/>
  </si>
  <si>
    <t>시동 OFF시 붐 처짐 현상 점검/조치</t>
    <phoneticPr fontId="2" type="noConversion"/>
  </si>
  <si>
    <t>RCS SCREEN 커미셔닝</t>
    <phoneticPr fontId="2" type="noConversion"/>
  </si>
  <si>
    <t>KT/RB</t>
    <phoneticPr fontId="2" type="noConversion"/>
  </si>
  <si>
    <t>8/18~22</t>
    <phoneticPr fontId="2" type="noConversion"/>
  </si>
  <si>
    <t>조립/설치/시운전</t>
    <phoneticPr fontId="2" type="noConversion"/>
  </si>
  <si>
    <t>범양(5)-최기추</t>
    <phoneticPr fontId="2" type="noConversion"/>
  </si>
  <si>
    <t>8/13~14</t>
    <phoneticPr fontId="2" type="noConversion"/>
  </si>
  <si>
    <t>Pully stand 전로/JB/센서 설치</t>
    <phoneticPr fontId="2" type="noConversion"/>
  </si>
  <si>
    <t>도면 변경</t>
    <phoneticPr fontId="2" type="noConversion"/>
  </si>
  <si>
    <t>8/20~21</t>
    <phoneticPr fontId="2" type="noConversion"/>
  </si>
  <si>
    <t>해상시운전 (1박2일)</t>
    <phoneticPr fontId="2" type="noConversion"/>
  </si>
  <si>
    <t>S202</t>
    <phoneticPr fontId="2" type="noConversion"/>
  </si>
  <si>
    <t>8/19~20</t>
    <phoneticPr fontId="2" type="noConversion"/>
  </si>
  <si>
    <t>8/21~22</t>
    <phoneticPr fontId="2" type="noConversion"/>
  </si>
  <si>
    <t>작동이상 점검 (8:30 해군의집)</t>
    <phoneticPr fontId="2" type="noConversion"/>
  </si>
  <si>
    <t>SSM RCS DOOR 기어이탈 및 녹발청 조치</t>
    <phoneticPr fontId="2" type="noConversion"/>
  </si>
  <si>
    <t>3017함(동해) 크레인 와이어 안전검사</t>
    <phoneticPr fontId="2" type="noConversion"/>
  </si>
  <si>
    <t>aux cranr 25톤 수정 작업</t>
    <phoneticPr fontId="2" type="noConversion"/>
  </si>
  <si>
    <t>코멘트사항 - 34주 긴급지원</t>
    <phoneticPr fontId="2" type="noConversion"/>
  </si>
  <si>
    <t>계약 사항 - 34주 긴급지원</t>
    <phoneticPr fontId="2" type="noConversion"/>
  </si>
  <si>
    <t>PV/CMR</t>
    <phoneticPr fontId="2" type="noConversion"/>
  </si>
  <si>
    <t>RSC/HHD</t>
  </si>
  <si>
    <t>코멘트사항</t>
    <phoneticPr fontId="2" type="noConversion"/>
  </si>
  <si>
    <t>SWN0290</t>
    <phoneticPr fontId="2" type="noConversion"/>
  </si>
  <si>
    <t>PA56</t>
    <phoneticPr fontId="2" type="noConversion"/>
  </si>
  <si>
    <t>L/cylinder 해체</t>
    <phoneticPr fontId="2" type="noConversion"/>
  </si>
  <si>
    <t>cylinder 설치</t>
    <phoneticPr fontId="2" type="noConversion"/>
  </si>
  <si>
    <t>8/25(월)~8/29(금)</t>
    <phoneticPr fontId="2" type="noConversion"/>
  </si>
  <si>
    <t>8/25(월)~8/27(수)</t>
    <phoneticPr fontId="2" type="noConversion"/>
  </si>
  <si>
    <t>8/28(목)~8/29(금)</t>
    <phoneticPr fontId="2" type="noConversion"/>
  </si>
  <si>
    <t>HIO(5)</t>
    <phoneticPr fontId="2" type="noConversion"/>
  </si>
  <si>
    <t>34주 지원내역</t>
    <phoneticPr fontId="2" type="noConversion"/>
  </si>
  <si>
    <t>검사지원/코멘트조치</t>
    <phoneticPr fontId="2" type="noConversion"/>
  </si>
  <si>
    <t>8/19일(화)~8/20(수)</t>
    <phoneticPr fontId="2" type="noConversion"/>
  </si>
  <si>
    <t>8/20일(수)~8/21(목)</t>
    <phoneticPr fontId="2" type="noConversion"/>
  </si>
  <si>
    <t>보트시트 현장 맞춤 작업 및 갭실측</t>
    <phoneticPr fontId="2" type="noConversion"/>
  </si>
  <si>
    <t>와이어 꼬임 조치</t>
    <phoneticPr fontId="2" type="noConversion"/>
  </si>
  <si>
    <t>정기보증수리</t>
    <phoneticPr fontId="2" type="noConversion"/>
  </si>
  <si>
    <t>구매담당발주</t>
    <phoneticPr fontId="2" type="noConversion"/>
  </si>
  <si>
    <t>Maker 결선 작업</t>
    <phoneticPr fontId="2" type="noConversion"/>
  </si>
  <si>
    <t>AS &amp; CLAIM 주간 조치 계획(2026년)</t>
    <phoneticPr fontId="2" type="noConversion"/>
  </si>
  <si>
    <t>6주</t>
    <phoneticPr fontId="2" type="noConversion"/>
  </si>
  <si>
    <t>7주</t>
    <phoneticPr fontId="2" type="noConversion"/>
  </si>
  <si>
    <t>인도전</t>
    <phoneticPr fontId="2" type="noConversion"/>
  </si>
  <si>
    <t>무상</t>
    <phoneticPr fontId="2" type="noConversion"/>
  </si>
  <si>
    <t>정명훈 010-4082-0210</t>
    <phoneticPr fontId="2" type="noConversion"/>
  </si>
  <si>
    <t>RCS</t>
    <phoneticPr fontId="2" type="noConversion"/>
  </si>
  <si>
    <t>RB</t>
    <phoneticPr fontId="2" type="noConversion"/>
  </si>
  <si>
    <t>RB/ML</t>
    <phoneticPr fontId="2" type="noConversion"/>
  </si>
  <si>
    <t>가야(1)</t>
    <phoneticPr fontId="2" type="noConversion"/>
  </si>
  <si>
    <t>1주</t>
    <phoneticPr fontId="2" type="noConversion"/>
  </si>
  <si>
    <t>P173</t>
    <phoneticPr fontId="2" type="noConversion"/>
  </si>
  <si>
    <t>ML</t>
    <phoneticPr fontId="2" type="noConversion"/>
  </si>
  <si>
    <t>박성용</t>
    <phoneticPr fontId="2" type="noConversion"/>
  </si>
  <si>
    <t>우신(1)</t>
    <phoneticPr fontId="2" type="noConversion"/>
  </si>
  <si>
    <t>무상</t>
    <phoneticPr fontId="2" type="noConversion"/>
  </si>
  <si>
    <t>출입신청서류,자재,그라인더,용접기? 챙기기
REPORT 전달 / 신동수선임님께 연락하기</t>
    <phoneticPr fontId="2" type="noConversion"/>
  </si>
  <si>
    <t>A/S</t>
    <phoneticPr fontId="2" type="noConversion"/>
  </si>
  <si>
    <t>인도전</t>
    <phoneticPr fontId="2" type="noConversion"/>
  </si>
  <si>
    <t>SKMT</t>
    <phoneticPr fontId="2" type="noConversion"/>
  </si>
  <si>
    <t>RCS</t>
    <phoneticPr fontId="2" type="noConversion"/>
  </si>
  <si>
    <t>진진(3)</t>
    <phoneticPr fontId="2" type="noConversion"/>
  </si>
  <si>
    <t>인도전</t>
    <phoneticPr fontId="2" type="noConversion"/>
  </si>
  <si>
    <t>SN2661</t>
    <phoneticPr fontId="2" type="noConversion"/>
  </si>
  <si>
    <t>SN2661</t>
    <phoneticPr fontId="2" type="noConversion"/>
  </si>
  <si>
    <t>LAC</t>
    <phoneticPr fontId="2" type="noConversion"/>
  </si>
  <si>
    <t>LAC</t>
    <phoneticPr fontId="2" type="noConversion"/>
  </si>
  <si>
    <t>우신(2),동아(3)</t>
    <phoneticPr fontId="2" type="noConversion"/>
  </si>
  <si>
    <t>김민수 su.kim@samsung.com
010-2440-4559
출입신청 하기/안전교육메일 보내기</t>
    <phoneticPr fontId="2" type="noConversion"/>
  </si>
  <si>
    <t>인도후</t>
    <phoneticPr fontId="2" type="noConversion"/>
  </si>
  <si>
    <t>진해해군</t>
    <phoneticPr fontId="2" type="noConversion"/>
  </si>
  <si>
    <t>A/S</t>
    <phoneticPr fontId="2" type="noConversion"/>
  </si>
  <si>
    <t>TC</t>
    <phoneticPr fontId="2" type="noConversion"/>
  </si>
  <si>
    <t>인도전</t>
    <phoneticPr fontId="2" type="noConversion"/>
  </si>
  <si>
    <t>GNN0017</t>
    <phoneticPr fontId="2" type="noConversion"/>
  </si>
  <si>
    <t>HHD</t>
    <phoneticPr fontId="2" type="noConversion"/>
  </si>
  <si>
    <t>박성용</t>
    <phoneticPr fontId="2" type="noConversion"/>
  </si>
  <si>
    <t>CNM(1)</t>
    <phoneticPr fontId="2" type="noConversion"/>
  </si>
  <si>
    <t>진해해군</t>
    <phoneticPr fontId="2" type="noConversion"/>
  </si>
  <si>
    <t>S099</t>
    <phoneticPr fontId="2" type="noConversion"/>
  </si>
  <si>
    <t>WC</t>
    <phoneticPr fontId="2" type="noConversion"/>
  </si>
  <si>
    <t>도지성</t>
    <phoneticPr fontId="2" type="noConversion"/>
  </si>
  <si>
    <t>무상</t>
    <phoneticPr fontId="2" type="noConversion"/>
  </si>
  <si>
    <t>9080</t>
    <phoneticPr fontId="2" type="noConversion"/>
  </si>
  <si>
    <t>출입신청완료
010-7395-1700 / 6급 박성민</t>
    <phoneticPr fontId="2" type="noConversion"/>
  </si>
  <si>
    <t>A/S</t>
    <phoneticPr fontId="2" type="noConversion"/>
  </si>
  <si>
    <t>GNN0017</t>
    <phoneticPr fontId="2" type="noConversion"/>
  </si>
  <si>
    <t>CNM(1)</t>
    <phoneticPr fontId="2" type="noConversion"/>
  </si>
  <si>
    <t>부산항
5부두</t>
    <phoneticPr fontId="2" type="noConversion"/>
  </si>
  <si>
    <t>SWN0284</t>
    <phoneticPr fontId="2" type="noConversion"/>
  </si>
  <si>
    <t>KT/RB</t>
    <phoneticPr fontId="2" type="noConversion"/>
  </si>
  <si>
    <t>무상</t>
    <phoneticPr fontId="2" type="noConversion"/>
  </si>
  <si>
    <t>RB</t>
    <phoneticPr fontId="2" type="noConversion"/>
  </si>
  <si>
    <t>주</t>
    <phoneticPr fontId="2" type="noConversion"/>
  </si>
  <si>
    <t>담당자</t>
    <phoneticPr fontId="2" type="noConversion"/>
  </si>
  <si>
    <t>유/무상</t>
    <phoneticPr fontId="2" type="noConversion"/>
  </si>
  <si>
    <t>차량</t>
    <phoneticPr fontId="2" type="noConversion"/>
  </si>
  <si>
    <t>출장인원</t>
    <phoneticPr fontId="2" type="noConversion"/>
  </si>
  <si>
    <t>직영연차</t>
    <phoneticPr fontId="2" type="noConversion"/>
  </si>
  <si>
    <t>비고</t>
    <phoneticPr fontId="2" type="noConversion"/>
  </si>
  <si>
    <t>2주</t>
    <phoneticPr fontId="2" type="noConversion"/>
  </si>
  <si>
    <t>A/S</t>
    <phoneticPr fontId="2" type="noConversion"/>
  </si>
  <si>
    <t>CNM(1),우신(5)</t>
    <phoneticPr fontId="2" type="noConversion"/>
  </si>
  <si>
    <t>무상</t>
    <phoneticPr fontId="2" type="noConversion"/>
  </si>
  <si>
    <t>장현환 책임 010-7103-9818
출입신청하기/교육신청하기</t>
    <phoneticPr fontId="2" type="noConversion"/>
  </si>
  <si>
    <t>포항신항만</t>
    <phoneticPr fontId="2" type="noConversion"/>
  </si>
  <si>
    <t>DK</t>
    <phoneticPr fontId="2" type="noConversion"/>
  </si>
  <si>
    <t>DST(1)</t>
    <phoneticPr fontId="2" type="noConversion"/>
  </si>
  <si>
    <t>인도전</t>
    <phoneticPr fontId="2" type="noConversion"/>
  </si>
  <si>
    <t>HHD</t>
    <phoneticPr fontId="2" type="noConversion"/>
  </si>
  <si>
    <t>CNM(1)</t>
    <phoneticPr fontId="2" type="noConversion"/>
  </si>
  <si>
    <t>SWN0283
(무궁화42호)</t>
    <phoneticPr fontId="2" type="noConversion"/>
  </si>
  <si>
    <t>53주</t>
    <phoneticPr fontId="2" type="noConversion"/>
  </si>
  <si>
    <t>A/S</t>
    <phoneticPr fontId="2" type="noConversion"/>
  </si>
  <si>
    <t>HJSC</t>
    <phoneticPr fontId="2" type="noConversion"/>
  </si>
  <si>
    <t>S205</t>
    <phoneticPr fontId="2" type="noConversion"/>
  </si>
  <si>
    <t>KT</t>
    <phoneticPr fontId="2" type="noConversion"/>
  </si>
  <si>
    <t>근접리미트 설치 및 결선</t>
    <phoneticPr fontId="2" type="noConversion"/>
  </si>
  <si>
    <t>우신(1),범양(1)</t>
    <phoneticPr fontId="2" type="noConversion"/>
  </si>
  <si>
    <t>장유승</t>
    <phoneticPr fontId="2" type="noConversion"/>
  </si>
  <si>
    <t>김지훈 부장님  010-2997-6258
출입신청완료(장충효 차장님)</t>
    <phoneticPr fontId="2" type="noConversion"/>
  </si>
  <si>
    <t>인도전</t>
    <phoneticPr fontId="2" type="noConversion"/>
  </si>
  <si>
    <t>SN2661</t>
    <phoneticPr fontId="2" type="noConversion"/>
  </si>
  <si>
    <t>탑재</t>
    <phoneticPr fontId="2" type="noConversion"/>
  </si>
  <si>
    <t>P169</t>
    <phoneticPr fontId="2" type="noConversion"/>
  </si>
  <si>
    <t>코멘트 작업</t>
    <phoneticPr fontId="2" type="noConversion"/>
  </si>
  <si>
    <t>CNM(2),우신(2),동아(1)</t>
    <phoneticPr fontId="2" type="noConversion"/>
  </si>
  <si>
    <t>이재양책임님  010-8906-0921
출입신청완료 , REPORT, 출입서류 전달하기</t>
    <phoneticPr fontId="2" type="noConversion"/>
  </si>
  <si>
    <r>
      <rPr>
        <b/>
        <sz val="9"/>
        <color rgb="FF000000"/>
        <rFont val="돋움"/>
        <family val="3"/>
        <charset val="129"/>
      </rPr>
      <t>비용청구</t>
    </r>
    <r>
      <rPr>
        <b/>
        <sz val="9"/>
        <color rgb="FF000000"/>
        <rFont val="Arial"/>
        <family val="2"/>
      </rPr>
      <t xml:space="preserve"> X</t>
    </r>
    <phoneticPr fontId="2" type="noConversion"/>
  </si>
  <si>
    <t>RB/KT</t>
    <phoneticPr fontId="2" type="noConversion"/>
  </si>
  <si>
    <r>
      <t xml:space="preserve">BOAT DAVIT 인수 시운전 작동 / 근접리미트 결선
</t>
    </r>
    <r>
      <rPr>
        <b/>
        <sz val="10"/>
        <color theme="1"/>
        <rFont val="맑은 고딕"/>
        <family val="3"/>
        <charset val="129"/>
        <scheme val="minor"/>
      </rPr>
      <t>9시 승선</t>
    </r>
    <phoneticPr fontId="2" type="noConversion"/>
  </si>
  <si>
    <t>박성용</t>
    <phoneticPr fontId="2" type="noConversion"/>
  </si>
  <si>
    <t>범양(1)</t>
    <phoneticPr fontId="2" type="noConversion"/>
  </si>
  <si>
    <t>김지훈 부장님  010-2997-6258
출입신청완료(한달) / REPORT 전달</t>
    <phoneticPr fontId="2" type="noConversion"/>
  </si>
  <si>
    <t>SHI</t>
    <phoneticPr fontId="2" type="noConversion"/>
  </si>
  <si>
    <t>LAC</t>
    <phoneticPr fontId="2" type="noConversion"/>
  </si>
  <si>
    <t>이시맥,박주성</t>
    <phoneticPr fontId="2" type="noConversion"/>
  </si>
  <si>
    <t xml:space="preserve">선장부 선장2과 박은식 프로(페데스탈)
010-5461-9345 </t>
    <phoneticPr fontId="2" type="noConversion"/>
  </si>
  <si>
    <r>
      <t xml:space="preserve">UP LIMIT 문제(TOUCH BAR 조절)/로드리미터 점검
</t>
    </r>
    <r>
      <rPr>
        <b/>
        <strike/>
        <sz val="10"/>
        <color theme="1"/>
        <rFont val="맑은 고딕"/>
        <family val="3"/>
        <charset val="129"/>
        <scheme val="minor"/>
      </rPr>
      <t>해군의집 시간 : 8:30 / 드릴필요함 / 접지장비</t>
    </r>
    <phoneticPr fontId="2" type="noConversion"/>
  </si>
  <si>
    <t>신한(1),우신(1)</t>
    <phoneticPr fontId="2" type="noConversion"/>
  </si>
  <si>
    <t>장신후 중사 010-5067-9827
12/30~31중 요청옴/출입신청완료</t>
    <phoneticPr fontId="2" type="noConversion"/>
  </si>
  <si>
    <t>CNM(1),동아(1)</t>
    <phoneticPr fontId="2" type="noConversion"/>
  </si>
  <si>
    <t>장현환 책임 010-7103-9818
12/29~31일 ,출입,교육신청 완료
REPORT 확인(서명 포함)</t>
    <phoneticPr fontId="2" type="noConversion"/>
  </si>
  <si>
    <t>CNM만 청구</t>
    <phoneticPr fontId="2" type="noConversion"/>
  </si>
  <si>
    <t>실린더 배관 PIPE 소음 작업
(8시 승선)</t>
    <phoneticPr fontId="2" type="noConversion"/>
  </si>
  <si>
    <t>무상</t>
    <phoneticPr fontId="2" type="noConversion"/>
  </si>
  <si>
    <t>인도전</t>
    <phoneticPr fontId="2" type="noConversion"/>
  </si>
  <si>
    <t>S205</t>
    <phoneticPr fontId="2" type="noConversion"/>
  </si>
  <si>
    <t>좌현 라이트 단선으로 인하여 교체</t>
    <phoneticPr fontId="2" type="noConversion"/>
  </si>
  <si>
    <t>김지훈 부장님  010-2997-6258
출입신청 완료</t>
    <phoneticPr fontId="2" type="noConversion"/>
  </si>
  <si>
    <t>명판 부착 작업</t>
    <phoneticPr fontId="2" type="noConversion"/>
  </si>
  <si>
    <t>성동</t>
    <phoneticPr fontId="2" type="noConversion"/>
  </si>
  <si>
    <t>성동</t>
    <phoneticPr fontId="2" type="noConversion"/>
  </si>
  <si>
    <t>교육</t>
    <phoneticPr fontId="2" type="noConversion"/>
  </si>
  <si>
    <t>동아(1),범양(1),
HIO(1)</t>
    <phoneticPr fontId="2" type="noConversion"/>
  </si>
  <si>
    <t>양혜성 책임 010 9928 1358
출입신청/교육신청해야함</t>
    <phoneticPr fontId="2" type="noConversion"/>
  </si>
  <si>
    <t>신정</t>
    <phoneticPr fontId="2" type="noConversion"/>
  </si>
  <si>
    <t>A/S</t>
    <phoneticPr fontId="2" type="noConversion"/>
  </si>
  <si>
    <t>KN</t>
    <phoneticPr fontId="2" type="noConversion"/>
  </si>
  <si>
    <t>시운전
(8시까지 도착)</t>
    <phoneticPr fontId="2" type="noConversion"/>
  </si>
  <si>
    <t>탁현종 과장 010-9317-7637
Report 전달 / 출입자 명단 보냄</t>
    <phoneticPr fontId="2" type="noConversion"/>
  </si>
  <si>
    <t>반출예정(김해공장)
(1시 30분 해군의집)</t>
    <phoneticPr fontId="2" type="noConversion"/>
  </si>
  <si>
    <t>출입신청완료
010-7395-1700 / 6급 박성민</t>
    <phoneticPr fontId="2" type="noConversion"/>
  </si>
  <si>
    <t>ERC</t>
    <phoneticPr fontId="2" type="noConversion"/>
  </si>
  <si>
    <t>52주 - 긴급지원</t>
    <phoneticPr fontId="2" type="noConversion"/>
  </si>
  <si>
    <t>P179</t>
    <phoneticPr fontId="2" type="noConversion"/>
  </si>
  <si>
    <t>점검</t>
    <phoneticPr fontId="2" type="noConversion"/>
  </si>
  <si>
    <t>동아(1),범양(1)</t>
    <phoneticPr fontId="2" type="noConversion"/>
  </si>
  <si>
    <t>WIRE ROPE GUIDE 위치 이동 설치 및 RAMP 점검</t>
    <phoneticPr fontId="2" type="noConversion"/>
  </si>
  <si>
    <t>시운전</t>
    <phoneticPr fontId="2" type="noConversion"/>
  </si>
  <si>
    <t>동아(1),범양(1),
HIO(1)</t>
    <phoneticPr fontId="2" type="noConversion"/>
  </si>
  <si>
    <t>WC</t>
    <phoneticPr fontId="2" type="noConversion"/>
  </si>
  <si>
    <t>박성용,유상신,이시맥
,박해식,송영국,유봉현</t>
    <phoneticPr fontId="2" type="noConversion"/>
  </si>
  <si>
    <t>동아(1)</t>
    <phoneticPr fontId="2" type="noConversion"/>
  </si>
  <si>
    <t>김지훈 부장님  010-2997-6258
출입신청 완료</t>
    <phoneticPr fontId="2" type="noConversion"/>
  </si>
  <si>
    <t>입고 예정</t>
    <phoneticPr fontId="2" type="noConversion"/>
  </si>
  <si>
    <t>코멘트사항</t>
    <phoneticPr fontId="2" type="noConversion"/>
  </si>
  <si>
    <t>보증수리사항</t>
    <phoneticPr fontId="2" type="noConversion"/>
  </si>
  <si>
    <t>코멘트사항</t>
    <phoneticPr fontId="2" type="noConversion"/>
  </si>
  <si>
    <t>조립</t>
    <phoneticPr fontId="2" type="noConversion"/>
  </si>
  <si>
    <t>P179</t>
  </si>
  <si>
    <t>포장</t>
    <phoneticPr fontId="2" type="noConversion"/>
  </si>
  <si>
    <t>CNM(2)</t>
    <phoneticPr fontId="2" type="noConversion"/>
  </si>
  <si>
    <t>010-4820-0037 김요한 갑판장님
출입신청 / 작업 결과 확인하기</t>
    <phoneticPr fontId="2" type="noConversion"/>
  </si>
  <si>
    <t>장현환 책임 010-7103-9818
출입신청하기/교육신청확인</t>
    <phoneticPr fontId="2" type="noConversion"/>
  </si>
  <si>
    <t>제주해경</t>
    <phoneticPr fontId="2" type="noConversion"/>
  </si>
  <si>
    <t>A/S</t>
    <phoneticPr fontId="2" type="noConversion"/>
  </si>
  <si>
    <t>인도후</t>
    <phoneticPr fontId="2" type="noConversion"/>
  </si>
  <si>
    <t>RB</t>
    <phoneticPr fontId="2" type="noConversion"/>
  </si>
  <si>
    <t>진진(2)</t>
    <phoneticPr fontId="2" type="noConversion"/>
  </si>
  <si>
    <t>덴소 테이핑작업,KT RUBBER 파손 교체 /
DAVIT 하부 RUBBER 파손 점검</t>
    <phoneticPr fontId="2" type="noConversion"/>
  </si>
  <si>
    <t>김해공장</t>
    <phoneticPr fontId="2" type="noConversion"/>
  </si>
  <si>
    <t>9/1~9/3</t>
    <phoneticPr fontId="2" type="noConversion"/>
  </si>
  <si>
    <t>9/1~9/3</t>
    <phoneticPr fontId="2" type="noConversion"/>
  </si>
  <si>
    <t>TNG026</t>
    <phoneticPr fontId="2" type="noConversion"/>
  </si>
  <si>
    <t>RB</t>
    <phoneticPr fontId="2" type="noConversion"/>
  </si>
  <si>
    <t>포장 지원</t>
    <phoneticPr fontId="2" type="noConversion"/>
  </si>
  <si>
    <t>이광형</t>
    <phoneticPr fontId="2" type="noConversion"/>
  </si>
  <si>
    <t>9/4~9/5</t>
    <phoneticPr fontId="2" type="noConversion"/>
  </si>
  <si>
    <t>P178</t>
    <phoneticPr fontId="2" type="noConversion"/>
  </si>
  <si>
    <t>HOC</t>
    <phoneticPr fontId="2" type="noConversion"/>
  </si>
  <si>
    <t>포장 지원</t>
    <phoneticPr fontId="2" type="noConversion"/>
  </si>
  <si>
    <t>9/1~9/5</t>
    <phoneticPr fontId="2" type="noConversion"/>
  </si>
  <si>
    <t>P178</t>
    <phoneticPr fontId="2" type="noConversion"/>
  </si>
  <si>
    <t>조립</t>
    <phoneticPr fontId="2" type="noConversion"/>
  </si>
  <si>
    <t>HIO(5)</t>
    <phoneticPr fontId="2" type="noConversion"/>
  </si>
  <si>
    <t>PA56</t>
    <phoneticPr fontId="2" type="noConversion"/>
  </si>
  <si>
    <t>설치/시운전</t>
    <phoneticPr fontId="2" type="noConversion"/>
  </si>
  <si>
    <t>이광형</t>
    <phoneticPr fontId="2" type="noConversion"/>
  </si>
  <si>
    <t>범양(3)-최기추</t>
    <phoneticPr fontId="2" type="noConversion"/>
  </si>
  <si>
    <t>PA57</t>
    <phoneticPr fontId="2" type="noConversion"/>
  </si>
  <si>
    <t>범양(2)-최기추</t>
    <phoneticPr fontId="2" type="noConversion"/>
  </si>
  <si>
    <t>A/S</t>
    <phoneticPr fontId="2" type="noConversion"/>
  </si>
  <si>
    <t>인도전</t>
    <phoneticPr fontId="2" type="noConversion"/>
  </si>
  <si>
    <t>H7064</t>
    <phoneticPr fontId="2" type="noConversion"/>
  </si>
  <si>
    <t>BR</t>
    <phoneticPr fontId="2" type="noConversion"/>
  </si>
  <si>
    <t>감김 동작 불능 조치</t>
    <phoneticPr fontId="2" type="noConversion"/>
  </si>
  <si>
    <t>동아(1)</t>
    <phoneticPr fontId="2" type="noConversion"/>
  </si>
  <si>
    <t>무상</t>
    <phoneticPr fontId="2" type="noConversion"/>
  </si>
  <si>
    <t>구매부서발주</t>
    <phoneticPr fontId="2" type="noConversion"/>
  </si>
  <si>
    <t>코멘트사항 - 35주 긴급지원</t>
    <phoneticPr fontId="2" type="noConversion"/>
  </si>
  <si>
    <t>8/30(토)</t>
    <phoneticPr fontId="2" type="noConversion"/>
  </si>
  <si>
    <t>SHI</t>
    <phoneticPr fontId="2" type="noConversion"/>
  </si>
  <si>
    <t>SN2619</t>
    <phoneticPr fontId="2" type="noConversion"/>
  </si>
  <si>
    <t>PV/HH</t>
    <phoneticPr fontId="2" type="noConversion"/>
  </si>
  <si>
    <t>드레인 벨브 누유</t>
    <phoneticPr fontId="2" type="noConversion"/>
  </si>
  <si>
    <t>우신(2)</t>
    <phoneticPr fontId="2" type="noConversion"/>
  </si>
  <si>
    <t>계약사항 - 35주 긴급지원</t>
    <phoneticPr fontId="2" type="noConversion"/>
  </si>
  <si>
    <t>SKMT</t>
    <phoneticPr fontId="2" type="noConversion"/>
  </si>
  <si>
    <t>GNN0017</t>
    <phoneticPr fontId="2" type="noConversion"/>
  </si>
  <si>
    <t>RD</t>
    <phoneticPr fontId="2" type="noConversion"/>
  </si>
  <si>
    <t>고속단정 받침대(FENDER)부분 수정
(Bolt&amp;Pad 자재 챙길 것)</t>
    <phoneticPr fontId="2" type="noConversion"/>
  </si>
  <si>
    <t>박성용</t>
    <phoneticPr fontId="2" type="noConversion"/>
  </si>
  <si>
    <t>HIO(1)</t>
    <phoneticPr fontId="2" type="noConversion"/>
  </si>
  <si>
    <t>HJSC</t>
    <phoneticPr fontId="2" type="noConversion"/>
  </si>
  <si>
    <t>S205</t>
    <phoneticPr fontId="2" type="noConversion"/>
  </si>
  <si>
    <t>KT/RB</t>
    <phoneticPr fontId="2" type="noConversion"/>
  </si>
  <si>
    <t>DECK CRANE STW 및 작동 검사 /
 DAVIT STW 및 작동 검사</t>
    <phoneticPr fontId="2" type="noConversion"/>
  </si>
  <si>
    <t>박성용,고태용</t>
    <phoneticPr fontId="2" type="noConversion"/>
  </si>
  <si>
    <t>우신(1)</t>
    <phoneticPr fontId="2" type="noConversion"/>
  </si>
  <si>
    <t>계약사항</t>
    <phoneticPr fontId="2" type="noConversion"/>
  </si>
  <si>
    <t>S204/S205</t>
    <phoneticPr fontId="2" type="noConversion"/>
  </si>
  <si>
    <t xml:space="preserve"> 휠하우스 결선 바뀜 수정 / 
S205 라인 및 기능 체크</t>
    <phoneticPr fontId="2" type="noConversion"/>
  </si>
  <si>
    <t>코멘트사항</t>
    <phoneticPr fontId="2" type="noConversion"/>
  </si>
  <si>
    <t>KT</t>
    <phoneticPr fontId="2" type="noConversion"/>
  </si>
  <si>
    <t>검사 입회</t>
    <phoneticPr fontId="2" type="noConversion"/>
  </si>
  <si>
    <t>김해공장</t>
    <phoneticPr fontId="2" type="noConversion"/>
  </si>
  <si>
    <t>9/8~9/12</t>
    <phoneticPr fontId="2" type="noConversion"/>
  </si>
  <si>
    <t>ERC</t>
    <phoneticPr fontId="2" type="noConversion"/>
  </si>
  <si>
    <t>HIO(5)</t>
    <phoneticPr fontId="2" type="noConversion"/>
  </si>
  <si>
    <t>9/8~9/12</t>
    <phoneticPr fontId="2" type="noConversion"/>
  </si>
  <si>
    <t>P178</t>
    <phoneticPr fontId="2" type="noConversion"/>
  </si>
  <si>
    <t>HIO(5)</t>
    <phoneticPr fontId="2" type="noConversion"/>
  </si>
  <si>
    <t>9/8~9/10</t>
    <phoneticPr fontId="2" type="noConversion"/>
  </si>
  <si>
    <t>YN05</t>
    <phoneticPr fontId="2" type="noConversion"/>
  </si>
  <si>
    <t>YN05</t>
    <phoneticPr fontId="2" type="noConversion"/>
  </si>
  <si>
    <t>설치/시운전/조립</t>
    <phoneticPr fontId="2" type="noConversion"/>
  </si>
  <si>
    <t>범양(3)-최기추</t>
    <phoneticPr fontId="2" type="noConversion"/>
  </si>
  <si>
    <t>9/11~9/12</t>
    <phoneticPr fontId="2" type="noConversion"/>
  </si>
  <si>
    <t>P173</t>
    <phoneticPr fontId="2" type="noConversion"/>
  </si>
  <si>
    <t>ML</t>
    <phoneticPr fontId="2" type="noConversion"/>
  </si>
  <si>
    <t>설치/시운전</t>
    <phoneticPr fontId="2" type="noConversion"/>
  </si>
  <si>
    <t>이광형</t>
    <phoneticPr fontId="2" type="noConversion"/>
  </si>
  <si>
    <t>범양(2)-최기추</t>
    <phoneticPr fontId="2" type="noConversion"/>
  </si>
  <si>
    <t>A/S</t>
    <phoneticPr fontId="2" type="noConversion"/>
  </si>
  <si>
    <t>A/S</t>
    <phoneticPr fontId="2" type="noConversion"/>
  </si>
  <si>
    <t>인도전</t>
    <phoneticPr fontId="2" type="noConversion"/>
  </si>
  <si>
    <t>HJSC</t>
    <phoneticPr fontId="2" type="noConversion"/>
  </si>
  <si>
    <t>RB</t>
    <phoneticPr fontId="2" type="noConversion"/>
  </si>
  <si>
    <t>DECK CRANE STW 및 작동 검사 /
 DAVIT STW 및 작동 검사</t>
    <phoneticPr fontId="2" type="noConversion"/>
  </si>
  <si>
    <t>박성용</t>
    <phoneticPr fontId="2" type="noConversion"/>
  </si>
  <si>
    <t>DST(1)</t>
    <phoneticPr fontId="2" type="noConversion"/>
  </si>
  <si>
    <t>무상</t>
    <phoneticPr fontId="2" type="noConversion"/>
  </si>
  <si>
    <t>구매부서발주</t>
    <phoneticPr fontId="2" type="noConversion"/>
  </si>
  <si>
    <t>코멘트사항 - 36주 긴급지원</t>
    <phoneticPr fontId="2" type="noConversion"/>
  </si>
  <si>
    <t>인도전</t>
    <phoneticPr fontId="2" type="noConversion"/>
  </si>
  <si>
    <t>SW</t>
    <phoneticPr fontId="2" type="noConversion"/>
  </si>
  <si>
    <t>SWN0283</t>
    <phoneticPr fontId="2" type="noConversion"/>
  </si>
  <si>
    <t>RB</t>
    <phoneticPr fontId="2" type="noConversion"/>
  </si>
  <si>
    <t>코멘트 작업(군산항 2부두 23번 선적)6.5T/9T</t>
    <phoneticPr fontId="2" type="noConversion"/>
  </si>
  <si>
    <r>
      <rPr>
        <sz val="10"/>
        <color rgb="FF000000"/>
        <rFont val="돋움"/>
        <family val="3"/>
        <charset val="129"/>
      </rPr>
      <t>우신</t>
    </r>
    <r>
      <rPr>
        <sz val="10"/>
        <color rgb="FF000000"/>
        <rFont val="Arial"/>
        <family val="3"/>
        <charset val="129"/>
      </rPr>
      <t>(1)</t>
    </r>
    <phoneticPr fontId="2" type="noConversion"/>
  </si>
  <si>
    <t>A/S</t>
    <phoneticPr fontId="2" type="noConversion"/>
  </si>
  <si>
    <t>인도전</t>
    <phoneticPr fontId="2" type="noConversion"/>
  </si>
  <si>
    <t>HOC</t>
    <phoneticPr fontId="2" type="noConversion"/>
  </si>
  <si>
    <t>H7064</t>
    <phoneticPr fontId="2" type="noConversion"/>
  </si>
  <si>
    <t>BR</t>
    <phoneticPr fontId="2" type="noConversion"/>
  </si>
  <si>
    <t>전체 라인 CHECK 및 동작 TEST</t>
    <phoneticPr fontId="2" type="noConversion"/>
  </si>
  <si>
    <t>동아JT</t>
    <phoneticPr fontId="2" type="noConversion"/>
  </si>
  <si>
    <t>무상</t>
    <phoneticPr fontId="2" type="noConversion"/>
  </si>
  <si>
    <t>구매부서발주</t>
    <phoneticPr fontId="2" type="noConversion"/>
  </si>
  <si>
    <t>코멘트사항 - 36주 긴급지원</t>
    <phoneticPr fontId="2" type="noConversion"/>
  </si>
  <si>
    <t>A/S</t>
    <phoneticPr fontId="2" type="noConversion"/>
  </si>
  <si>
    <t>SKMT</t>
    <phoneticPr fontId="2" type="noConversion"/>
  </si>
  <si>
    <t>HHD</t>
    <phoneticPr fontId="2" type="noConversion"/>
  </si>
  <si>
    <t>코멘트 조치</t>
    <phoneticPr fontId="2" type="noConversion"/>
  </si>
  <si>
    <t>우신(1)</t>
    <phoneticPr fontId="2" type="noConversion"/>
  </si>
  <si>
    <t>코멘트사항 - 36주 긴급지원</t>
    <phoneticPr fontId="2" type="noConversion"/>
  </si>
  <si>
    <t>인도전</t>
    <phoneticPr fontId="2" type="noConversion"/>
  </si>
  <si>
    <t>RD</t>
    <phoneticPr fontId="2" type="noConversion"/>
  </si>
  <si>
    <t>Cradle Sheet P.E PAD 설치예정</t>
    <phoneticPr fontId="2" type="noConversion"/>
  </si>
  <si>
    <t>박성용</t>
    <phoneticPr fontId="2" type="noConversion"/>
  </si>
  <si>
    <t>HIO(1)</t>
    <phoneticPr fontId="2" type="noConversion"/>
  </si>
  <si>
    <t>무상</t>
    <phoneticPr fontId="2" type="noConversion"/>
  </si>
  <si>
    <t>S205</t>
    <phoneticPr fontId="2" type="noConversion"/>
  </si>
  <si>
    <t>RB</t>
    <phoneticPr fontId="2" type="noConversion"/>
  </si>
  <si>
    <t>검사 준비</t>
    <phoneticPr fontId="2" type="noConversion"/>
  </si>
  <si>
    <t>DST(1)</t>
    <phoneticPr fontId="2" type="noConversion"/>
  </si>
  <si>
    <t>계약사항 / DST-구매부서발주</t>
    <phoneticPr fontId="2" type="noConversion"/>
  </si>
  <si>
    <t>HOC</t>
    <phoneticPr fontId="2" type="noConversion"/>
  </si>
  <si>
    <t>H7064</t>
    <phoneticPr fontId="2" type="noConversion"/>
  </si>
  <si>
    <t>BR</t>
    <phoneticPr fontId="2" type="noConversion"/>
  </si>
  <si>
    <t>로드셀 인디게이터 설치</t>
    <phoneticPr fontId="2" type="noConversion"/>
  </si>
  <si>
    <t>우신(2)</t>
    <phoneticPr fontId="2" type="noConversion"/>
  </si>
  <si>
    <t>HJSC</t>
    <phoneticPr fontId="2" type="noConversion"/>
  </si>
  <si>
    <t>S205</t>
    <phoneticPr fontId="2" type="noConversion"/>
  </si>
  <si>
    <t>검사 준비</t>
    <phoneticPr fontId="2" type="noConversion"/>
  </si>
  <si>
    <t>우신(2)</t>
    <phoneticPr fontId="2" type="noConversion"/>
  </si>
  <si>
    <t>무상</t>
    <phoneticPr fontId="2" type="noConversion"/>
  </si>
  <si>
    <t>계약사항</t>
    <phoneticPr fontId="2" type="noConversion"/>
  </si>
  <si>
    <t>A/S</t>
    <phoneticPr fontId="2" type="noConversion"/>
  </si>
  <si>
    <t>인도전</t>
    <phoneticPr fontId="2" type="noConversion"/>
  </si>
  <si>
    <t>HJSC</t>
    <phoneticPr fontId="2" type="noConversion"/>
  </si>
  <si>
    <t>RB</t>
    <phoneticPr fontId="2" type="noConversion"/>
  </si>
  <si>
    <t>검사 준비(화기작업)</t>
    <phoneticPr fontId="2" type="noConversion"/>
  </si>
  <si>
    <t>박주성</t>
    <phoneticPr fontId="2" type="noConversion"/>
  </si>
  <si>
    <t>진진(4)</t>
    <phoneticPr fontId="2" type="noConversion"/>
  </si>
  <si>
    <t>계약사항</t>
    <phoneticPr fontId="2" type="noConversion"/>
  </si>
  <si>
    <t>인도전</t>
    <phoneticPr fontId="2" type="noConversion"/>
  </si>
  <si>
    <t>HJSC</t>
    <phoneticPr fontId="2" type="noConversion"/>
  </si>
  <si>
    <t>S205</t>
    <phoneticPr fontId="2" type="noConversion"/>
  </si>
  <si>
    <t>검사 준비</t>
    <phoneticPr fontId="2" type="noConversion"/>
  </si>
  <si>
    <t>우신(1)</t>
    <phoneticPr fontId="2" type="noConversion"/>
  </si>
  <si>
    <t>무상</t>
    <phoneticPr fontId="2" type="noConversion"/>
  </si>
  <si>
    <t>A/S</t>
    <phoneticPr fontId="2" type="noConversion"/>
  </si>
  <si>
    <t>인도전</t>
    <phoneticPr fontId="2" type="noConversion"/>
  </si>
  <si>
    <t>우신(1)</t>
    <phoneticPr fontId="2" type="noConversion"/>
  </si>
  <si>
    <t>계약사항</t>
    <phoneticPr fontId="2" type="noConversion"/>
  </si>
  <si>
    <t>9/15
9/17~9/19</t>
    <phoneticPr fontId="2" type="noConversion"/>
  </si>
  <si>
    <t>ERC</t>
    <phoneticPr fontId="2" type="noConversion"/>
  </si>
  <si>
    <t>이광형</t>
    <phoneticPr fontId="2" type="noConversion"/>
  </si>
  <si>
    <t>9/15~9/19</t>
    <phoneticPr fontId="2" type="noConversion"/>
  </si>
  <si>
    <t>P173</t>
    <phoneticPr fontId="2" type="noConversion"/>
  </si>
  <si>
    <t>설치/시운전</t>
    <phoneticPr fontId="2" type="noConversion"/>
  </si>
  <si>
    <t>이광형</t>
    <phoneticPr fontId="2" type="noConversion"/>
  </si>
  <si>
    <t>범양(5)-최기추</t>
    <phoneticPr fontId="2" type="noConversion"/>
  </si>
  <si>
    <t>A/S</t>
    <phoneticPr fontId="2" type="noConversion"/>
  </si>
  <si>
    <t>HJSC</t>
    <phoneticPr fontId="2" type="noConversion"/>
  </si>
  <si>
    <t>판넬 소스 램프 작동 체크 및 
비상엔진 내부 결선 누락</t>
    <phoneticPr fontId="2" type="noConversion"/>
  </si>
  <si>
    <t>가야(1)</t>
    <phoneticPr fontId="2" type="noConversion"/>
  </si>
  <si>
    <t>구매부서발주</t>
    <phoneticPr fontId="2" type="noConversion"/>
  </si>
  <si>
    <t>코멘트사항 - 37주 긴급지원</t>
    <phoneticPr fontId="2" type="noConversion"/>
  </si>
  <si>
    <t>S205</t>
    <phoneticPr fontId="2" type="noConversion"/>
  </si>
  <si>
    <t>검사 입회</t>
    <phoneticPr fontId="2" type="noConversion"/>
  </si>
  <si>
    <t>박성용</t>
    <phoneticPr fontId="2" type="noConversion"/>
  </si>
  <si>
    <t>DST(1)</t>
    <phoneticPr fontId="2" type="noConversion"/>
  </si>
  <si>
    <t>무상</t>
    <phoneticPr fontId="2" type="noConversion"/>
  </si>
  <si>
    <t>코멘트사항 - 37주 긴급지원</t>
    <phoneticPr fontId="2" type="noConversion"/>
  </si>
  <si>
    <t>인도전</t>
    <phoneticPr fontId="2" type="noConversion"/>
  </si>
  <si>
    <t>진해해군</t>
    <phoneticPr fontId="2" type="noConversion"/>
  </si>
  <si>
    <t>이순신함</t>
    <phoneticPr fontId="2" type="noConversion"/>
  </si>
  <si>
    <t>RB</t>
    <phoneticPr fontId="2" type="noConversion"/>
  </si>
  <si>
    <t>조종기 누수로 인한 작동불가 조치</t>
    <phoneticPr fontId="2" type="noConversion"/>
  </si>
  <si>
    <t>동아(1)</t>
    <phoneticPr fontId="2" type="noConversion"/>
  </si>
  <si>
    <t>무상</t>
    <phoneticPr fontId="2" type="noConversion"/>
  </si>
  <si>
    <t>구매부서발주</t>
    <phoneticPr fontId="2" type="noConversion"/>
  </si>
  <si>
    <t>코멘트사항 - 37주 긴급지원</t>
    <phoneticPr fontId="2" type="noConversion"/>
  </si>
  <si>
    <t>9/15~9/19</t>
    <phoneticPr fontId="2" type="noConversion"/>
  </si>
  <si>
    <t>인도후</t>
    <phoneticPr fontId="2" type="noConversion"/>
  </si>
  <si>
    <t>독도함</t>
    <phoneticPr fontId="2" type="noConversion"/>
  </si>
  <si>
    <t>독도함</t>
    <phoneticPr fontId="2" type="noConversion"/>
  </si>
  <si>
    <t>계선기 해체작업</t>
    <phoneticPr fontId="2" type="noConversion"/>
  </si>
  <si>
    <t>HIO(9)</t>
    <phoneticPr fontId="2" type="noConversion"/>
  </si>
  <si>
    <t>인도후</t>
    <phoneticPr fontId="2" type="noConversion"/>
  </si>
  <si>
    <t>광양항</t>
    <phoneticPr fontId="2" type="noConversion"/>
  </si>
  <si>
    <t>S192</t>
    <phoneticPr fontId="2" type="noConversion"/>
  </si>
  <si>
    <t>DC</t>
    <phoneticPr fontId="2" type="noConversion"/>
  </si>
  <si>
    <t>로드셀 컨트롤러 점검</t>
    <phoneticPr fontId="2" type="noConversion"/>
  </si>
  <si>
    <t>가야기전(1),
신한전자(1)</t>
    <phoneticPr fontId="2" type="noConversion"/>
  </si>
  <si>
    <t>무상</t>
    <phoneticPr fontId="2" type="noConversion"/>
  </si>
  <si>
    <t>구매부서발주</t>
    <phoneticPr fontId="2" type="noConversion"/>
  </si>
  <si>
    <t>코멘트사항</t>
    <phoneticPr fontId="2" type="noConversion"/>
  </si>
  <si>
    <t>진진(2)</t>
    <phoneticPr fontId="2" type="noConversion"/>
  </si>
  <si>
    <t>코멘트사항</t>
    <phoneticPr fontId="2" type="noConversion"/>
  </si>
  <si>
    <t>9/16~9/17</t>
    <phoneticPr fontId="2" type="noConversion"/>
  </si>
  <si>
    <t>SKMT</t>
    <phoneticPr fontId="2" type="noConversion"/>
  </si>
  <si>
    <t>ML</t>
    <phoneticPr fontId="2" type="noConversion"/>
  </si>
  <si>
    <t>설치</t>
    <phoneticPr fontId="2" type="noConversion"/>
  </si>
  <si>
    <t>박성용</t>
    <phoneticPr fontId="2" type="noConversion"/>
  </si>
  <si>
    <t>우신(2)</t>
    <phoneticPr fontId="2" type="noConversion"/>
  </si>
  <si>
    <t>계약사항</t>
    <phoneticPr fontId="2" type="noConversion"/>
  </si>
  <si>
    <t>진해해군</t>
    <phoneticPr fontId="2" type="noConversion"/>
  </si>
  <si>
    <t>시스템 안정화 점검</t>
    <phoneticPr fontId="2" type="noConversion"/>
  </si>
  <si>
    <t>박성용</t>
    <phoneticPr fontId="2" type="noConversion"/>
  </si>
  <si>
    <t>동아(1)</t>
    <phoneticPr fontId="2" type="noConversion"/>
  </si>
  <si>
    <t>구매부서발주</t>
    <phoneticPr fontId="2" type="noConversion"/>
  </si>
  <si>
    <t>OAC</t>
    <phoneticPr fontId="2" type="noConversion"/>
  </si>
  <si>
    <t>25T 감속기 누유</t>
    <phoneticPr fontId="2" type="noConversion"/>
  </si>
  <si>
    <t>박성용</t>
    <phoneticPr fontId="2" type="noConversion"/>
  </si>
  <si>
    <t>우신(1)</t>
    <phoneticPr fontId="2" type="noConversion"/>
  </si>
  <si>
    <t>코멘트사항</t>
    <phoneticPr fontId="2" type="noConversion"/>
  </si>
  <si>
    <t>김해공장</t>
    <phoneticPr fontId="2" type="noConversion"/>
  </si>
  <si>
    <t>P179</t>
    <phoneticPr fontId="2" type="noConversion"/>
  </si>
  <si>
    <t>파운데이션 상차</t>
    <phoneticPr fontId="2" type="noConversion"/>
  </si>
  <si>
    <t>9/23~9/26</t>
    <phoneticPr fontId="2" type="noConversion"/>
  </si>
  <si>
    <t>도장 및 명판작업</t>
    <phoneticPr fontId="2" type="noConversion"/>
  </si>
  <si>
    <t>이광형</t>
    <phoneticPr fontId="2" type="noConversion"/>
  </si>
  <si>
    <t>우신(4)</t>
    <phoneticPr fontId="2" type="noConversion"/>
  </si>
  <si>
    <t>9/22~9/26</t>
    <phoneticPr fontId="2" type="noConversion"/>
  </si>
  <si>
    <t>9/22~9/26</t>
    <phoneticPr fontId="2" type="noConversion"/>
  </si>
  <si>
    <t>PA57</t>
    <phoneticPr fontId="2" type="noConversion"/>
  </si>
  <si>
    <t>BR</t>
    <phoneticPr fontId="2" type="noConversion"/>
  </si>
  <si>
    <t>이광형</t>
    <phoneticPr fontId="2" type="noConversion"/>
  </si>
  <si>
    <t>범양(5)-최기추</t>
    <phoneticPr fontId="2" type="noConversion"/>
  </si>
  <si>
    <t>SKMT</t>
    <phoneticPr fontId="2" type="noConversion"/>
  </si>
  <si>
    <t>GNN0018</t>
    <phoneticPr fontId="2" type="noConversion"/>
  </si>
  <si>
    <t>설치</t>
    <phoneticPr fontId="2" type="noConversion"/>
  </si>
  <si>
    <t>계약사항 - 38주 긴급지원</t>
    <phoneticPr fontId="2" type="noConversion"/>
  </si>
  <si>
    <t>HOC</t>
    <phoneticPr fontId="2" type="noConversion"/>
  </si>
  <si>
    <t>OAC</t>
    <phoneticPr fontId="2" type="noConversion"/>
  </si>
  <si>
    <t>25T 감속기 누유 외 20T 피니언 그리스 등</t>
    <phoneticPr fontId="2" type="noConversion"/>
  </si>
  <si>
    <t>우신(2)</t>
    <phoneticPr fontId="2" type="noConversion"/>
  </si>
  <si>
    <t>코멘트사항 - 38주 긴급지원</t>
    <phoneticPr fontId="2" type="noConversion"/>
  </si>
  <si>
    <t>20T 어퍼 내부 압력센서 케이블 정리 외</t>
    <phoneticPr fontId="2" type="noConversion"/>
  </si>
  <si>
    <t>우신(1)</t>
    <phoneticPr fontId="2" type="noConversion"/>
  </si>
  <si>
    <t>유상</t>
    <phoneticPr fontId="2" type="noConversion"/>
  </si>
  <si>
    <t>계선기 해체작업</t>
    <phoneticPr fontId="2" type="noConversion"/>
  </si>
  <si>
    <t>박주성</t>
    <phoneticPr fontId="2" type="noConversion"/>
  </si>
  <si>
    <t>HIO(10)</t>
    <phoneticPr fontId="2" type="noConversion"/>
  </si>
  <si>
    <t>유상</t>
    <phoneticPr fontId="2" type="noConversion"/>
  </si>
  <si>
    <t>외주정비</t>
    <phoneticPr fontId="2" type="noConversion"/>
  </si>
  <si>
    <t>9/24~9/25</t>
    <phoneticPr fontId="2" type="noConversion"/>
  </si>
  <si>
    <t>HOC</t>
    <phoneticPr fontId="2" type="noConversion"/>
  </si>
  <si>
    <t>No1 Aux crane 2T 시운전</t>
    <phoneticPr fontId="2" type="noConversion"/>
  </si>
  <si>
    <t>TP(2)</t>
    <phoneticPr fontId="2" type="noConversion"/>
  </si>
  <si>
    <t>유상</t>
    <phoneticPr fontId="2" type="noConversion"/>
  </si>
  <si>
    <t>보증 수리 사항</t>
    <phoneticPr fontId="2" type="noConversion"/>
  </si>
  <si>
    <t>9/26~9/27</t>
    <phoneticPr fontId="2" type="noConversion"/>
  </si>
  <si>
    <t>HOC</t>
    <phoneticPr fontId="2" type="noConversion"/>
  </si>
  <si>
    <t>OAC</t>
    <phoneticPr fontId="2" type="noConversion"/>
  </si>
  <si>
    <t>No1 Aux crane 2T 시운전</t>
    <phoneticPr fontId="2" type="noConversion"/>
  </si>
  <si>
    <t>이시맥</t>
    <phoneticPr fontId="2" type="noConversion"/>
  </si>
  <si>
    <t>TP(2),동아(2)</t>
    <phoneticPr fontId="2" type="noConversion"/>
  </si>
  <si>
    <t>보증 수리 사항</t>
    <phoneticPr fontId="2" type="noConversion"/>
  </si>
  <si>
    <t>9/24~9/25</t>
    <phoneticPr fontId="2" type="noConversion"/>
  </si>
  <si>
    <t>H7064</t>
    <phoneticPr fontId="2" type="noConversion"/>
  </si>
  <si>
    <t>BR</t>
    <phoneticPr fontId="2" type="noConversion"/>
  </si>
  <si>
    <t>Sheave 변형 조치</t>
    <phoneticPr fontId="2" type="noConversion"/>
  </si>
  <si>
    <t>우신(2)</t>
    <phoneticPr fontId="2" type="noConversion"/>
  </si>
  <si>
    <t>대변항</t>
    <phoneticPr fontId="2" type="noConversion"/>
  </si>
  <si>
    <t>SWN0281</t>
    <phoneticPr fontId="2" type="noConversion"/>
  </si>
  <si>
    <t>DOCKING LEG RUBBER 교체
(오전요청)</t>
    <phoneticPr fontId="2" type="noConversion"/>
  </si>
  <si>
    <t>김해공장</t>
    <phoneticPr fontId="2" type="noConversion"/>
  </si>
  <si>
    <t>9/29~10/2</t>
    <phoneticPr fontId="2" type="noConversion"/>
  </si>
  <si>
    <t>PA56</t>
    <phoneticPr fontId="2" type="noConversion"/>
  </si>
  <si>
    <t>포장</t>
    <phoneticPr fontId="2" type="noConversion"/>
  </si>
  <si>
    <t>HIO(3)</t>
    <phoneticPr fontId="2" type="noConversion"/>
  </si>
  <si>
    <t>9/29~10/2</t>
    <phoneticPr fontId="2" type="noConversion"/>
  </si>
  <si>
    <t>PE</t>
    <phoneticPr fontId="2" type="noConversion"/>
  </si>
  <si>
    <t>HIO(3)</t>
    <phoneticPr fontId="2" type="noConversion"/>
  </si>
  <si>
    <t>9/29~10/2</t>
    <phoneticPr fontId="2" type="noConversion"/>
  </si>
  <si>
    <t>ERC</t>
    <phoneticPr fontId="2" type="noConversion"/>
  </si>
  <si>
    <t>설치</t>
    <phoneticPr fontId="2" type="noConversion"/>
  </si>
  <si>
    <t>이광형</t>
    <phoneticPr fontId="2" type="noConversion"/>
  </si>
  <si>
    <t>범양(4)-최기추</t>
    <phoneticPr fontId="2" type="noConversion"/>
  </si>
  <si>
    <t>인도전</t>
    <phoneticPr fontId="2" type="noConversion"/>
  </si>
  <si>
    <t>HHI</t>
    <phoneticPr fontId="2" type="noConversion"/>
  </si>
  <si>
    <t>P173</t>
    <phoneticPr fontId="2" type="noConversion"/>
  </si>
  <si>
    <t>ML</t>
    <phoneticPr fontId="2" type="noConversion"/>
  </si>
  <si>
    <t>설치</t>
    <phoneticPr fontId="2" type="noConversion"/>
  </si>
  <si>
    <t>계약사항 - 39주 긴급지원</t>
    <phoneticPr fontId="2" type="noConversion"/>
  </si>
  <si>
    <t>HOC</t>
    <phoneticPr fontId="2" type="noConversion"/>
  </si>
  <si>
    <t>BR</t>
    <phoneticPr fontId="2" type="noConversion"/>
  </si>
  <si>
    <t>상도 페인트 작업</t>
    <phoneticPr fontId="2" type="noConversion"/>
  </si>
  <si>
    <t>A/S</t>
    <phoneticPr fontId="2" type="noConversion"/>
  </si>
  <si>
    <t>BR</t>
    <phoneticPr fontId="2" type="noConversion"/>
  </si>
  <si>
    <t>시스템 안정화 및 모터 속도 셋팅</t>
    <phoneticPr fontId="2" type="noConversion"/>
  </si>
  <si>
    <t>동아(2)</t>
    <phoneticPr fontId="2" type="noConversion"/>
  </si>
  <si>
    <t>코멘트사항</t>
    <phoneticPr fontId="2" type="noConversion"/>
  </si>
  <si>
    <t>HJSC</t>
    <phoneticPr fontId="2" type="noConversion"/>
  </si>
  <si>
    <t>독도함</t>
    <phoneticPr fontId="2" type="noConversion"/>
  </si>
  <si>
    <t>소형 계선기 , 권양기 반출</t>
    <phoneticPr fontId="2" type="noConversion"/>
  </si>
  <si>
    <t>HIO(2)</t>
    <phoneticPr fontId="2" type="noConversion"/>
  </si>
  <si>
    <t>유상</t>
    <phoneticPr fontId="2" type="noConversion"/>
  </si>
  <si>
    <t>외주 정비</t>
    <phoneticPr fontId="2" type="noConversion"/>
  </si>
  <si>
    <t>S204/S188</t>
    <phoneticPr fontId="2" type="noConversion"/>
  </si>
  <si>
    <t>BR</t>
    <phoneticPr fontId="2" type="noConversion"/>
  </si>
  <si>
    <t>박주성</t>
    <phoneticPr fontId="2" type="noConversion"/>
  </si>
  <si>
    <t>우신(1)</t>
    <phoneticPr fontId="2" type="noConversion"/>
  </si>
  <si>
    <t>SHI</t>
    <phoneticPr fontId="2" type="noConversion"/>
  </si>
  <si>
    <t>HH/PV/CMR</t>
    <phoneticPr fontId="2" type="noConversion"/>
  </si>
  <si>
    <t>코멘트 조치</t>
    <phoneticPr fontId="2" type="noConversion"/>
  </si>
  <si>
    <t>김해공장</t>
    <phoneticPr fontId="2" type="noConversion"/>
  </si>
  <si>
    <t>10/3~4</t>
    <phoneticPr fontId="2" type="noConversion"/>
  </si>
  <si>
    <t>H1017</t>
    <phoneticPr fontId="2" type="noConversion"/>
  </si>
  <si>
    <t>포장</t>
    <phoneticPr fontId="2" type="noConversion"/>
  </si>
  <si>
    <t>HIO(4)</t>
    <phoneticPr fontId="2" type="noConversion"/>
  </si>
  <si>
    <t>HIO(4)</t>
    <phoneticPr fontId="2" type="noConversion"/>
  </si>
  <si>
    <t>40주 긴급지원</t>
    <phoneticPr fontId="2" type="noConversion"/>
  </si>
  <si>
    <t>10/10~11</t>
    <phoneticPr fontId="2" type="noConversion"/>
  </si>
  <si>
    <t>H1017</t>
    <phoneticPr fontId="2" type="noConversion"/>
  </si>
  <si>
    <t>RB</t>
    <phoneticPr fontId="2" type="noConversion"/>
  </si>
  <si>
    <t>HIO(2)</t>
    <phoneticPr fontId="2" type="noConversion"/>
  </si>
  <si>
    <t>OAC</t>
    <phoneticPr fontId="2" type="noConversion"/>
  </si>
  <si>
    <t>25T CCTV 설치</t>
    <phoneticPr fontId="2" type="noConversion"/>
  </si>
  <si>
    <t>유상</t>
    <phoneticPr fontId="2" type="noConversion"/>
  </si>
  <si>
    <t>계약사항 - 40주 긴급지원</t>
    <phoneticPr fontId="2" type="noConversion"/>
  </si>
  <si>
    <t>10/8~9</t>
    <phoneticPr fontId="2" type="noConversion"/>
  </si>
  <si>
    <t>HOC</t>
    <phoneticPr fontId="2" type="noConversion"/>
  </si>
  <si>
    <t>20T 누유조치</t>
    <phoneticPr fontId="2" type="noConversion"/>
  </si>
  <si>
    <t>김영민</t>
    <phoneticPr fontId="2" type="noConversion"/>
  </si>
  <si>
    <t>우신(6)</t>
    <phoneticPr fontId="2" type="noConversion"/>
  </si>
  <si>
    <t>유상</t>
    <phoneticPr fontId="2" type="noConversion"/>
  </si>
  <si>
    <t>김해공장</t>
    <phoneticPr fontId="2" type="noConversion"/>
  </si>
  <si>
    <t>10/13~17</t>
    <phoneticPr fontId="2" type="noConversion"/>
  </si>
  <si>
    <t>SN2661</t>
    <phoneticPr fontId="2" type="noConversion"/>
  </si>
  <si>
    <t>SN2661</t>
    <phoneticPr fontId="2" type="noConversion"/>
  </si>
  <si>
    <t>LAC</t>
    <phoneticPr fontId="2" type="noConversion"/>
  </si>
  <si>
    <t>포장</t>
    <phoneticPr fontId="2" type="noConversion"/>
  </si>
  <si>
    <t>HIO(5)</t>
    <phoneticPr fontId="2" type="noConversion"/>
  </si>
  <si>
    <t>10/13~17</t>
    <phoneticPr fontId="2" type="noConversion"/>
  </si>
  <si>
    <t>P178</t>
    <phoneticPr fontId="2" type="noConversion"/>
  </si>
  <si>
    <t>PE</t>
    <phoneticPr fontId="2" type="noConversion"/>
  </si>
  <si>
    <t>조립</t>
    <phoneticPr fontId="2" type="noConversion"/>
  </si>
  <si>
    <t>10/14~16</t>
    <phoneticPr fontId="2" type="noConversion"/>
  </si>
  <si>
    <t>덴소 작업</t>
    <phoneticPr fontId="2" type="noConversion"/>
  </si>
  <si>
    <t>베스트솔루션(12)</t>
    <phoneticPr fontId="2" type="noConversion"/>
  </si>
  <si>
    <t>PA56</t>
    <phoneticPr fontId="2" type="noConversion"/>
  </si>
  <si>
    <t>이광형</t>
    <phoneticPr fontId="2" type="noConversion"/>
  </si>
  <si>
    <t>10/13~15</t>
    <phoneticPr fontId="2" type="noConversion"/>
  </si>
  <si>
    <t>HOC</t>
    <phoneticPr fontId="2" type="noConversion"/>
  </si>
  <si>
    <t>H7064</t>
    <phoneticPr fontId="2" type="noConversion"/>
  </si>
  <si>
    <t>동조 기능 이상 조치</t>
    <phoneticPr fontId="2" type="noConversion"/>
  </si>
  <si>
    <t>동아(6)</t>
    <phoneticPr fontId="2" type="noConversion"/>
  </si>
  <si>
    <t>구매부서발주</t>
    <phoneticPr fontId="2" type="noConversion"/>
  </si>
  <si>
    <t>10/13~14</t>
    <phoneticPr fontId="2" type="noConversion"/>
  </si>
  <si>
    <t>SHI</t>
    <phoneticPr fontId="2" type="noConversion"/>
  </si>
  <si>
    <t>SN2619</t>
    <phoneticPr fontId="2" type="noConversion"/>
  </si>
  <si>
    <t>HH</t>
    <phoneticPr fontId="2" type="noConversion"/>
  </si>
  <si>
    <t>UP LIMIT 동작 조치</t>
    <phoneticPr fontId="2" type="noConversion"/>
  </si>
  <si>
    <t>DST(4)</t>
    <phoneticPr fontId="2" type="noConversion"/>
  </si>
  <si>
    <t>구매부서발주</t>
    <phoneticPr fontId="2" type="noConversion"/>
  </si>
  <si>
    <t>10/15~17</t>
    <phoneticPr fontId="2" type="noConversion"/>
  </si>
  <si>
    <t>SW</t>
    <phoneticPr fontId="2" type="noConversion"/>
  </si>
  <si>
    <t>SWN0284</t>
    <phoneticPr fontId="2" type="noConversion"/>
  </si>
  <si>
    <t>KT/RB</t>
    <phoneticPr fontId="2" type="noConversion"/>
  </si>
  <si>
    <t>박성용</t>
    <phoneticPr fontId="2" type="noConversion"/>
  </si>
  <si>
    <t>가야(3),DST(3)</t>
    <phoneticPr fontId="2" type="noConversion"/>
  </si>
  <si>
    <t>10/20~25</t>
    <phoneticPr fontId="2" type="noConversion"/>
  </si>
  <si>
    <t>YN05</t>
    <phoneticPr fontId="2" type="noConversion"/>
  </si>
  <si>
    <t>PV</t>
    <phoneticPr fontId="2" type="noConversion"/>
  </si>
  <si>
    <t>조립</t>
    <phoneticPr fontId="2" type="noConversion"/>
  </si>
  <si>
    <t>10/20,25</t>
    <phoneticPr fontId="2" type="noConversion"/>
  </si>
  <si>
    <t>P178</t>
    <phoneticPr fontId="2" type="noConversion"/>
  </si>
  <si>
    <t>PE</t>
    <phoneticPr fontId="2" type="noConversion"/>
  </si>
  <si>
    <t>HIO(1)</t>
    <phoneticPr fontId="2" type="noConversion"/>
  </si>
  <si>
    <t>HJSC</t>
    <phoneticPr fontId="2" type="noConversion"/>
  </si>
  <si>
    <t>KT</t>
    <phoneticPr fontId="2" type="noConversion"/>
  </si>
  <si>
    <t>REST PAD 설치/도장보수요청/온보드 검사 전 CHECK</t>
    <phoneticPr fontId="2" type="noConversion"/>
  </si>
  <si>
    <t>계약사항</t>
    <phoneticPr fontId="2" type="noConversion"/>
  </si>
  <si>
    <t>10/20~21</t>
    <phoneticPr fontId="2" type="noConversion"/>
  </si>
  <si>
    <t>2T 20T 25T 크레인 파킹포지션셋팅</t>
    <phoneticPr fontId="2" type="noConversion"/>
  </si>
  <si>
    <t>유상</t>
    <phoneticPr fontId="2" type="noConversion"/>
  </si>
  <si>
    <t>외주 정비</t>
    <phoneticPr fontId="2" type="noConversion"/>
  </si>
  <si>
    <t>인도후</t>
    <phoneticPr fontId="2" type="noConversion"/>
  </si>
  <si>
    <t>CS</t>
    <phoneticPr fontId="2" type="noConversion"/>
  </si>
  <si>
    <t>CAPSTAN 해체 후 반출</t>
    <phoneticPr fontId="2" type="noConversion"/>
  </si>
  <si>
    <t>박주성</t>
    <phoneticPr fontId="2" type="noConversion"/>
  </si>
  <si>
    <t>HIO(1)</t>
    <phoneticPr fontId="2" type="noConversion"/>
  </si>
  <si>
    <t>10/21~23</t>
    <phoneticPr fontId="2" type="noConversion"/>
  </si>
  <si>
    <t>독도함</t>
    <phoneticPr fontId="2" type="noConversion"/>
  </si>
  <si>
    <t>주갑판 계선기 함해체</t>
    <phoneticPr fontId="2" type="noConversion"/>
  </si>
  <si>
    <t>박주성</t>
    <phoneticPr fontId="2" type="noConversion"/>
  </si>
  <si>
    <t>HIO(6)</t>
    <phoneticPr fontId="2" type="noConversion"/>
  </si>
  <si>
    <t>계약사항</t>
    <phoneticPr fontId="2" type="noConversion"/>
  </si>
  <si>
    <t>10/22~23</t>
    <phoneticPr fontId="2" type="noConversion"/>
  </si>
  <si>
    <t>온보드 검사</t>
    <phoneticPr fontId="2" type="noConversion"/>
  </si>
  <si>
    <t>박성용</t>
    <phoneticPr fontId="2" type="noConversion"/>
  </si>
  <si>
    <t>무상</t>
    <phoneticPr fontId="2" type="noConversion"/>
  </si>
  <si>
    <t>계약사항</t>
    <phoneticPr fontId="2" type="noConversion"/>
  </si>
  <si>
    <t>S187</t>
    <phoneticPr fontId="2" type="noConversion"/>
  </si>
  <si>
    <t>BSR</t>
    <phoneticPr fontId="2" type="noConversion"/>
  </si>
  <si>
    <t>스턴 램프 하강 작동 작업</t>
    <phoneticPr fontId="2" type="noConversion"/>
  </si>
  <si>
    <t>범양(1)</t>
    <phoneticPr fontId="2" type="noConversion"/>
  </si>
  <si>
    <t>코멘트 사항</t>
    <phoneticPr fontId="2" type="noConversion"/>
  </si>
  <si>
    <t>PV/HH</t>
    <phoneticPr fontId="2" type="noConversion"/>
  </si>
  <si>
    <t>와어어 꼬임 현상 외 코멘트 작업</t>
    <phoneticPr fontId="2" type="noConversion"/>
  </si>
  <si>
    <t>코멘트 사항</t>
    <phoneticPr fontId="2" type="noConversion"/>
  </si>
  <si>
    <t>10/18~19</t>
    <phoneticPr fontId="2" type="noConversion"/>
  </si>
  <si>
    <t>사외작업</t>
    <phoneticPr fontId="2" type="noConversion"/>
  </si>
  <si>
    <t>창성</t>
    <phoneticPr fontId="2" type="noConversion"/>
  </si>
  <si>
    <t>PA56</t>
    <phoneticPr fontId="2" type="noConversion"/>
  </si>
  <si>
    <t>전처리 검사 지원</t>
    <phoneticPr fontId="2" type="noConversion"/>
  </si>
  <si>
    <t>43주 긴급 지원</t>
    <phoneticPr fontId="2" type="noConversion"/>
  </si>
  <si>
    <t>43주 긴급 지원</t>
    <phoneticPr fontId="2" type="noConversion"/>
  </si>
  <si>
    <t>10/25~26</t>
    <phoneticPr fontId="2" type="noConversion"/>
  </si>
  <si>
    <t>창성</t>
    <phoneticPr fontId="2" type="noConversion"/>
  </si>
  <si>
    <t>전처리 검사 지원</t>
    <phoneticPr fontId="2" type="noConversion"/>
  </si>
  <si>
    <t>우신(8)</t>
    <phoneticPr fontId="2" type="noConversion"/>
  </si>
  <si>
    <t>10/27~31</t>
    <phoneticPr fontId="2" type="noConversion"/>
  </si>
  <si>
    <t>PA57</t>
    <phoneticPr fontId="2" type="noConversion"/>
  </si>
  <si>
    <t>조립 / FAT</t>
    <phoneticPr fontId="2" type="noConversion"/>
  </si>
  <si>
    <t>10/27~31</t>
    <phoneticPr fontId="2" type="noConversion"/>
  </si>
  <si>
    <t>PA57</t>
    <phoneticPr fontId="2" type="noConversion"/>
  </si>
  <si>
    <t>10/29~31</t>
    <phoneticPr fontId="2" type="noConversion"/>
  </si>
  <si>
    <t>PV</t>
    <phoneticPr fontId="2" type="noConversion"/>
  </si>
  <si>
    <t>해체</t>
    <phoneticPr fontId="2" type="noConversion"/>
  </si>
  <si>
    <t>이광형</t>
    <phoneticPr fontId="2" type="noConversion"/>
  </si>
  <si>
    <t>HIO(3)</t>
    <phoneticPr fontId="2" type="noConversion"/>
  </si>
  <si>
    <t>OAC</t>
    <phoneticPr fontId="2" type="noConversion"/>
  </si>
  <si>
    <t>시운전 / 2T 20T 25T 크레인 파킹포지션셋팅</t>
    <phoneticPr fontId="2" type="noConversion"/>
  </si>
  <si>
    <t>이시맥</t>
    <phoneticPr fontId="2" type="noConversion"/>
  </si>
  <si>
    <t>계약사항 - 43주 긴급지원</t>
    <phoneticPr fontId="2" type="noConversion"/>
  </si>
  <si>
    <t>S189</t>
    <phoneticPr fontId="2" type="noConversion"/>
  </si>
  <si>
    <t>S189</t>
    <phoneticPr fontId="2" type="noConversion"/>
  </si>
  <si>
    <t>BSR</t>
    <phoneticPr fontId="2" type="noConversion"/>
  </si>
  <si>
    <t>커미셔닝</t>
    <phoneticPr fontId="2" type="noConversion"/>
  </si>
  <si>
    <t>범양(1)</t>
    <phoneticPr fontId="2" type="noConversion"/>
  </si>
  <si>
    <t>대변항</t>
    <phoneticPr fontId="2" type="noConversion"/>
  </si>
  <si>
    <t>SWN0281
(무궁화22호)</t>
    <phoneticPr fontId="2" type="noConversion"/>
  </si>
  <si>
    <t>RB</t>
    <phoneticPr fontId="2" type="noConversion"/>
  </si>
  <si>
    <t>좌현 링크 손잡이 파손 교체 외</t>
    <phoneticPr fontId="2" type="noConversion"/>
  </si>
  <si>
    <t>H7064</t>
    <phoneticPr fontId="2" type="noConversion"/>
  </si>
  <si>
    <t>자동장력 체크 및 로타리 시스템 200:1→100:1 조율
/ 매뉴얼 작동 요청</t>
    <phoneticPr fontId="2" type="noConversion"/>
  </si>
  <si>
    <t>H7064</t>
    <phoneticPr fontId="2" type="noConversion"/>
  </si>
  <si>
    <t>동아(2)</t>
    <phoneticPr fontId="2" type="noConversion"/>
  </si>
  <si>
    <t>인도후</t>
    <phoneticPr fontId="2" type="noConversion"/>
  </si>
  <si>
    <t>주갑판 계선기 함해체</t>
    <phoneticPr fontId="2" type="noConversion"/>
  </si>
  <si>
    <t>박주성</t>
    <phoneticPr fontId="2" type="noConversion"/>
  </si>
  <si>
    <t>HIO(2)</t>
    <phoneticPr fontId="2" type="noConversion"/>
  </si>
  <si>
    <t>이순신함</t>
    <phoneticPr fontId="2" type="noConversion"/>
  </si>
  <si>
    <t>Down Point Setting / 인디게이터 점검 /
좌현 DAVIT 전동기와 계전기쪽에 절연 (8:30)</t>
    <phoneticPr fontId="2" type="noConversion"/>
  </si>
  <si>
    <t>동아(1),신한(1)</t>
    <phoneticPr fontId="2" type="noConversion"/>
  </si>
  <si>
    <t>P178</t>
    <phoneticPr fontId="2" type="noConversion"/>
  </si>
  <si>
    <t>트롤리 설치 작업 / 좌현 크레인 방향표시 오류</t>
    <phoneticPr fontId="2" type="noConversion"/>
  </si>
  <si>
    <t>박주성</t>
    <phoneticPr fontId="2" type="noConversion"/>
  </si>
  <si>
    <t>우신(2)</t>
    <phoneticPr fontId="2" type="noConversion"/>
  </si>
  <si>
    <t>HHI</t>
    <phoneticPr fontId="2" type="noConversion"/>
  </si>
  <si>
    <t>P178</t>
    <phoneticPr fontId="2" type="noConversion"/>
  </si>
  <si>
    <t>트롤리 설치 재결선 작업</t>
    <phoneticPr fontId="2" type="noConversion"/>
  </si>
  <si>
    <t>박주성</t>
    <phoneticPr fontId="2" type="noConversion"/>
  </si>
  <si>
    <t>동아(1)</t>
    <phoneticPr fontId="2" type="noConversion"/>
  </si>
  <si>
    <t>우신(2)</t>
    <phoneticPr fontId="2" type="noConversion"/>
  </si>
  <si>
    <t>부산신항
(HPNT)</t>
    <phoneticPr fontId="2" type="noConversion"/>
  </si>
  <si>
    <t>MR</t>
    <phoneticPr fontId="2" type="noConversion"/>
  </si>
  <si>
    <t>HOIST CABLE REEL 장력 불량</t>
    <phoneticPr fontId="2" type="noConversion"/>
  </si>
  <si>
    <t>한국기전(2)</t>
    <phoneticPr fontId="2" type="noConversion"/>
  </si>
  <si>
    <t>유상</t>
    <phoneticPr fontId="2" type="noConversion"/>
  </si>
  <si>
    <t>11/1~11/2</t>
    <phoneticPr fontId="2" type="noConversion"/>
  </si>
  <si>
    <t>HIO(9)</t>
    <phoneticPr fontId="2" type="noConversion"/>
  </si>
  <si>
    <t>44주 긴급지원</t>
    <phoneticPr fontId="2" type="noConversion"/>
  </si>
  <si>
    <t>11/4~5</t>
    <phoneticPr fontId="2" type="noConversion"/>
  </si>
  <si>
    <t>SN2661</t>
    <phoneticPr fontId="2" type="noConversion"/>
  </si>
  <si>
    <t>LAC</t>
    <phoneticPr fontId="2" type="noConversion"/>
  </si>
  <si>
    <t>HIO(2)</t>
    <phoneticPr fontId="2" type="noConversion"/>
  </si>
  <si>
    <t>BR</t>
    <phoneticPr fontId="2" type="noConversion"/>
  </si>
  <si>
    <t>포장</t>
    <phoneticPr fontId="2" type="noConversion"/>
  </si>
  <si>
    <t>HIO(1)</t>
    <phoneticPr fontId="2" type="noConversion"/>
  </si>
  <si>
    <t>11/6~7</t>
    <phoneticPr fontId="2" type="noConversion"/>
  </si>
  <si>
    <t>PV/ER/HH</t>
    <phoneticPr fontId="2" type="noConversion"/>
  </si>
  <si>
    <t>보수도장</t>
    <phoneticPr fontId="2" type="noConversion"/>
  </si>
  <si>
    <t>HIO(2)</t>
    <phoneticPr fontId="2" type="noConversion"/>
  </si>
  <si>
    <t>11/6~7</t>
    <phoneticPr fontId="2" type="noConversion"/>
  </si>
  <si>
    <t>YN05</t>
    <phoneticPr fontId="2" type="noConversion"/>
  </si>
  <si>
    <t>PV/ER/HH</t>
    <phoneticPr fontId="2" type="noConversion"/>
  </si>
  <si>
    <t>A/S</t>
    <phoneticPr fontId="2" type="noConversion"/>
  </si>
  <si>
    <t>매뉴얼 작동 요청</t>
    <phoneticPr fontId="2" type="noConversion"/>
  </si>
  <si>
    <t>계약사항 - 44주 긴급지원</t>
    <phoneticPr fontId="2" type="noConversion"/>
  </si>
  <si>
    <t>자동장력 체크 및 로타리 시스템 200:1→100:1 조율</t>
    <phoneticPr fontId="2" type="noConversion"/>
  </si>
  <si>
    <t>동아(2)</t>
    <phoneticPr fontId="2" type="noConversion"/>
  </si>
  <si>
    <t>코멘트조치</t>
    <phoneticPr fontId="2" type="noConversion"/>
  </si>
  <si>
    <t>자동장력 체크 및 로타리 시스템 200:1→100:1 조율</t>
    <phoneticPr fontId="2" type="noConversion"/>
  </si>
  <si>
    <t>코멘트조치</t>
    <phoneticPr fontId="2" type="noConversion"/>
  </si>
  <si>
    <t>HHI</t>
    <phoneticPr fontId="2" type="noConversion"/>
  </si>
  <si>
    <t>P169</t>
    <phoneticPr fontId="2" type="noConversion"/>
  </si>
  <si>
    <t>HOC/ML
/PE</t>
    <phoneticPr fontId="2" type="noConversion"/>
  </si>
  <si>
    <t>그랜드 확인 및 와이어 터짐 / 코멘트 조치 / 탑재</t>
    <phoneticPr fontId="2" type="noConversion"/>
  </si>
  <si>
    <t>범양(1),HIO(1)</t>
    <phoneticPr fontId="2" type="noConversion"/>
  </si>
  <si>
    <t>코멘트조치/계약사항</t>
    <phoneticPr fontId="2" type="noConversion"/>
  </si>
  <si>
    <t>인도후</t>
    <phoneticPr fontId="2" type="noConversion"/>
  </si>
  <si>
    <t>7060
(강화도함)</t>
    <phoneticPr fontId="2" type="noConversion"/>
  </si>
  <si>
    <t>WD/CS
/TC/ROVL</t>
    <phoneticPr fontId="2" type="noConversion"/>
  </si>
  <si>
    <t>WD/CS
/TC/ROVL</t>
    <phoneticPr fontId="2" type="noConversion"/>
  </si>
  <si>
    <t>크레인 붐 하부 누유 외 코멘트조치</t>
    <phoneticPr fontId="2" type="noConversion"/>
  </si>
  <si>
    <t>보증수리</t>
    <phoneticPr fontId="2" type="noConversion"/>
  </si>
  <si>
    <t>작동 검사(FAT) 오후 13시30분</t>
    <phoneticPr fontId="2" type="noConversion"/>
  </si>
  <si>
    <t>7060
(강화도함)</t>
    <phoneticPr fontId="2" type="noConversion"/>
  </si>
  <si>
    <t>WD/CS
/TC/ROVL</t>
    <phoneticPr fontId="2" type="noConversion"/>
  </si>
  <si>
    <t>좌현 앵카 제자리 불가 외 코멘트 조치</t>
    <phoneticPr fontId="2" type="noConversion"/>
  </si>
  <si>
    <t>좌현 앵카 제자리 불가 외 코멘트 조치</t>
    <phoneticPr fontId="2" type="noConversion"/>
  </si>
  <si>
    <t>보증수리</t>
    <phoneticPr fontId="2" type="noConversion"/>
  </si>
  <si>
    <t>SHI</t>
    <phoneticPr fontId="2" type="noConversion"/>
  </si>
  <si>
    <t>SN2661</t>
    <phoneticPr fontId="2" type="noConversion"/>
  </si>
  <si>
    <t>LAC</t>
    <phoneticPr fontId="2" type="noConversion"/>
  </si>
  <si>
    <t>페데스탈 및 스타터판넬 코멘트 조치</t>
    <phoneticPr fontId="2" type="noConversion"/>
  </si>
  <si>
    <t>김해공장</t>
    <phoneticPr fontId="2" type="noConversion"/>
  </si>
  <si>
    <t>PA57</t>
    <phoneticPr fontId="2" type="noConversion"/>
  </si>
  <si>
    <t>FLAP 가조립</t>
    <phoneticPr fontId="2" type="noConversion"/>
  </si>
  <si>
    <t>45주 긴급지원</t>
    <phoneticPr fontId="2" type="noConversion"/>
  </si>
  <si>
    <t>11/10~14</t>
    <phoneticPr fontId="2" type="noConversion"/>
  </si>
  <si>
    <t>조립</t>
    <phoneticPr fontId="2" type="noConversion"/>
  </si>
  <si>
    <t>11/10~12</t>
    <phoneticPr fontId="2" type="noConversion"/>
  </si>
  <si>
    <t>PV/ER/HH</t>
    <phoneticPr fontId="2" type="noConversion"/>
  </si>
  <si>
    <t>HIO(3)</t>
    <phoneticPr fontId="2" type="noConversion"/>
  </si>
  <si>
    <t>11/13~14</t>
    <phoneticPr fontId="2" type="noConversion"/>
  </si>
  <si>
    <t>조립</t>
    <phoneticPr fontId="2" type="noConversion"/>
  </si>
  <si>
    <t xml:space="preserve">로드리미터 교체 </t>
    <phoneticPr fontId="2" type="noConversion"/>
  </si>
  <si>
    <t>코멘트사항 - 45주 긴급지원</t>
    <phoneticPr fontId="2" type="noConversion"/>
  </si>
  <si>
    <t>HHI</t>
    <phoneticPr fontId="2" type="noConversion"/>
  </si>
  <si>
    <t>P173</t>
    <phoneticPr fontId="2" type="noConversion"/>
  </si>
  <si>
    <t>본선 설치 /
브레이크 와이어 끝단 수축튜브 작업</t>
    <phoneticPr fontId="2" type="noConversion"/>
  </si>
  <si>
    <t>자동장력 체크</t>
    <phoneticPr fontId="2" type="noConversion"/>
  </si>
  <si>
    <t>동아(1)</t>
    <phoneticPr fontId="2" type="noConversion"/>
  </si>
  <si>
    <t>코멘트조치</t>
    <phoneticPr fontId="2" type="noConversion"/>
  </si>
  <si>
    <t>시운전 및 코멘트 조치</t>
    <phoneticPr fontId="2" type="noConversion"/>
  </si>
  <si>
    <t>이시맥</t>
    <phoneticPr fontId="2" type="noConversion"/>
  </si>
  <si>
    <t>TP(1),동아(1)</t>
    <phoneticPr fontId="2" type="noConversion"/>
  </si>
  <si>
    <t>유상</t>
    <phoneticPr fontId="2" type="noConversion"/>
  </si>
  <si>
    <t>S204</t>
    <phoneticPr fontId="2" type="noConversion"/>
  </si>
  <si>
    <t>INVERTER 수리</t>
    <phoneticPr fontId="2" type="noConversion"/>
  </si>
  <si>
    <t>아이파워(1)</t>
    <phoneticPr fontId="2" type="noConversion"/>
  </si>
  <si>
    <t>코멘트조치</t>
    <phoneticPr fontId="2" type="noConversion"/>
  </si>
  <si>
    <t>7060
(강화도함)</t>
    <phoneticPr fontId="2" type="noConversion"/>
  </si>
  <si>
    <t>WD/CS
/TC/ROVL</t>
    <phoneticPr fontId="2" type="noConversion"/>
  </si>
  <si>
    <t>수중무인탐사기(ROV) LARS 해수쿨러 누유 
외 코멘트 조치</t>
    <phoneticPr fontId="2" type="noConversion"/>
  </si>
  <si>
    <t>수중무인탐사기(ROV) LARS 해수쿨러 누유 
외 코멘트 조치</t>
    <phoneticPr fontId="2" type="noConversion"/>
  </si>
  <si>
    <t>코멘트조치</t>
    <phoneticPr fontId="2" type="noConversion"/>
  </si>
  <si>
    <t>7060
(강화도함)</t>
    <phoneticPr fontId="2" type="noConversion"/>
  </si>
  <si>
    <t>동아(1),DST(1)</t>
    <phoneticPr fontId="2" type="noConversion"/>
  </si>
  <si>
    <t>코멘트조치</t>
    <phoneticPr fontId="2" type="noConversion"/>
  </si>
  <si>
    <t>우현 크레인 리모컨 비상작동 버튼 불량 /
우현 모터 전선케이블 연결부 소손</t>
    <phoneticPr fontId="2" type="noConversion"/>
  </si>
  <si>
    <t>HAT 평가</t>
    <phoneticPr fontId="2" type="noConversion"/>
  </si>
  <si>
    <t>우신(1)</t>
    <phoneticPr fontId="2" type="noConversion"/>
  </si>
  <si>
    <t>창성</t>
    <phoneticPr fontId="2" type="noConversion"/>
  </si>
  <si>
    <t>수정 작업</t>
    <phoneticPr fontId="2" type="noConversion"/>
  </si>
  <si>
    <t>HIO(1)</t>
    <phoneticPr fontId="2" type="noConversion"/>
  </si>
  <si>
    <t>46주 긴급지원</t>
    <phoneticPr fontId="2" type="noConversion"/>
  </si>
  <si>
    <t>진성마린</t>
    <phoneticPr fontId="2" type="noConversion"/>
  </si>
  <si>
    <t>P179</t>
    <phoneticPr fontId="2" type="noConversion"/>
  </si>
  <si>
    <t>PE</t>
    <phoneticPr fontId="2" type="noConversion"/>
  </si>
  <si>
    <t>전처리 검사</t>
    <phoneticPr fontId="2" type="noConversion"/>
  </si>
  <si>
    <t>11/18~20</t>
    <phoneticPr fontId="2" type="noConversion"/>
  </si>
  <si>
    <t>11/17~18</t>
    <phoneticPr fontId="2" type="noConversion"/>
  </si>
  <si>
    <t>ER/HH/PE</t>
    <phoneticPr fontId="2" type="noConversion"/>
  </si>
  <si>
    <t>포장</t>
    <phoneticPr fontId="2" type="noConversion"/>
  </si>
  <si>
    <t>HIO(2)</t>
    <phoneticPr fontId="2" type="noConversion"/>
  </si>
  <si>
    <t>11/19~21</t>
    <phoneticPr fontId="2" type="noConversion"/>
  </si>
  <si>
    <t>PA57</t>
    <phoneticPr fontId="2" type="noConversion"/>
  </si>
  <si>
    <t>HIO(3)</t>
    <phoneticPr fontId="2" type="noConversion"/>
  </si>
  <si>
    <t>KN</t>
    <phoneticPr fontId="2" type="noConversion"/>
  </si>
  <si>
    <t>222003
(3020함)</t>
    <phoneticPr fontId="2" type="noConversion"/>
  </si>
  <si>
    <t>222003
(3020함)</t>
    <phoneticPr fontId="2" type="noConversion"/>
  </si>
  <si>
    <t>RB/KT</t>
    <phoneticPr fontId="2" type="noConversion"/>
  </si>
  <si>
    <t>커미셔닝</t>
    <phoneticPr fontId="2" type="noConversion"/>
  </si>
  <si>
    <t>DST(2)</t>
    <phoneticPr fontId="2" type="noConversion"/>
  </si>
  <si>
    <t>계약 사항 - 46주 긴급지원</t>
    <phoneticPr fontId="2" type="noConversion"/>
  </si>
  <si>
    <t>SHI</t>
    <phoneticPr fontId="2" type="noConversion"/>
  </si>
  <si>
    <t>LAC</t>
    <phoneticPr fontId="2" type="noConversion"/>
  </si>
  <si>
    <t>Starter panel Power line 결선 작업</t>
    <phoneticPr fontId="2" type="noConversion"/>
  </si>
  <si>
    <t>코멘트사항 - 46주 긴급지원</t>
    <phoneticPr fontId="2" type="noConversion"/>
  </si>
  <si>
    <t>RB/KT</t>
    <phoneticPr fontId="2" type="noConversion"/>
  </si>
  <si>
    <t>커미셔닝</t>
    <phoneticPr fontId="2" type="noConversion"/>
  </si>
  <si>
    <t>계약 사항 - 46주 긴급지원</t>
    <phoneticPr fontId="2" type="noConversion"/>
  </si>
  <si>
    <t>페데스탈 플랫폼 그레이팅클립 체결 외</t>
    <phoneticPr fontId="2" type="noConversion"/>
  </si>
  <si>
    <t>코멘트사항 - 46주 긴급지원</t>
    <phoneticPr fontId="2" type="noConversion"/>
  </si>
  <si>
    <t>KN</t>
    <phoneticPr fontId="2" type="noConversion"/>
  </si>
  <si>
    <t>222003
(3020함)</t>
    <phoneticPr fontId="2" type="noConversion"/>
  </si>
  <si>
    <t>RB/KT</t>
    <phoneticPr fontId="2" type="noConversion"/>
  </si>
  <si>
    <t>커미셔닝 / 장비 사전 점검</t>
    <phoneticPr fontId="2" type="noConversion"/>
  </si>
  <si>
    <t>코멘트사항 - 46주 긴급지원</t>
    <phoneticPr fontId="2" type="noConversion"/>
  </si>
  <si>
    <t>HHI</t>
    <phoneticPr fontId="2" type="noConversion"/>
  </si>
  <si>
    <t>검사(해양사업부)</t>
    <phoneticPr fontId="2" type="noConversion"/>
  </si>
  <si>
    <t>DSS</t>
    <phoneticPr fontId="2" type="noConversion"/>
  </si>
  <si>
    <t>SB687</t>
    <phoneticPr fontId="2" type="noConversion"/>
  </si>
  <si>
    <t>커미셔닝</t>
    <phoneticPr fontId="2" type="noConversion"/>
  </si>
  <si>
    <t>KN</t>
    <phoneticPr fontId="2" type="noConversion"/>
  </si>
  <si>
    <t xml:space="preserve"> 콘트롤스탠드의 비상 정지 버튼 커버가 파손  / 
밧데리 결선</t>
    <phoneticPr fontId="2" type="noConversion"/>
  </si>
  <si>
    <t>가야(1)</t>
    <phoneticPr fontId="2" type="noConversion"/>
  </si>
  <si>
    <t>HJSC</t>
    <phoneticPr fontId="2" type="noConversion"/>
  </si>
  <si>
    <t>S205</t>
    <phoneticPr fontId="2" type="noConversion"/>
  </si>
  <si>
    <t>자동장력 작업</t>
    <phoneticPr fontId="2" type="noConversion"/>
  </si>
  <si>
    <t>RB</t>
    <phoneticPr fontId="2" type="noConversion"/>
  </si>
  <si>
    <t>자동장력 작업</t>
    <phoneticPr fontId="2" type="noConversion"/>
  </si>
  <si>
    <t>222003
(3020함)</t>
    <phoneticPr fontId="2" type="noConversion"/>
  </si>
  <si>
    <t>KN</t>
    <phoneticPr fontId="2" type="noConversion"/>
  </si>
  <si>
    <t>시운전</t>
    <phoneticPr fontId="2" type="noConversion"/>
  </si>
  <si>
    <t>DST(1)</t>
    <phoneticPr fontId="2" type="noConversion"/>
  </si>
  <si>
    <t>11/19~20</t>
    <phoneticPr fontId="2" type="noConversion"/>
  </si>
  <si>
    <t>SW</t>
    <phoneticPr fontId="2" type="noConversion"/>
  </si>
  <si>
    <t>SWN0289</t>
    <phoneticPr fontId="2" type="noConversion"/>
  </si>
  <si>
    <t>온보드 테스트 및 승조원 교육</t>
    <phoneticPr fontId="2" type="noConversion"/>
  </si>
  <si>
    <t>온보드 테스트 및 승조원 교육</t>
    <phoneticPr fontId="2" type="noConversion"/>
  </si>
  <si>
    <t>동아(2)</t>
    <phoneticPr fontId="2" type="noConversion"/>
  </si>
  <si>
    <t>11/19~20</t>
    <phoneticPr fontId="2" type="noConversion"/>
  </si>
  <si>
    <t>SW</t>
    <phoneticPr fontId="2" type="noConversion"/>
  </si>
  <si>
    <t>LAC</t>
    <phoneticPr fontId="2" type="noConversion"/>
  </si>
  <si>
    <t xml:space="preserve"> Cable 결선을 위한 수평 Cable tray가 추가 외</t>
    <phoneticPr fontId="2" type="noConversion"/>
  </si>
  <si>
    <t>KT</t>
    <phoneticPr fontId="2" type="noConversion"/>
  </si>
  <si>
    <t>JB 설치 및 결선작업 / (ON/OFF 셀렉트 스위치 설치 
(리미트 해제용)</t>
    <phoneticPr fontId="2" type="noConversion"/>
  </si>
  <si>
    <t>동아(1)</t>
    <phoneticPr fontId="2" type="noConversion"/>
  </si>
  <si>
    <t>KT</t>
    <phoneticPr fontId="2" type="noConversion"/>
  </si>
  <si>
    <t>JB 설치 및 결선작업 / (ON/OFF 셀렉트 스위치 설치 
(리미트 해제용)</t>
    <phoneticPr fontId="2" type="noConversion"/>
  </si>
  <si>
    <t>김해공장</t>
    <phoneticPr fontId="2" type="noConversion"/>
  </si>
  <si>
    <t>11/21~22</t>
    <phoneticPr fontId="2" type="noConversion"/>
  </si>
  <si>
    <t>더베스트(4)</t>
    <phoneticPr fontId="2" type="noConversion"/>
  </si>
  <si>
    <t>47주 긴급지원</t>
    <phoneticPr fontId="2" type="noConversion"/>
  </si>
  <si>
    <t>11/26~28</t>
    <phoneticPr fontId="2" type="noConversion"/>
  </si>
  <si>
    <t>P179</t>
    <phoneticPr fontId="2" type="noConversion"/>
  </si>
  <si>
    <t>조립</t>
    <phoneticPr fontId="2" type="noConversion"/>
  </si>
  <si>
    <t>탑재/시운전/해체</t>
    <phoneticPr fontId="2" type="noConversion"/>
  </si>
  <si>
    <t>HIO(2)</t>
    <phoneticPr fontId="2" type="noConversion"/>
  </si>
  <si>
    <t>KN</t>
    <phoneticPr fontId="2" type="noConversion"/>
  </si>
  <si>
    <t xml:space="preserve"> 콘트롤스탠드의 비상 정지 버튼 커버가 파손  / 
밧데리 결선</t>
    <phoneticPr fontId="2" type="noConversion"/>
  </si>
  <si>
    <t>코멘트사항 - 47주 긴급지원</t>
    <phoneticPr fontId="2" type="noConversion"/>
  </si>
  <si>
    <t>DSS</t>
    <phoneticPr fontId="2" type="noConversion"/>
  </si>
  <si>
    <t>SB687</t>
    <phoneticPr fontId="2" type="noConversion"/>
  </si>
  <si>
    <t xml:space="preserve"> 언로딩솔 스위치가 파손 교체 외 코멘트 작업</t>
    <phoneticPr fontId="2" type="noConversion"/>
  </si>
  <si>
    <t>TP(1)</t>
    <phoneticPr fontId="2" type="noConversion"/>
  </si>
  <si>
    <t>코멘트사항 - 47주 긴급지원</t>
    <phoneticPr fontId="2" type="noConversion"/>
  </si>
  <si>
    <t>SR24001
(6325정)</t>
    <phoneticPr fontId="2" type="noConversion"/>
  </si>
  <si>
    <t>외주정비 및 정비품 회수</t>
    <phoneticPr fontId="2" type="noConversion"/>
  </si>
  <si>
    <t>계약 사항 - 47주 긴급지원</t>
    <phoneticPr fontId="2" type="noConversion"/>
  </si>
  <si>
    <t>계약 사항 - 47주 긴급지원</t>
    <phoneticPr fontId="2" type="noConversion"/>
  </si>
  <si>
    <t>222003
(3020함)</t>
    <phoneticPr fontId="2" type="noConversion"/>
  </si>
  <si>
    <t xml:space="preserve">보트 단정 준비 및 크레들 시트 용접 </t>
    <phoneticPr fontId="2" type="noConversion"/>
  </si>
  <si>
    <t>코멘트사항 - 47주 긴급지원</t>
    <phoneticPr fontId="2" type="noConversion"/>
  </si>
  <si>
    <t>DSS</t>
    <phoneticPr fontId="2" type="noConversion"/>
  </si>
  <si>
    <t>SB687</t>
    <phoneticPr fontId="2" type="noConversion"/>
  </si>
  <si>
    <t xml:space="preserve"> 언로딩솔 스위치 교체 (220V)</t>
    <phoneticPr fontId="2" type="noConversion"/>
  </si>
  <si>
    <t>TP(1)</t>
    <phoneticPr fontId="2" type="noConversion"/>
  </si>
  <si>
    <t>코멘트사항 - 47주 긴급지원</t>
    <phoneticPr fontId="2" type="noConversion"/>
  </si>
  <si>
    <t>KN</t>
    <phoneticPr fontId="2" type="noConversion"/>
  </si>
  <si>
    <t>RB/KT</t>
    <phoneticPr fontId="2" type="noConversion"/>
  </si>
  <si>
    <t>검사 준비</t>
    <phoneticPr fontId="2" type="noConversion"/>
  </si>
  <si>
    <t>우신(3)</t>
    <phoneticPr fontId="2" type="noConversion"/>
  </si>
  <si>
    <t>2T 풍속계 충돌방지 연장 외 코멘트 작업</t>
    <phoneticPr fontId="2" type="noConversion"/>
  </si>
  <si>
    <t>우신(1)</t>
    <phoneticPr fontId="2" type="noConversion"/>
  </si>
  <si>
    <t>코멘트조치- 47주 긴급지원</t>
    <phoneticPr fontId="2" type="noConversion"/>
  </si>
  <si>
    <t>DSS</t>
    <phoneticPr fontId="2" type="noConversion"/>
  </si>
  <si>
    <t>SB687</t>
    <phoneticPr fontId="2" type="noConversion"/>
  </si>
  <si>
    <t>검사 / 보트 탑재(시트 용접)</t>
    <phoneticPr fontId="2" type="noConversion"/>
  </si>
  <si>
    <t>박성용,김동명</t>
    <phoneticPr fontId="2" type="noConversion"/>
  </si>
  <si>
    <t>11/24~28</t>
    <phoneticPr fontId="2" type="noConversion"/>
  </si>
  <si>
    <t>BSR</t>
    <phoneticPr fontId="2" type="noConversion"/>
  </si>
  <si>
    <t>검사 준비</t>
    <phoneticPr fontId="2" type="noConversion"/>
  </si>
  <si>
    <t>S189</t>
    <phoneticPr fontId="2" type="noConversion"/>
  </si>
  <si>
    <t>검사 준비</t>
    <phoneticPr fontId="2" type="noConversion"/>
  </si>
  <si>
    <t>11/24~25</t>
    <phoneticPr fontId="2" type="noConversion"/>
  </si>
  <si>
    <t>222003
(3020함)</t>
    <phoneticPr fontId="2" type="noConversion"/>
  </si>
  <si>
    <t>RB/KT</t>
    <phoneticPr fontId="2" type="noConversion"/>
  </si>
  <si>
    <t>커미셔닝 / 검사</t>
    <phoneticPr fontId="2" type="noConversion"/>
  </si>
  <si>
    <t>인도후</t>
    <phoneticPr fontId="2" type="noConversion"/>
  </si>
  <si>
    <t>7060
(강화도함)</t>
    <phoneticPr fontId="2" type="noConversion"/>
  </si>
  <si>
    <t>CS/TC</t>
    <phoneticPr fontId="2" type="noConversion"/>
  </si>
  <si>
    <t>크레인 유리 세정용 워셔액 노즐 및 와이퍼 수리 외</t>
    <phoneticPr fontId="2" type="noConversion"/>
  </si>
  <si>
    <t>동아(1)</t>
    <phoneticPr fontId="2" type="noConversion"/>
  </si>
  <si>
    <t>보증수리사항</t>
    <phoneticPr fontId="2" type="noConversion"/>
  </si>
  <si>
    <t>7060
(강화도함)</t>
    <phoneticPr fontId="2" type="noConversion"/>
  </si>
  <si>
    <t>TC</t>
    <phoneticPr fontId="2" type="noConversion"/>
  </si>
  <si>
    <t>붐 반출</t>
    <phoneticPr fontId="2" type="noConversion"/>
  </si>
  <si>
    <t>이광형,박해식</t>
    <phoneticPr fontId="2" type="noConversion"/>
  </si>
  <si>
    <t>이광형,박해식</t>
    <phoneticPr fontId="2" type="noConversion"/>
  </si>
  <si>
    <t>우현 앵카 제자리 제한
(토르크리미트 재작업 예정) 외</t>
    <phoneticPr fontId="2" type="noConversion"/>
  </si>
  <si>
    <t>보증수리사항</t>
    <phoneticPr fontId="2" type="noConversion"/>
  </si>
  <si>
    <t>WD/CS
/TC/ROVL</t>
    <phoneticPr fontId="2" type="noConversion"/>
  </si>
  <si>
    <t>수중무인탐사기(ROV) LARS 해수쿨러 누유 외</t>
    <phoneticPr fontId="2" type="noConversion"/>
  </si>
  <si>
    <t>보증수리사항</t>
    <phoneticPr fontId="2" type="noConversion"/>
  </si>
  <si>
    <t>크레인 붐대 안착거치대 파손 및 탈락 외 점검</t>
    <phoneticPr fontId="2" type="noConversion"/>
  </si>
  <si>
    <t>도장</t>
    <phoneticPr fontId="2" type="noConversion"/>
  </si>
  <si>
    <t>45주 긴급지원</t>
    <phoneticPr fontId="2" type="noConversion"/>
  </si>
  <si>
    <t>SWNP0294</t>
    <phoneticPr fontId="2" type="noConversion"/>
  </si>
  <si>
    <t>FDC</t>
    <phoneticPr fontId="2" type="noConversion"/>
  </si>
  <si>
    <t>추가 전로 설치</t>
    <phoneticPr fontId="2" type="noConversion"/>
  </si>
  <si>
    <t>45주 긴급지원</t>
    <phoneticPr fontId="2" type="noConversion"/>
  </si>
  <si>
    <t>45주 긴급지원</t>
    <phoneticPr fontId="2" type="noConversion"/>
  </si>
  <si>
    <t>창성</t>
    <phoneticPr fontId="2" type="noConversion"/>
  </si>
  <si>
    <t>PA57</t>
    <phoneticPr fontId="2" type="noConversion"/>
  </si>
  <si>
    <t>아놀드 조립</t>
    <phoneticPr fontId="2" type="noConversion"/>
  </si>
  <si>
    <t>12/2~3</t>
    <phoneticPr fontId="2" type="noConversion"/>
  </si>
  <si>
    <t>더베스트(4)</t>
    <phoneticPr fontId="2" type="noConversion"/>
  </si>
  <si>
    <t>HIO(1)</t>
    <phoneticPr fontId="2" type="noConversion"/>
  </si>
  <si>
    <t>12/3~5</t>
    <phoneticPr fontId="2" type="noConversion"/>
  </si>
  <si>
    <t>12/3~5</t>
    <phoneticPr fontId="2" type="noConversion"/>
  </si>
  <si>
    <t>검사준비</t>
    <phoneticPr fontId="2" type="noConversion"/>
  </si>
  <si>
    <t>계약사항 - 48주 긴급지원</t>
    <phoneticPr fontId="2" type="noConversion"/>
  </si>
  <si>
    <t>20T 와이어 꼬임 / 25T 도어 크로저 추가</t>
    <phoneticPr fontId="2" type="noConversion"/>
  </si>
  <si>
    <t>코멘트사항 - 48주 긴급지원</t>
    <phoneticPr fontId="2" type="noConversion"/>
  </si>
  <si>
    <t>SKMT</t>
    <phoneticPr fontId="2" type="noConversion"/>
  </si>
  <si>
    <t>HLG</t>
    <phoneticPr fontId="2" type="noConversion"/>
  </si>
  <si>
    <t>승조원 교육</t>
    <phoneticPr fontId="2" type="noConversion"/>
  </si>
  <si>
    <t>CNM(1)</t>
    <phoneticPr fontId="2" type="noConversion"/>
  </si>
  <si>
    <t>SKMT</t>
    <phoneticPr fontId="2" type="noConversion"/>
  </si>
  <si>
    <t>GNN0016</t>
    <phoneticPr fontId="2" type="noConversion"/>
  </si>
  <si>
    <t>KT</t>
    <phoneticPr fontId="2" type="noConversion"/>
  </si>
  <si>
    <t>크레인 붐대 안착거치대 파손 및 탈락 외 점검</t>
    <phoneticPr fontId="2" type="noConversion"/>
  </si>
  <si>
    <t>보증수리사항</t>
    <phoneticPr fontId="2" type="noConversion"/>
  </si>
  <si>
    <t>OAC</t>
    <phoneticPr fontId="2" type="noConversion"/>
  </si>
  <si>
    <t>DOOR 파손 작업 및 명판교체 외 점검</t>
    <phoneticPr fontId="2" type="noConversion"/>
  </si>
  <si>
    <t>TC</t>
    <phoneticPr fontId="2" type="noConversion"/>
  </si>
  <si>
    <t xml:space="preserve"> 크레인 유리 세정용 워셔액 노즐 파손 교체 외</t>
    <phoneticPr fontId="2" type="noConversion"/>
  </si>
  <si>
    <t>보증수리사항</t>
    <phoneticPr fontId="2" type="noConversion"/>
  </si>
  <si>
    <t>인도후</t>
    <phoneticPr fontId="2" type="noConversion"/>
  </si>
  <si>
    <t>7060
(강화도함)</t>
    <phoneticPr fontId="2" type="noConversion"/>
  </si>
  <si>
    <t>CS</t>
    <phoneticPr fontId="2" type="noConversion"/>
  </si>
  <si>
    <t>좌현 계선기 커넥터 교체 및 전체라인 점검</t>
    <phoneticPr fontId="2" type="noConversion"/>
  </si>
  <si>
    <t>7060
(강화도함)</t>
    <phoneticPr fontId="2" type="noConversion"/>
  </si>
  <si>
    <t>PTCHD</t>
    <phoneticPr fontId="2" type="noConversion"/>
  </si>
  <si>
    <t>하부 센서 및 상부 센서의 오작동</t>
    <phoneticPr fontId="2" type="noConversion"/>
  </si>
  <si>
    <t>CNM(1)</t>
    <phoneticPr fontId="2" type="noConversion"/>
  </si>
  <si>
    <t>보증수리사항</t>
    <phoneticPr fontId="2" type="noConversion"/>
  </si>
  <si>
    <t>TC</t>
    <phoneticPr fontId="2" type="noConversion"/>
  </si>
  <si>
    <t>크레인 해체</t>
    <phoneticPr fontId="2" type="noConversion"/>
  </si>
  <si>
    <t>12/2,4</t>
    <phoneticPr fontId="2" type="noConversion"/>
  </si>
  <si>
    <t>S189</t>
    <phoneticPr fontId="2" type="noConversion"/>
  </si>
  <si>
    <t>BSR</t>
    <phoneticPr fontId="2" type="noConversion"/>
  </si>
  <si>
    <t>커미셔닝</t>
    <phoneticPr fontId="2" type="noConversion"/>
  </si>
  <si>
    <t>범양(2)</t>
    <phoneticPr fontId="2" type="noConversion"/>
  </si>
  <si>
    <t>S189</t>
    <phoneticPr fontId="2" type="noConversion"/>
  </si>
  <si>
    <t>커미셔닝</t>
    <phoneticPr fontId="2" type="noConversion"/>
  </si>
  <si>
    <t>12/4~5</t>
    <phoneticPr fontId="2" type="noConversion"/>
  </si>
  <si>
    <t>SKMT</t>
    <phoneticPr fontId="2" type="noConversion"/>
  </si>
  <si>
    <t>GNN0016</t>
    <phoneticPr fontId="2" type="noConversion"/>
  </si>
  <si>
    <t>크레인 붐대 안착거치대 파손 및 탈락 외</t>
    <phoneticPr fontId="2" type="noConversion"/>
  </si>
  <si>
    <t>보증수리사항</t>
    <phoneticPr fontId="2" type="noConversion"/>
  </si>
  <si>
    <t>12/4~5</t>
    <phoneticPr fontId="2" type="noConversion"/>
  </si>
  <si>
    <t>GNN0016</t>
    <phoneticPr fontId="2" type="noConversion"/>
  </si>
  <si>
    <t>KT</t>
    <phoneticPr fontId="2" type="noConversion"/>
  </si>
  <si>
    <t>크레인 붐대 안착거치대 파손 및 탈락 외</t>
    <phoneticPr fontId="2" type="noConversion"/>
  </si>
  <si>
    <t>DST(2)</t>
    <phoneticPr fontId="2" type="noConversion"/>
  </si>
  <si>
    <t>GNN0018</t>
    <phoneticPr fontId="2" type="noConversion"/>
  </si>
  <si>
    <t>ML</t>
    <phoneticPr fontId="2" type="noConversion"/>
  </si>
  <si>
    <r>
      <t xml:space="preserve">설치 검사 </t>
    </r>
    <r>
      <rPr>
        <b/>
        <sz val="10"/>
        <rFont val="맑은 고딕"/>
        <family val="3"/>
        <charset val="129"/>
        <scheme val="minor"/>
      </rPr>
      <t>(13:30)</t>
    </r>
    <phoneticPr fontId="2" type="noConversion"/>
  </si>
  <si>
    <t>S204</t>
    <phoneticPr fontId="2" type="noConversion"/>
  </si>
  <si>
    <t>CYLINDER GUIDE BAR 교체</t>
    <phoneticPr fontId="2" type="noConversion"/>
  </si>
  <si>
    <t>49주 긴급지원</t>
    <phoneticPr fontId="2" type="noConversion"/>
  </si>
  <si>
    <t>49주 긴급지원</t>
    <phoneticPr fontId="2" type="noConversion"/>
  </si>
  <si>
    <t>HPU 포장 / 덴소</t>
  </si>
  <si>
    <t>더베스트(2)</t>
    <phoneticPr fontId="2" type="noConversion"/>
  </si>
  <si>
    <t>더베스트(2)</t>
    <phoneticPr fontId="2" type="noConversion"/>
  </si>
  <si>
    <t>12/10~12</t>
    <phoneticPr fontId="2" type="noConversion"/>
  </si>
  <si>
    <t>12/10~12</t>
    <phoneticPr fontId="2" type="noConversion"/>
  </si>
  <si>
    <t>P179</t>
    <phoneticPr fontId="2" type="noConversion"/>
  </si>
  <si>
    <t>포장</t>
    <phoneticPr fontId="2" type="noConversion"/>
  </si>
  <si>
    <t>222003
(3020함)</t>
    <phoneticPr fontId="2" type="noConversion"/>
  </si>
  <si>
    <t>크레들 시트 작업 및 BATTERY 전선 불량 /
코멘트 작업</t>
    <phoneticPr fontId="2" type="noConversion"/>
  </si>
  <si>
    <t>코멘트사항 - 49주 긴급지원</t>
    <phoneticPr fontId="2" type="noConversion"/>
  </si>
  <si>
    <t>크레인 작업</t>
    <phoneticPr fontId="2" type="noConversion"/>
  </si>
  <si>
    <t>크레인 작업</t>
    <phoneticPr fontId="2" type="noConversion"/>
  </si>
  <si>
    <t>박해식</t>
    <phoneticPr fontId="2" type="noConversion"/>
  </si>
  <si>
    <t>보증수리사항 - 49주 긴급지원</t>
    <phoneticPr fontId="2" type="noConversion"/>
  </si>
  <si>
    <t>박해식</t>
    <phoneticPr fontId="2" type="noConversion"/>
  </si>
  <si>
    <t>범양(1)</t>
    <phoneticPr fontId="2" type="noConversion"/>
  </si>
  <si>
    <t>보증수리사항 - 49주 긴급지원</t>
    <phoneticPr fontId="2" type="noConversion"/>
  </si>
  <si>
    <t>SN2651</t>
    <phoneticPr fontId="2" type="noConversion"/>
  </si>
  <si>
    <t>PV</t>
    <phoneticPr fontId="2" type="noConversion"/>
  </si>
  <si>
    <t>크레인 리모트 컨트롤러 이상</t>
    <phoneticPr fontId="2" type="noConversion"/>
  </si>
  <si>
    <t>SN2651</t>
    <phoneticPr fontId="2" type="noConversion"/>
  </si>
  <si>
    <t>락킹테스트 (10:00)</t>
    <phoneticPr fontId="2" type="noConversion"/>
  </si>
  <si>
    <t>계약사항</t>
    <phoneticPr fontId="2" type="noConversion"/>
  </si>
  <si>
    <t>12/08~12/09</t>
    <phoneticPr fontId="2" type="noConversion"/>
  </si>
  <si>
    <t>TC</t>
    <phoneticPr fontId="2" type="noConversion"/>
  </si>
  <si>
    <t>크레인 작업</t>
    <phoneticPr fontId="2" type="noConversion"/>
  </si>
  <si>
    <t>부산대변항</t>
    <phoneticPr fontId="2" type="noConversion"/>
  </si>
  <si>
    <t>SWN0280
(무궁화21호)</t>
    <phoneticPr fontId="2" type="noConversion"/>
  </si>
  <si>
    <t>좌현 RUBBER 교체 / 우현 윤활유 누유</t>
    <phoneticPr fontId="2" type="noConversion"/>
  </si>
  <si>
    <t>DSS</t>
    <phoneticPr fontId="2" type="noConversion"/>
  </si>
  <si>
    <t>SB687</t>
    <phoneticPr fontId="2" type="noConversion"/>
  </si>
  <si>
    <t>Light 교체 / HPU 보조 전기모터 언로딩 솔 확인/
비상 작업 유압 라인 확인</t>
    <phoneticPr fontId="2" type="noConversion"/>
  </si>
  <si>
    <t>가야(1),TP(1)</t>
    <phoneticPr fontId="2" type="noConversion"/>
  </si>
  <si>
    <t>P178</t>
    <phoneticPr fontId="2" type="noConversion"/>
  </si>
  <si>
    <t>블록 스탑 와이어 길이 조정</t>
    <phoneticPr fontId="2" type="noConversion"/>
  </si>
  <si>
    <t>CNM(1)</t>
    <phoneticPr fontId="2" type="noConversion"/>
  </si>
  <si>
    <t>성동</t>
    <phoneticPr fontId="2" type="noConversion"/>
  </si>
  <si>
    <t>2번모터 와이서 속도 조절</t>
    <phoneticPr fontId="2" type="noConversion"/>
  </si>
  <si>
    <t>동아</t>
    <phoneticPr fontId="2" type="noConversion"/>
  </si>
  <si>
    <t>P169</t>
    <phoneticPr fontId="2" type="noConversion"/>
  </si>
  <si>
    <t>검사 (08시/17시 통선)</t>
    <phoneticPr fontId="2" type="noConversion"/>
  </si>
  <si>
    <t>BSR</t>
    <phoneticPr fontId="2" type="noConversion"/>
  </si>
  <si>
    <t>YN05</t>
    <phoneticPr fontId="2" type="noConversion"/>
  </si>
  <si>
    <t>컨테이너 상차</t>
    <phoneticPr fontId="2" type="noConversion"/>
  </si>
  <si>
    <t>50주 긴급지원</t>
    <phoneticPr fontId="2" type="noConversion"/>
  </si>
  <si>
    <t>HPU 덴소 및 포장</t>
    <phoneticPr fontId="2" type="noConversion"/>
  </si>
  <si>
    <t>더베스트(2)</t>
    <phoneticPr fontId="2" type="noConversion"/>
  </si>
  <si>
    <t>50주 긴급지원</t>
    <phoneticPr fontId="2" type="noConversion"/>
  </si>
  <si>
    <t>12/16~17</t>
    <phoneticPr fontId="2" type="noConversion"/>
  </si>
  <si>
    <t>DAVIT 덴소 및 포장</t>
    <phoneticPr fontId="2" type="noConversion"/>
  </si>
  <si>
    <t>더베스트(4)</t>
    <phoneticPr fontId="2" type="noConversion"/>
  </si>
  <si>
    <t>P179</t>
    <phoneticPr fontId="2" type="noConversion"/>
  </si>
  <si>
    <t>KT</t>
    <phoneticPr fontId="2" type="noConversion"/>
  </si>
  <si>
    <t>HIO(1)</t>
    <phoneticPr fontId="2" type="noConversion"/>
  </si>
  <si>
    <t>HIO(1)</t>
    <phoneticPr fontId="2" type="noConversion"/>
  </si>
  <si>
    <t>BSR</t>
    <phoneticPr fontId="2" type="noConversion"/>
  </si>
  <si>
    <t>50주 긴급지원 - 계약사항</t>
    <phoneticPr fontId="2" type="noConversion"/>
  </si>
  <si>
    <t>성동</t>
    <phoneticPr fontId="2" type="noConversion"/>
  </si>
  <si>
    <t>1번모터 작동시 소음 및 슬립 발생</t>
    <phoneticPr fontId="2" type="noConversion"/>
  </si>
  <si>
    <t>S189</t>
    <phoneticPr fontId="2" type="noConversion"/>
  </si>
  <si>
    <t>검사 (9:30)</t>
    <phoneticPr fontId="2" type="noConversion"/>
  </si>
  <si>
    <t>12/16~19</t>
    <phoneticPr fontId="2" type="noConversion"/>
  </si>
  <si>
    <t>HIO(4)</t>
    <phoneticPr fontId="2" type="noConversion"/>
  </si>
  <si>
    <t>P172</t>
    <phoneticPr fontId="2" type="noConversion"/>
  </si>
  <si>
    <t>ML</t>
    <phoneticPr fontId="2" type="noConversion"/>
  </si>
  <si>
    <t>RAMP 수정작업</t>
    <phoneticPr fontId="2" type="noConversion"/>
  </si>
  <si>
    <t>박성용</t>
    <phoneticPr fontId="2" type="noConversion"/>
  </si>
  <si>
    <t>222003
(3020함)</t>
    <phoneticPr fontId="2" type="noConversion"/>
  </si>
  <si>
    <t>근접리미트 추가작업</t>
    <phoneticPr fontId="2" type="noConversion"/>
  </si>
  <si>
    <t>범양(1),동아(1)</t>
    <phoneticPr fontId="2" type="noConversion"/>
  </si>
  <si>
    <t>크레인 작업</t>
    <phoneticPr fontId="2" type="noConversion"/>
  </si>
  <si>
    <t>이광형,박해식</t>
    <phoneticPr fontId="2" type="noConversion"/>
  </si>
  <si>
    <t>222003
(3020함)</t>
    <phoneticPr fontId="2" type="noConversion"/>
  </si>
  <si>
    <t>재검사 / 검사</t>
    <phoneticPr fontId="2" type="noConversion"/>
  </si>
  <si>
    <t>이순신함</t>
    <phoneticPr fontId="2" type="noConversion"/>
  </si>
  <si>
    <t>리미트 조정 작업(부저,퓨즈,누전문제)
해군의집 시간 : 8:30</t>
    <phoneticPr fontId="2" type="noConversion"/>
  </si>
  <si>
    <t>동아</t>
    <phoneticPr fontId="2" type="noConversion"/>
  </si>
  <si>
    <t>코멘트사항</t>
    <phoneticPr fontId="2" type="noConversion"/>
  </si>
  <si>
    <t>DAVIT 작동시 본체 각극 (틈) 발생 / 와이어 꼬임</t>
    <phoneticPr fontId="2" type="noConversion"/>
  </si>
  <si>
    <t>목포</t>
    <phoneticPr fontId="2" type="noConversion"/>
  </si>
  <si>
    <t>SWN0283
(무궁화42호)</t>
    <phoneticPr fontId="2" type="noConversion"/>
  </si>
  <si>
    <t>유압유 예열기 15초 간격으로 꺼짐,켜짐</t>
    <phoneticPr fontId="2" type="noConversion"/>
  </si>
  <si>
    <t>가야(1)</t>
    <phoneticPr fontId="2" type="noConversion"/>
  </si>
  <si>
    <t>12/17~18</t>
    <phoneticPr fontId="2" type="noConversion"/>
  </si>
  <si>
    <t>51주 긴급지원</t>
    <phoneticPr fontId="2" type="noConversion"/>
  </si>
  <si>
    <t>12/22~24</t>
    <phoneticPr fontId="2" type="noConversion"/>
  </si>
  <si>
    <t>조립 및 탑재</t>
    <phoneticPr fontId="2" type="noConversion"/>
  </si>
  <si>
    <t>P179</t>
    <phoneticPr fontId="2" type="noConversion"/>
  </si>
  <si>
    <t>포장 및 덴소</t>
    <phoneticPr fontId="2" type="noConversion"/>
  </si>
  <si>
    <t>더베스트(2)</t>
    <phoneticPr fontId="2" type="noConversion"/>
  </si>
  <si>
    <t>12/22,24</t>
    <phoneticPr fontId="2" type="noConversion"/>
  </si>
  <si>
    <t>조립/설치</t>
    <phoneticPr fontId="2" type="noConversion"/>
  </si>
  <si>
    <t>범양(2)</t>
    <phoneticPr fontId="2" type="noConversion"/>
  </si>
  <si>
    <t>근접리미트 수정</t>
    <phoneticPr fontId="2" type="noConversion"/>
  </si>
  <si>
    <t>51주 긴급지원 - 코멘트사항</t>
    <phoneticPr fontId="2" type="noConversion"/>
  </si>
  <si>
    <t>TC</t>
    <phoneticPr fontId="2" type="noConversion"/>
  </si>
  <si>
    <t>51주 긴급지원 - 보증수리사항</t>
    <phoneticPr fontId="2" type="noConversion"/>
  </si>
  <si>
    <t>A/S</t>
    <phoneticPr fontId="2" type="noConversion"/>
  </si>
  <si>
    <t>HOC</t>
    <phoneticPr fontId="2" type="noConversion"/>
  </si>
  <si>
    <t>7060
(강화도함)</t>
    <phoneticPr fontId="2" type="noConversion"/>
  </si>
  <si>
    <t>크레인 작업</t>
    <phoneticPr fontId="2" type="noConversion"/>
  </si>
  <si>
    <t>스타터판넬 TRAY 추가 설치</t>
    <phoneticPr fontId="2" type="noConversion"/>
  </si>
  <si>
    <t>근접리미트 작업</t>
    <phoneticPr fontId="2" type="noConversion"/>
  </si>
  <si>
    <t>램프게이트 점검 / 모터 점검</t>
    <phoneticPr fontId="2" type="noConversion"/>
  </si>
  <si>
    <t>램프게이트 점검 / 모터 점검</t>
    <phoneticPr fontId="2" type="noConversion"/>
  </si>
  <si>
    <t>12/22~24,26</t>
    <phoneticPr fontId="2" type="noConversion"/>
  </si>
  <si>
    <t>근접 리미트 설치 , JB 붐대 SEAT 변경</t>
    <phoneticPr fontId="2" type="noConversion"/>
  </si>
  <si>
    <t>입고 코멘트 조치</t>
    <phoneticPr fontId="2" type="noConversion"/>
  </si>
  <si>
    <t>SN2661</t>
    <phoneticPr fontId="2" type="noConversion"/>
  </si>
  <si>
    <t>LAC</t>
    <phoneticPr fontId="2" type="noConversion"/>
  </si>
  <si>
    <t>BOLTING TYPE 추가 작업</t>
    <phoneticPr fontId="2" type="noConversion"/>
  </si>
  <si>
    <t>우신(2)</t>
    <phoneticPr fontId="2" type="noConversion"/>
  </si>
  <si>
    <t>코멘트사항</t>
    <phoneticPr fontId="2" type="noConversion"/>
  </si>
  <si>
    <t>설치</t>
    <phoneticPr fontId="2" type="noConversion"/>
  </si>
  <si>
    <t>우신(1)</t>
    <phoneticPr fontId="2" type="noConversion"/>
  </si>
  <si>
    <t>ERC</t>
    <phoneticPr fontId="2" type="noConversion"/>
  </si>
  <si>
    <t>FAT</t>
    <phoneticPr fontId="2" type="noConversion"/>
  </si>
  <si>
    <t>HIO(1),
범양-최기추(1)</t>
    <phoneticPr fontId="2" type="noConversion"/>
  </si>
  <si>
    <t>SWN0294</t>
    <phoneticPr fontId="2" type="noConversion"/>
  </si>
  <si>
    <t>FDC</t>
    <phoneticPr fontId="2" type="noConversion"/>
  </si>
  <si>
    <t>FDC</t>
    <phoneticPr fontId="2" type="noConversion"/>
  </si>
  <si>
    <t>HIO(1)</t>
    <phoneticPr fontId="2" type="noConversion"/>
  </si>
  <si>
    <t>포장</t>
    <phoneticPr fontId="2" type="noConversion"/>
  </si>
  <si>
    <t>SWN0294</t>
    <phoneticPr fontId="2" type="noConversion"/>
  </si>
  <si>
    <t>범양-최기추(1)</t>
    <phoneticPr fontId="2" type="noConversion"/>
  </si>
  <si>
    <t>HIO(1),
범양-최기추(1)</t>
    <phoneticPr fontId="2" type="noConversion"/>
  </si>
  <si>
    <t>A/S</t>
    <phoneticPr fontId="2" type="noConversion"/>
  </si>
  <si>
    <t>인도전</t>
    <phoneticPr fontId="2" type="noConversion"/>
  </si>
  <si>
    <t>S205</t>
    <phoneticPr fontId="2" type="noConversion"/>
  </si>
  <si>
    <t>JB 설치 및 결선</t>
    <phoneticPr fontId="2" type="noConversion"/>
  </si>
  <si>
    <t>박성용</t>
    <phoneticPr fontId="2" type="noConversion"/>
  </si>
  <si>
    <t>무상</t>
    <phoneticPr fontId="2" type="noConversion"/>
  </si>
  <si>
    <t>SN2661</t>
    <phoneticPr fontId="2" type="noConversion"/>
  </si>
  <si>
    <t>LAC</t>
    <phoneticPr fontId="2" type="noConversion"/>
  </si>
  <si>
    <t>탑재</t>
    <phoneticPr fontId="2" type="noConversion"/>
  </si>
  <si>
    <t>인도후</t>
    <phoneticPr fontId="2" type="noConversion"/>
  </si>
  <si>
    <t>이순신함</t>
    <phoneticPr fontId="2" type="noConversion"/>
  </si>
  <si>
    <t>UP LIMIT 문제(TOUCH BAR 조절)/로드리미터 점검</t>
    <phoneticPr fontId="2" type="noConversion"/>
  </si>
  <si>
    <t>UP LIMIT 문제(TOUCH BAR 조절)/로드리미터 점검</t>
    <phoneticPr fontId="2" type="noConversion"/>
  </si>
  <si>
    <t>신한(1)</t>
    <phoneticPr fontId="2" type="noConversion"/>
  </si>
  <si>
    <t>GNN0017</t>
    <phoneticPr fontId="2" type="noConversion"/>
  </si>
  <si>
    <t>RB</t>
    <phoneticPr fontId="2" type="noConversion"/>
  </si>
  <si>
    <t xml:space="preserve">스크린 연동제어 문제 </t>
    <phoneticPr fontId="2" type="noConversion"/>
  </si>
  <si>
    <t>KN</t>
    <phoneticPr fontId="2" type="noConversion"/>
  </si>
  <si>
    <t>실린더 배관 PIPE 소음 작업</t>
    <phoneticPr fontId="2" type="noConversion"/>
  </si>
  <si>
    <t>점검</t>
    <phoneticPr fontId="2" type="noConversion"/>
  </si>
  <si>
    <t>엔코더 교체 작업</t>
    <phoneticPr fontId="2" type="noConversion"/>
  </si>
  <si>
    <t>성동</t>
    <phoneticPr fontId="2" type="noConversion"/>
  </si>
  <si>
    <t>WIRE ROPE GUIDE 위치 이동 설치 및 RAMP 점검</t>
    <phoneticPr fontId="2" type="noConversion"/>
  </si>
  <si>
    <t>BR</t>
    <phoneticPr fontId="2" type="noConversion"/>
  </si>
  <si>
    <t>시운전</t>
    <phoneticPr fontId="2" type="noConversion"/>
  </si>
  <si>
    <t>진진(1)</t>
    <phoneticPr fontId="2" type="noConversion"/>
  </si>
  <si>
    <t>양혜성 책임 010 9928 1358
출입신청</t>
    <phoneticPr fontId="2" type="noConversion"/>
  </si>
  <si>
    <r>
      <t xml:space="preserve">7064 </t>
    </r>
    <r>
      <rPr>
        <b/>
        <sz val="9"/>
        <color rgb="FF000000"/>
        <rFont val="돋움"/>
        <family val="3"/>
        <charset val="129"/>
      </rPr>
      <t>출항일</t>
    </r>
    <phoneticPr fontId="2" type="noConversion"/>
  </si>
  <si>
    <t>SHI</t>
    <phoneticPr fontId="2" type="noConversion"/>
  </si>
  <si>
    <t>LIMIT 설치 / Seat와 Pad 결합용 Nut 교체</t>
    <phoneticPr fontId="2" type="noConversion"/>
  </si>
  <si>
    <t>BOLTING TYPE 추가 작업 +  Earhting 추가</t>
    <phoneticPr fontId="2" type="noConversion"/>
  </si>
  <si>
    <t>RB/HHD</t>
    <phoneticPr fontId="2" type="noConversion"/>
  </si>
  <si>
    <t>작동 불가능/스크린 연동제어 문제 
(8시 안전교육,안전밸트,안전모,각반 등)</t>
    <phoneticPr fontId="2" type="noConversion"/>
  </si>
  <si>
    <t>RCS</t>
    <phoneticPr fontId="2" type="noConversion"/>
  </si>
  <si>
    <t>온보드 테스트(자체점검)
/ GNN0019 CONTROLLER SEAT 자재 전달예정</t>
    <phoneticPr fontId="2" type="noConversion"/>
  </si>
  <si>
    <t>판넬 교체 작업(2번,3번)</t>
    <phoneticPr fontId="2" type="noConversion"/>
  </si>
  <si>
    <t>히터 스위치 케이블 공급 / 전로 케이블 작업</t>
    <phoneticPr fontId="2" type="noConversion"/>
  </si>
  <si>
    <t>우신(2),동아(3)</t>
    <phoneticPr fontId="2" type="noConversion"/>
  </si>
  <si>
    <t>우신(1),HIO(1)</t>
    <phoneticPr fontId="2" type="noConversion"/>
  </si>
  <si>
    <t>신안지도업</t>
    <phoneticPr fontId="2" type="noConversion"/>
  </si>
  <si>
    <t>우신(1)</t>
    <phoneticPr fontId="2" type="noConversion"/>
  </si>
  <si>
    <t>박성용</t>
    <phoneticPr fontId="2" type="noConversion"/>
  </si>
  <si>
    <t>지창규 공장장 010-9284-4896
출입신청 X</t>
    <phoneticPr fontId="2" type="noConversion"/>
  </si>
  <si>
    <t>범양(1),동아(1)</t>
    <phoneticPr fontId="2" type="noConversion"/>
  </si>
  <si>
    <t>인도후</t>
    <phoneticPr fontId="2" type="noConversion"/>
  </si>
  <si>
    <t>SB638</t>
    <phoneticPr fontId="2" type="noConversion"/>
  </si>
  <si>
    <t>RL</t>
    <phoneticPr fontId="2" type="noConversion"/>
  </si>
  <si>
    <t>연차검사</t>
    <phoneticPr fontId="2" type="noConversion"/>
  </si>
  <si>
    <t>진진(2)</t>
    <phoneticPr fontId="2" type="noConversion"/>
  </si>
  <si>
    <t>무상</t>
    <phoneticPr fontId="2" type="noConversion"/>
  </si>
  <si>
    <t>010-2858-8426 상지해운 현슬기 과장</t>
    <phoneticPr fontId="2" type="noConversion"/>
  </si>
  <si>
    <t>한라IMS 광양사업장</t>
    <phoneticPr fontId="2" type="noConversion"/>
  </si>
  <si>
    <t>연차검사
(교육 시간 - 10:00)</t>
    <phoneticPr fontId="2" type="noConversion"/>
  </si>
  <si>
    <t>비행기 티켓ok</t>
    <phoneticPr fontId="2" type="noConversion"/>
  </si>
  <si>
    <r>
      <t xml:space="preserve">커미셔닝 / 승조원교육
</t>
    </r>
    <r>
      <rPr>
        <b/>
        <sz val="10"/>
        <color theme="1"/>
        <rFont val="맑은 고딕"/>
        <family val="3"/>
        <charset val="129"/>
        <scheme val="minor"/>
      </rPr>
      <t>(교제 5부)</t>
    </r>
    <phoneticPr fontId="2" type="noConversion"/>
  </si>
  <si>
    <t>CNM(1),가야(1)</t>
    <phoneticPr fontId="2" type="noConversion"/>
  </si>
  <si>
    <t>범양(1),우신(1)</t>
    <phoneticPr fontId="2" type="noConversion"/>
  </si>
  <si>
    <t>김민수 su.kim@samsung.com
010-2440-4559
출입신청 하기/안전교육메일 보내기</t>
    <phoneticPr fontId="2" type="noConversion"/>
  </si>
  <si>
    <t>김민수 su.kim@samsung.com
010-2440-4559</t>
    <phoneticPr fontId="2" type="noConversion"/>
  </si>
  <si>
    <t>HHD</t>
    <phoneticPr fontId="2" type="noConversion"/>
  </si>
  <si>
    <t>MOTOR CABLE 결선</t>
    <phoneticPr fontId="2" type="noConversion"/>
  </si>
  <si>
    <t>S099</t>
    <phoneticPr fontId="2" type="noConversion"/>
  </si>
  <si>
    <t>장현환 책임 010-7103-9818
출입신청완료</t>
    <phoneticPr fontId="2" type="noConversion"/>
  </si>
  <si>
    <r>
      <t xml:space="preserve">장현환 책임 010-7103-9818
</t>
    </r>
    <r>
      <rPr>
        <b/>
        <sz val="9"/>
        <color theme="1"/>
        <rFont val="맑은 고딕"/>
        <family val="3"/>
        <charset val="129"/>
        <scheme val="minor"/>
      </rPr>
      <t>출입신청완료</t>
    </r>
    <phoneticPr fontId="2" type="noConversion"/>
  </si>
  <si>
    <t>GNN0018</t>
    <phoneticPr fontId="2" type="noConversion"/>
  </si>
  <si>
    <t>와이어링 작업 후 STW(Setting To Work) 기술지원</t>
    <phoneticPr fontId="2" type="noConversion"/>
  </si>
  <si>
    <t>서영우 부장 010-4559-6321
출입신청 완료</t>
    <phoneticPr fontId="2" type="noConversion"/>
  </si>
  <si>
    <t>이준호</t>
    <phoneticPr fontId="2" type="noConversion"/>
  </si>
  <si>
    <t>온보드 테스트(자체점검)
/ GNN0019 CONTROLLER SEAT+BOLT 전달예정</t>
    <phoneticPr fontId="2" type="noConversion"/>
  </si>
  <si>
    <t>RAMP 수정작업
(미포 4안벽 : 미포 해양 동문 내리막길)</t>
    <phoneticPr fontId="2" type="noConversion"/>
  </si>
  <si>
    <t>S198</t>
    <phoneticPr fontId="2" type="noConversion"/>
  </si>
  <si>
    <t>양혜성 책임 010 9928 1358
출입신청/교육신청완료</t>
    <phoneticPr fontId="2" type="noConversion"/>
  </si>
  <si>
    <t>우신(2),동아(1)</t>
    <phoneticPr fontId="2" type="noConversion"/>
  </si>
  <si>
    <t>인도후</t>
    <phoneticPr fontId="2" type="noConversion"/>
  </si>
  <si>
    <t>인천항</t>
    <phoneticPr fontId="2" type="noConversion"/>
  </si>
  <si>
    <t>S205</t>
    <phoneticPr fontId="2" type="noConversion"/>
  </si>
  <si>
    <t>RB</t>
    <phoneticPr fontId="2" type="noConversion"/>
  </si>
  <si>
    <t>비상 발전기 유압 라인 기름 누유 발생</t>
    <phoneticPr fontId="2" type="noConversion"/>
  </si>
  <si>
    <t>DST(2)</t>
    <phoneticPr fontId="2" type="noConversion"/>
  </si>
  <si>
    <t>HHD 포토센서 교체 / RB 스크린 연동 기능 점검</t>
    <phoneticPr fontId="2" type="noConversion"/>
  </si>
  <si>
    <t>DST(2)</t>
    <phoneticPr fontId="2" type="noConversion"/>
  </si>
  <si>
    <t>S189</t>
    <phoneticPr fontId="2" type="noConversion"/>
  </si>
  <si>
    <t>무상</t>
    <phoneticPr fontId="2" type="noConversion"/>
  </si>
  <si>
    <t>무상</t>
    <phoneticPr fontId="2" type="noConversion"/>
  </si>
  <si>
    <t>무상</t>
    <phoneticPr fontId="2" type="noConversion"/>
  </si>
  <si>
    <t>BSR</t>
    <phoneticPr fontId="2" type="noConversion"/>
  </si>
  <si>
    <t>010-6546-0521</t>
    <phoneticPr fontId="2" type="noConversion"/>
  </si>
  <si>
    <t>010-9284-4896
인도일 1/20일 예정</t>
    <phoneticPr fontId="2" type="noConversion"/>
  </si>
  <si>
    <t>이준호</t>
    <phoneticPr fontId="2" type="noConversion"/>
  </si>
  <si>
    <t>박주성</t>
    <phoneticPr fontId="2" type="noConversion"/>
  </si>
  <si>
    <t>우신(2)</t>
    <phoneticPr fontId="2" type="noConversion"/>
  </si>
  <si>
    <t>반차:박해식,이광형</t>
    <phoneticPr fontId="2" type="noConversion"/>
  </si>
  <si>
    <t>코멘트 작업</t>
    <phoneticPr fontId="2" type="noConversion"/>
  </si>
  <si>
    <t>HJSC</t>
    <phoneticPr fontId="2" type="noConversion"/>
  </si>
  <si>
    <t>RB,HHD</t>
    <phoneticPr fontId="2" type="noConversion"/>
  </si>
  <si>
    <t>HIO(1),범양(1)</t>
    <phoneticPr fontId="2" type="noConversion"/>
  </si>
  <si>
    <t>교육 / 2번 모터 설치 / 와이어 텐션 확인</t>
    <phoneticPr fontId="2" type="noConversion"/>
  </si>
  <si>
    <t>0160</t>
    <phoneticPr fontId="2" type="noConversion"/>
  </si>
  <si>
    <t>동아(1)</t>
    <phoneticPr fontId="2" type="noConversion"/>
  </si>
  <si>
    <t>인도전</t>
    <phoneticPr fontId="2" type="noConversion"/>
  </si>
  <si>
    <t>RAMP RPB 수정 작업</t>
    <phoneticPr fontId="2" type="noConversion"/>
  </si>
  <si>
    <t>A/S</t>
    <phoneticPr fontId="2" type="noConversion"/>
  </si>
  <si>
    <t>인도전</t>
    <phoneticPr fontId="2" type="noConversion"/>
  </si>
  <si>
    <t>GNN0017</t>
    <phoneticPr fontId="2" type="noConversion"/>
  </si>
  <si>
    <t>단정 DAVIT 안착 부분 점검</t>
    <phoneticPr fontId="2" type="noConversion"/>
  </si>
  <si>
    <t>S189</t>
    <phoneticPr fontId="2" type="noConversion"/>
  </si>
  <si>
    <t>LIMIT 설치</t>
    <phoneticPr fontId="2" type="noConversion"/>
  </si>
  <si>
    <t>진진(2)</t>
    <phoneticPr fontId="2" type="noConversion"/>
  </si>
  <si>
    <r>
      <t xml:space="preserve">P167/168 </t>
    </r>
    <r>
      <rPr>
        <b/>
        <sz val="9"/>
        <color rgb="FF000000"/>
        <rFont val="돋움"/>
        <family val="3"/>
        <charset val="129"/>
      </rPr>
      <t>보증수리</t>
    </r>
    <r>
      <rPr>
        <b/>
        <sz val="9"/>
        <color rgb="FF000000"/>
        <rFont val="Arial"/>
        <family val="2"/>
      </rPr>
      <t>(2</t>
    </r>
    <r>
      <rPr>
        <b/>
        <sz val="9"/>
        <color rgb="FF000000"/>
        <rFont val="돋움"/>
        <family val="3"/>
        <charset val="129"/>
      </rPr>
      <t>차</t>
    </r>
    <r>
      <rPr>
        <b/>
        <sz val="9"/>
        <color rgb="FF000000"/>
        <rFont val="Arial"/>
        <family val="2"/>
      </rPr>
      <t xml:space="preserve">) : CNM </t>
    </r>
    <r>
      <rPr>
        <b/>
        <sz val="9"/>
        <color rgb="FF000000"/>
        <rFont val="돋움"/>
        <family val="3"/>
        <charset val="129"/>
      </rPr>
      <t>일정확인
보증수리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기간</t>
    </r>
    <r>
      <rPr>
        <b/>
        <sz val="9"/>
        <color rgb="FF000000"/>
        <rFont val="Arial"/>
        <family val="2"/>
      </rPr>
      <t xml:space="preserve"> : '26.01.13 ~ '26.02.13
</t>
    </r>
    <r>
      <rPr>
        <b/>
        <sz val="9"/>
        <color rgb="FF000000"/>
        <rFont val="돋움"/>
        <family val="3"/>
        <charset val="129"/>
      </rPr>
      <t>보증수리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장소</t>
    </r>
    <r>
      <rPr>
        <b/>
        <sz val="9"/>
        <color rgb="FF000000"/>
        <rFont val="Arial"/>
        <family val="2"/>
      </rPr>
      <t xml:space="preserve"> :HD </t>
    </r>
    <r>
      <rPr>
        <b/>
        <sz val="9"/>
        <color rgb="FF000000"/>
        <rFont val="돋움"/>
        <family val="3"/>
        <charset val="129"/>
      </rPr>
      <t>현대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중공업</t>
    </r>
    <r>
      <rPr>
        <b/>
        <sz val="9"/>
        <color rgb="FF000000"/>
        <rFont val="Arial"/>
        <family val="2"/>
      </rPr>
      <t xml:space="preserve"> J-4</t>
    </r>
    <r>
      <rPr>
        <b/>
        <sz val="9"/>
        <color rgb="FF000000"/>
        <rFont val="돋움"/>
        <family val="3"/>
        <charset val="129"/>
      </rPr>
      <t>안벽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및</t>
    </r>
    <r>
      <rPr>
        <b/>
        <sz val="9"/>
        <color rgb="FF000000"/>
        <rFont val="Arial"/>
        <family val="2"/>
      </rPr>
      <t xml:space="preserve"> 4</t>
    </r>
    <r>
      <rPr>
        <b/>
        <sz val="9"/>
        <color rgb="FF000000"/>
        <rFont val="돋움"/>
        <family val="3"/>
        <charset val="129"/>
      </rPr>
      <t>도크</t>
    </r>
    <phoneticPr fontId="2" type="noConversion"/>
  </si>
  <si>
    <t>PTCHD/
ROVL</t>
    <phoneticPr fontId="2" type="noConversion"/>
  </si>
  <si>
    <t>상부센서 오작동 / 격납고 손잡이 고정핀 / 
격납고 문 컨트롤 판넬 작동 불량</t>
    <phoneticPr fontId="2" type="noConversion"/>
  </si>
  <si>
    <t>오태호</t>
    <phoneticPr fontId="2" type="noConversion"/>
  </si>
  <si>
    <t>턴테이블 한쪽 회전 불가능으로 감속기 점검
(방문 하셨는지 확인)</t>
    <phoneticPr fontId="2" type="noConversion"/>
  </si>
  <si>
    <t>010-2858-8426 상지해운 현슬기 과장
출입인원 통보 완료</t>
    <phoneticPr fontId="2" type="noConversion"/>
  </si>
  <si>
    <t>장현환 책임 010-7103-9818
출입신청완료</t>
    <phoneticPr fontId="2" type="noConversion"/>
  </si>
  <si>
    <t>SWN0282
(무궁화41호)</t>
    <phoneticPr fontId="2" type="noConversion"/>
  </si>
  <si>
    <t>인도전</t>
    <phoneticPr fontId="2" type="noConversion"/>
  </si>
  <si>
    <t>RB</t>
    <phoneticPr fontId="2" type="noConversion"/>
  </si>
  <si>
    <t>박성용,서한교</t>
    <phoneticPr fontId="2" type="noConversion"/>
  </si>
  <si>
    <t>무상</t>
    <phoneticPr fontId="2" type="noConversion"/>
  </si>
  <si>
    <t>무상</t>
    <phoneticPr fontId="2" type="noConversion"/>
  </si>
  <si>
    <t>무상</t>
    <phoneticPr fontId="2" type="noConversion"/>
  </si>
  <si>
    <t>박근우 사원 선장님
010-7697-5594</t>
    <phoneticPr fontId="2" type="noConversion"/>
  </si>
  <si>
    <t>승조원 교육
(8:30까지 진해 해군의집)</t>
    <phoneticPr fontId="2" type="noConversion"/>
  </si>
  <si>
    <t>출입신청 : 우나윤 연구원님이 별도로 진행</t>
    <phoneticPr fontId="2" type="noConversion"/>
  </si>
  <si>
    <t>RCS</t>
    <phoneticPr fontId="2" type="noConversion"/>
  </si>
  <si>
    <t>배호열 책임님
010-7197-8354
출입신청 완료</t>
    <phoneticPr fontId="2" type="noConversion"/>
  </si>
  <si>
    <t>한라IMS 광양사업장</t>
    <phoneticPr fontId="2" type="noConversion"/>
  </si>
  <si>
    <t>박성용</t>
    <phoneticPr fontId="2" type="noConversion"/>
  </si>
  <si>
    <t>원윤재 상사님 010-8734-0948
출입신청완료 / 작업 완료</t>
    <phoneticPr fontId="2" type="noConversion"/>
  </si>
  <si>
    <t>공식검사
(9시 30분)</t>
    <phoneticPr fontId="2" type="noConversion"/>
  </si>
  <si>
    <t>박성용,전광진,
서한교</t>
    <phoneticPr fontId="2" type="noConversion"/>
  </si>
  <si>
    <t>우신(1)</t>
    <phoneticPr fontId="2" type="noConversion"/>
  </si>
  <si>
    <t>승조원 교육</t>
    <phoneticPr fontId="2" type="noConversion"/>
  </si>
  <si>
    <t>지창규 공장장 010-9284-4896
출입신청 X</t>
    <phoneticPr fontId="2" type="noConversion"/>
  </si>
  <si>
    <t>HHD/RCS</t>
    <phoneticPr fontId="2" type="noConversion"/>
  </si>
  <si>
    <t>점검</t>
    <phoneticPr fontId="2" type="noConversion"/>
  </si>
  <si>
    <t>CNM(1)</t>
    <phoneticPr fontId="2" type="noConversion"/>
  </si>
  <si>
    <t>CNM(2)</t>
    <phoneticPr fontId="2" type="noConversion"/>
  </si>
  <si>
    <t>P167/168</t>
    <phoneticPr fontId="2" type="noConversion"/>
  </si>
  <si>
    <t>이재양 책임 010-8906-0921
출입신청완료</t>
    <phoneticPr fontId="2" type="noConversion"/>
  </si>
  <si>
    <t>DAVIT CRADLE 용접 작업</t>
    <phoneticPr fontId="2" type="noConversion"/>
  </si>
  <si>
    <t>콘트롤 밸브 누유</t>
    <phoneticPr fontId="2" type="noConversion"/>
  </si>
  <si>
    <t>박성용</t>
    <phoneticPr fontId="2" type="noConversion"/>
  </si>
  <si>
    <t>S188</t>
    <phoneticPr fontId="2" type="noConversion"/>
  </si>
  <si>
    <t>HJSC</t>
    <phoneticPr fontId="2" type="noConversion"/>
  </si>
  <si>
    <t>누유 점검 및 조치</t>
    <phoneticPr fontId="2" type="noConversion"/>
  </si>
  <si>
    <t>박주성</t>
    <phoneticPr fontId="2" type="noConversion"/>
  </si>
  <si>
    <t>우신(1)</t>
    <phoneticPr fontId="2" type="noConversion"/>
  </si>
  <si>
    <t>BSR</t>
    <phoneticPr fontId="2" type="noConversion"/>
  </si>
  <si>
    <t>인도전</t>
    <phoneticPr fontId="2" type="noConversion"/>
  </si>
  <si>
    <t>최원석 차장 010-7447-3872
출입신청 완료</t>
    <phoneticPr fontId="2" type="noConversion"/>
  </si>
  <si>
    <t>인도후</t>
    <phoneticPr fontId="2" type="noConversion"/>
  </si>
  <si>
    <t>우신(2)</t>
    <phoneticPr fontId="2" type="noConversion"/>
  </si>
  <si>
    <t>한영성 경위님 010-3903-3269
별도 출입신청 X</t>
    <phoneticPr fontId="2" type="noConversion"/>
  </si>
  <si>
    <t>3011함
(여수해경)</t>
    <phoneticPr fontId="2" type="noConversion"/>
  </si>
  <si>
    <t>여수
해양경찰</t>
    <phoneticPr fontId="2" type="noConversion"/>
  </si>
  <si>
    <t>KN</t>
    <phoneticPr fontId="2" type="noConversion"/>
  </si>
  <si>
    <t>DAVIT 받침대 보강 작업 외</t>
    <phoneticPr fontId="2" type="noConversion"/>
  </si>
  <si>
    <t>064-793-2283
출입신청 X / 택배 발송 완료 0115</t>
    <phoneticPr fontId="2" type="noConversion"/>
  </si>
  <si>
    <t>승조원 교육 / 성장지원관 402호
(교재6부/CD 부 확인)</t>
    <phoneticPr fontId="2" type="noConversion"/>
  </si>
  <si>
    <t>박주성,임상섭</t>
    <phoneticPr fontId="2" type="noConversion"/>
  </si>
  <si>
    <t>천상욱(우신)</t>
    <phoneticPr fontId="2" type="noConversion"/>
  </si>
  <si>
    <t>토잉붐 추가 수정 작업
,컨트롤 스탠드 설명서 부착</t>
    <phoneticPr fontId="2" type="noConversion"/>
  </si>
  <si>
    <t>그물망 설치</t>
    <phoneticPr fontId="2" type="noConversion"/>
  </si>
  <si>
    <t>최원석 차장 010-7447-3872
출입신청완료/ Report 전달</t>
    <phoneticPr fontId="2" type="noConversion"/>
  </si>
  <si>
    <t>3주</t>
    <phoneticPr fontId="2" type="noConversion"/>
  </si>
  <si>
    <t>4주</t>
    <phoneticPr fontId="2" type="noConversion"/>
  </si>
  <si>
    <t>5주</t>
    <phoneticPr fontId="2" type="noConversion"/>
  </si>
  <si>
    <t>8주</t>
    <phoneticPr fontId="2" type="noConversion"/>
  </si>
  <si>
    <t>10주</t>
    <phoneticPr fontId="2" type="noConversion"/>
  </si>
  <si>
    <t>RB</t>
    <phoneticPr fontId="2" type="noConversion"/>
  </si>
  <si>
    <t>인도후</t>
    <phoneticPr fontId="2" type="noConversion"/>
  </si>
  <si>
    <t>S204</t>
    <phoneticPr fontId="2" type="noConversion"/>
  </si>
  <si>
    <t>박성용,박주성</t>
    <phoneticPr fontId="2" type="noConversion"/>
  </si>
  <si>
    <t>A/S</t>
    <phoneticPr fontId="2" type="noConversion"/>
  </si>
  <si>
    <t>A/S</t>
    <phoneticPr fontId="2" type="noConversion"/>
  </si>
  <si>
    <t>BR</t>
    <phoneticPr fontId="2" type="noConversion"/>
  </si>
  <si>
    <t>P179</t>
    <phoneticPr fontId="2" type="noConversion"/>
  </si>
  <si>
    <t>P168</t>
    <phoneticPr fontId="2" type="noConversion"/>
  </si>
  <si>
    <t>이재양 책임 010-8906-0921
출입신청하기 / Report 전달 / 출입자료전달
용접 작업 요청</t>
    <phoneticPr fontId="2" type="noConversion"/>
  </si>
  <si>
    <t>가야(1)</t>
    <phoneticPr fontId="2" type="noConversion"/>
  </si>
  <si>
    <t>HHI</t>
    <phoneticPr fontId="2" type="noConversion"/>
  </si>
  <si>
    <t>토르크리미트 교체 / 분전반 판넬에 절연저항 경보등이 지속 점등 발생 / 손잡이 고정핀 작업
해군의 집 : 9시</t>
    <phoneticPr fontId="2" type="noConversion"/>
  </si>
  <si>
    <t>GNN0018</t>
    <phoneticPr fontId="2" type="noConversion"/>
  </si>
  <si>
    <t>박성용</t>
    <phoneticPr fontId="2" type="noConversion"/>
  </si>
  <si>
    <t>CNM(1)</t>
    <phoneticPr fontId="2" type="noConversion"/>
  </si>
  <si>
    <t>무상</t>
    <phoneticPr fontId="2" type="noConversion"/>
  </si>
  <si>
    <t>서영우 부장 010-4559-6321
출입신청/안전교육신청완료</t>
    <phoneticPr fontId="2" type="noConversion"/>
  </si>
  <si>
    <t>천상욱(우신)</t>
    <phoneticPr fontId="2" type="noConversion"/>
  </si>
  <si>
    <t>천상욱(우신)</t>
    <phoneticPr fontId="2" type="noConversion"/>
  </si>
  <si>
    <t>RCS/RB</t>
    <phoneticPr fontId="2" type="noConversion"/>
  </si>
  <si>
    <t>박성용</t>
    <phoneticPr fontId="2" type="noConversion"/>
  </si>
  <si>
    <t>장신후 중사 010-5067-9827
출입 신청 완료</t>
    <phoneticPr fontId="2" type="noConversion"/>
  </si>
  <si>
    <t>우신(2)</t>
    <phoneticPr fontId="2" type="noConversion"/>
  </si>
  <si>
    <t>RB/KT</t>
    <phoneticPr fontId="2" type="noConversion"/>
  </si>
  <si>
    <t>그랜드 교체 작업(스타터,HPU,발전기)</t>
    <phoneticPr fontId="2" type="noConversion"/>
  </si>
  <si>
    <t>UP LIMIT 문제(TOUCH BAR 조절),로드리미터 점검
(접지할 장비 챙기기,드릴 챙기기) 해군의 집 8:30분</t>
    <phoneticPr fontId="2" type="noConversion"/>
  </si>
  <si>
    <t>우신(2),신한(1)</t>
    <phoneticPr fontId="2" type="noConversion"/>
  </si>
  <si>
    <r>
      <t xml:space="preserve">010-4820-0037 김요한 갑판장님
이범수 상사 010-4999-9910
출입신청완료 / </t>
    </r>
    <r>
      <rPr>
        <b/>
        <sz val="9"/>
        <color rgb="FFFF0000"/>
        <rFont val="맑은 고딕"/>
        <family val="3"/>
        <charset val="129"/>
        <scheme val="minor"/>
      </rPr>
      <t>Report 한화에 보내기</t>
    </r>
    <phoneticPr fontId="2" type="noConversion"/>
  </si>
  <si>
    <t>동아(1)</t>
    <phoneticPr fontId="2" type="noConversion"/>
  </si>
  <si>
    <r>
      <t>010-4820-0037 김요한 갑판장님
출입신청 확인하기(되었는지?)/</t>
    </r>
    <r>
      <rPr>
        <b/>
        <sz val="8"/>
        <color rgb="FFFF0000"/>
        <rFont val="맑은 고딕"/>
        <family val="3"/>
        <charset val="129"/>
        <scheme val="minor"/>
      </rPr>
      <t>금요일까지 작업완료 요청옴</t>
    </r>
    <phoneticPr fontId="2" type="noConversion"/>
  </si>
  <si>
    <t>우신(2),HIO(1)</t>
    <phoneticPr fontId="2" type="noConversion"/>
  </si>
  <si>
    <t xml:space="preserve">토르크리미트 교체 </t>
    <phoneticPr fontId="2" type="noConversion"/>
  </si>
  <si>
    <t>지훈희 책임님 010-3561-9417
결과 확인 하기 / 출입 신청 서류보내기</t>
    <phoneticPr fontId="2" type="noConversion"/>
  </si>
  <si>
    <t>근접 리미트 교체 예정
(리미트스위치 작동이 간헐적으로 안됨)</t>
    <phoneticPr fontId="2" type="noConversion"/>
  </si>
  <si>
    <t>RB</t>
    <phoneticPr fontId="2" type="noConversion"/>
  </si>
  <si>
    <t>박성용</t>
    <phoneticPr fontId="2" type="noConversion"/>
  </si>
  <si>
    <t>진진(3)</t>
    <phoneticPr fontId="2" type="noConversion"/>
  </si>
  <si>
    <t>김영수 책임 
010 2587 9486
출입신청 완료/서류 책임님이 출력예정</t>
    <phoneticPr fontId="2" type="noConversion"/>
  </si>
  <si>
    <t>승조원교육 / 명판 교체,JOYSTICK 수리 완료
(교재 5부/13:30/WORK BOAT SIDE)</t>
    <phoneticPr fontId="2" type="noConversion"/>
  </si>
  <si>
    <t>11주</t>
    <phoneticPr fontId="2" type="noConversion"/>
  </si>
  <si>
    <t>12주</t>
    <phoneticPr fontId="2" type="noConversion"/>
  </si>
  <si>
    <t>13주</t>
    <phoneticPr fontId="2" type="noConversion"/>
  </si>
  <si>
    <t>14주</t>
    <phoneticPr fontId="2" type="noConversion"/>
  </si>
  <si>
    <t>15주</t>
    <phoneticPr fontId="2" type="noConversion"/>
  </si>
  <si>
    <t>16주</t>
    <phoneticPr fontId="2" type="noConversion"/>
  </si>
  <si>
    <t>17주</t>
    <phoneticPr fontId="2" type="noConversion"/>
  </si>
  <si>
    <t>18주</t>
    <phoneticPr fontId="2" type="noConversion"/>
  </si>
  <si>
    <t>19주</t>
    <phoneticPr fontId="2" type="noConversion"/>
  </si>
  <si>
    <t>20주</t>
    <phoneticPr fontId="2" type="noConversion"/>
  </si>
  <si>
    <t>21주</t>
    <phoneticPr fontId="2" type="noConversion"/>
  </si>
  <si>
    <t>22주</t>
    <phoneticPr fontId="2" type="noConversion"/>
  </si>
  <si>
    <t>23주</t>
    <phoneticPr fontId="2" type="noConversion"/>
  </si>
  <si>
    <t>A/S</t>
    <phoneticPr fontId="2" type="noConversion"/>
  </si>
  <si>
    <t>인도후</t>
    <phoneticPr fontId="2" type="noConversion"/>
  </si>
  <si>
    <t>무상</t>
    <phoneticPr fontId="2" type="noConversion"/>
  </si>
  <si>
    <t>우신(1)</t>
    <phoneticPr fontId="2" type="noConversion"/>
  </si>
  <si>
    <t>오승만</t>
    <phoneticPr fontId="2" type="noConversion"/>
  </si>
  <si>
    <t>선장부 선장2과 박은식 프로(페데스탈)
010-5461-9345 / 출입신청:12/22~29
박주성 부장님 : 12/19~25</t>
    <phoneticPr fontId="2" type="noConversion"/>
  </si>
  <si>
    <t>S201 / 
S202</t>
    <phoneticPr fontId="2" type="noConversion"/>
  </si>
  <si>
    <t>유상</t>
    <phoneticPr fontId="2" type="noConversion"/>
  </si>
  <si>
    <t>인도전</t>
    <phoneticPr fontId="2" type="noConversion"/>
  </si>
  <si>
    <t>HJSC</t>
    <phoneticPr fontId="2" type="noConversion"/>
  </si>
  <si>
    <t>독도함</t>
    <phoneticPr fontId="2" type="noConversion"/>
  </si>
  <si>
    <t>천상욱(우신)</t>
    <phoneticPr fontId="2" type="noConversion"/>
  </si>
  <si>
    <t>HHD</t>
    <phoneticPr fontId="2" type="noConversion"/>
  </si>
  <si>
    <t>HHI</t>
    <phoneticPr fontId="2" type="noConversion"/>
  </si>
  <si>
    <t>박주성</t>
    <phoneticPr fontId="2" type="noConversion"/>
  </si>
  <si>
    <t xml:space="preserve">이재양 책임 010-8906-0921
출입신청하기 / Report 전달 / 출입자료전달
크레인 사용 요청 완료 </t>
    <phoneticPr fontId="2" type="noConversion"/>
  </si>
  <si>
    <t>P179</t>
    <phoneticPr fontId="2" type="noConversion"/>
  </si>
  <si>
    <t>KT/RD</t>
    <phoneticPr fontId="2" type="noConversion"/>
  </si>
  <si>
    <t>MOTOR 설치 / 명판 부착 작업</t>
    <phoneticPr fontId="2" type="noConversion"/>
  </si>
  <si>
    <t>0160</t>
    <phoneticPr fontId="2" type="noConversion"/>
  </si>
  <si>
    <t>CNM(1)</t>
    <phoneticPr fontId="2" type="noConversion"/>
  </si>
  <si>
    <r>
      <rPr>
        <b/>
        <sz val="8"/>
        <color theme="1"/>
        <rFont val="맑은 고딕"/>
        <family val="3"/>
        <charset val="129"/>
        <scheme val="minor"/>
      </rPr>
      <t>현대 출입신청 완료</t>
    </r>
    <r>
      <rPr>
        <sz val="8"/>
        <color theme="1"/>
        <rFont val="맑은 고딕"/>
        <family val="3"/>
        <charset val="129"/>
        <scheme val="minor"/>
      </rPr>
      <t xml:space="preserve">
이재양 책임 010-8906-0921</t>
    </r>
    <phoneticPr fontId="2" type="noConversion"/>
  </si>
  <si>
    <t>DAVIT 받침대 보강 작업 외</t>
    <phoneticPr fontId="2" type="noConversion"/>
  </si>
  <si>
    <t>김도현 사원
010-8687-7803</t>
    <phoneticPr fontId="2" type="noConversion"/>
  </si>
  <si>
    <t>신봉신 경사 (안전팀장)
H.P : 010-3656-3810</t>
    <phoneticPr fontId="2" type="noConversion"/>
  </si>
  <si>
    <t>좌현 Lock Cylinder 소음 점검
해군의집 : 9:00</t>
    <phoneticPr fontId="2" type="noConversion"/>
  </si>
  <si>
    <t>010-5087-3922
PM NO.1 300호정
출입신청완료</t>
    <phoneticPr fontId="2" type="noConversion"/>
  </si>
  <si>
    <t>진해해군</t>
    <phoneticPr fontId="2" type="noConversion"/>
  </si>
  <si>
    <t>범양(1),우신(1)</t>
    <phoneticPr fontId="2" type="noConversion"/>
  </si>
  <si>
    <t>오태호
* 임기근(반차)</t>
    <phoneticPr fontId="2" type="noConversion"/>
  </si>
  <si>
    <t>박성용</t>
    <phoneticPr fontId="2" type="noConversion"/>
  </si>
  <si>
    <t>정명훈 010-4082-0210
박성용기장님만 갈 예정,교제는 택배로
우나윤 연구원님이 전달 해주신다고 함</t>
    <phoneticPr fontId="2" type="noConversion"/>
  </si>
  <si>
    <r>
      <t>010-9037-7311</t>
    </r>
    <r>
      <rPr>
        <sz val="8"/>
        <color rgb="FF0000FF"/>
        <rFont val="맑은 고딕"/>
        <family val="3"/>
        <charset val="129"/>
        <scheme val="minor"/>
      </rPr>
      <t xml:space="preserve">
11/22~3주동안 정박예정</t>
    </r>
    <phoneticPr fontId="2" type="noConversion"/>
  </si>
  <si>
    <t>출입신청완료/필요 서류 전달
조향근차장 010-9597-1227</t>
    <phoneticPr fontId="2" type="noConversion"/>
  </si>
  <si>
    <t>단정데비트 Luffing Arm 함 내부로 이동 시 Limit Switch 미작동 
소형천정권양기 브레이크 수리 / 와이어 교체</t>
    <phoneticPr fontId="2" type="noConversion"/>
  </si>
  <si>
    <t>LUG 추가 용접 작업</t>
    <phoneticPr fontId="2" type="noConversion"/>
  </si>
  <si>
    <r>
      <t xml:space="preserve">서영우 부장 010-4559-6321
</t>
    </r>
    <r>
      <rPr>
        <b/>
        <sz val="9"/>
        <color rgb="FFFF0000"/>
        <rFont val="맑은 고딕"/>
        <family val="3"/>
        <charset val="129"/>
        <scheme val="minor"/>
      </rPr>
      <t>삼강 출입신청 완료(서영우부장님 처리)</t>
    </r>
    <phoneticPr fontId="2" type="noConversion"/>
  </si>
  <si>
    <t>CNM(1),우신(1)</t>
    <phoneticPr fontId="2" type="noConversion"/>
  </si>
  <si>
    <t>부산항
5부두</t>
    <phoneticPr fontId="2" type="noConversion"/>
  </si>
  <si>
    <t>선장부 선장2과 박은식 프로(페데스탈)
010-5461-9345
출입신청완료/차량신청요청완료</t>
    <phoneticPr fontId="2" type="noConversion"/>
  </si>
  <si>
    <t>DAVIT 하부 RUBBER 갈라짐 및 들뜸현상 점검</t>
    <phoneticPr fontId="2" type="noConversion"/>
  </si>
  <si>
    <t>삼강 S&amp;C</t>
    <phoneticPr fontId="2" type="noConversion"/>
  </si>
  <si>
    <t>진해해군</t>
    <phoneticPr fontId="2" type="noConversion"/>
  </si>
  <si>
    <t>CS</t>
    <phoneticPr fontId="2" type="noConversion"/>
  </si>
  <si>
    <t>개인차량</t>
    <phoneticPr fontId="2" type="noConversion"/>
  </si>
  <si>
    <t>박성용</t>
    <phoneticPr fontId="2" type="noConversion"/>
  </si>
  <si>
    <t>S199/
S201</t>
    <phoneticPr fontId="2" type="noConversion"/>
  </si>
  <si>
    <t>CS</t>
    <phoneticPr fontId="2" type="noConversion"/>
  </si>
  <si>
    <r>
      <t>IRST 적외선 탐색 및 추적 시스템
(공시운전 입회)</t>
    </r>
    <r>
      <rPr>
        <b/>
        <sz val="10"/>
        <color theme="1"/>
        <rFont val="맑은 고딕"/>
        <family val="3"/>
        <charset val="129"/>
        <scheme val="minor"/>
      </rPr>
      <t xml:space="preserve"> 07:30~17:00 통선</t>
    </r>
    <phoneticPr fontId="2" type="noConversion"/>
  </si>
  <si>
    <t>엔코더 교체, 커버작업
WIRE ROPE GUIDE 위치 이동 설치 및 RAMP 점검
(와이어 / PIPE / 마그네틱 드릴 /엔코더 커버 자재 입고 확인)</t>
    <phoneticPr fontId="2" type="noConversion"/>
  </si>
  <si>
    <t>업리미트 교체,슬로윙리미트 점검</t>
    <phoneticPr fontId="2" type="noConversion"/>
  </si>
  <si>
    <t>계선기 설치
(오전 9시 30분 도착)</t>
    <phoneticPr fontId="2" type="noConversion"/>
  </si>
  <si>
    <t>TC</t>
    <phoneticPr fontId="2" type="noConversion"/>
  </si>
  <si>
    <t>WD</t>
    <phoneticPr fontId="2" type="noConversion"/>
  </si>
  <si>
    <t>박주성,최용욱
문덕민</t>
    <phoneticPr fontId="2" type="noConversion"/>
  </si>
  <si>
    <t>출입신청완료/필요 서류 전달
조향근차장 010-9597-1227</t>
    <phoneticPr fontId="2" type="noConversion"/>
  </si>
  <si>
    <t>조향근차장 010-9597-1227</t>
    <phoneticPr fontId="2" type="noConversion"/>
  </si>
  <si>
    <t>지창규 공장장 010-9284-4896
출입신청 X</t>
    <phoneticPr fontId="2" type="noConversion"/>
  </si>
  <si>
    <r>
      <t xml:space="preserve">김대호 차장님?
010-5034-3772 / </t>
    </r>
    <r>
      <rPr>
        <b/>
        <sz val="8"/>
        <color theme="1"/>
        <rFont val="맑은 고딕"/>
        <family val="3"/>
        <charset val="129"/>
        <scheme val="minor"/>
      </rPr>
      <t>Report 전달 드리기</t>
    </r>
    <r>
      <rPr>
        <sz val="8"/>
        <color theme="1"/>
        <rFont val="맑은 고딕"/>
        <family val="3"/>
        <charset val="129"/>
        <scheme val="minor"/>
      </rPr>
      <t xml:space="preserve">
출입신청완료 2/2~3/1</t>
    </r>
    <phoneticPr fontId="2" type="noConversion"/>
  </si>
  <si>
    <t>HJSC</t>
    <phoneticPr fontId="2" type="noConversion"/>
  </si>
  <si>
    <t>장현환 책임님
010-7103-9818</t>
    <phoneticPr fontId="2" type="noConversion"/>
  </si>
  <si>
    <t>승조원 교육 / 성장지원관 402호
(교재6부/CD 부 챙겨가기)</t>
    <phoneticPr fontId="2" type="noConversion"/>
  </si>
  <si>
    <t>RB
무궁화41호/43호</t>
    <phoneticPr fontId="2" type="noConversion"/>
  </si>
  <si>
    <t>010-7600-4840
출입신청 안해도됨 / 발주품 확인하기</t>
    <phoneticPr fontId="2" type="noConversion"/>
  </si>
  <si>
    <t>전기판넬 반출</t>
    <phoneticPr fontId="2" type="noConversion"/>
  </si>
  <si>
    <t>우신(2)</t>
    <phoneticPr fontId="2" type="noConversion"/>
  </si>
  <si>
    <t>NO.2를 사용 하면 유압류가 NO.1으로 넘어가는 현상</t>
    <phoneticPr fontId="2" type="noConversion"/>
  </si>
  <si>
    <t>진진(1),DST(1)</t>
    <phoneticPr fontId="2" type="noConversion"/>
  </si>
  <si>
    <t>판넬 교체 작업</t>
    <phoneticPr fontId="2" type="noConversion"/>
  </si>
  <si>
    <t>진진(3),우신(2)
,CNM(1)</t>
    <phoneticPr fontId="2" type="noConversion"/>
  </si>
  <si>
    <t>P167/168</t>
    <phoneticPr fontId="2" type="noConversion"/>
  </si>
  <si>
    <t>판넬 교체 작업 / 도장 깨짐부 사상 및 하도 도장</t>
    <phoneticPr fontId="2" type="noConversion"/>
  </si>
  <si>
    <t>HHD/RCS</t>
    <phoneticPr fontId="2" type="noConversion"/>
  </si>
  <si>
    <t>064-793-2283
안성규 경위 010-2005-4450
출입신청 X / 일정 연락 완료</t>
    <phoneticPr fontId="2" type="noConversion"/>
  </si>
  <si>
    <t>설날</t>
    <phoneticPr fontId="2" type="noConversion"/>
  </si>
  <si>
    <t>설날</t>
    <phoneticPr fontId="2" type="noConversion"/>
  </si>
  <si>
    <t>설날</t>
    <phoneticPr fontId="2" type="noConversion"/>
  </si>
  <si>
    <t>박주성</t>
    <phoneticPr fontId="2" type="noConversion"/>
  </si>
  <si>
    <t>박주성</t>
    <phoneticPr fontId="2" type="noConversion"/>
  </si>
  <si>
    <r>
      <t xml:space="preserve">010-4820-0037 김요한 갑판장님
이범수 상사 010-4999-9910
출입신청완료 / </t>
    </r>
    <r>
      <rPr>
        <b/>
        <sz val="9"/>
        <color rgb="FFFF0000"/>
        <rFont val="맑은 고딕"/>
        <family val="3"/>
        <charset val="129"/>
        <scheme val="minor"/>
      </rPr>
      <t>Report 한화에 보내기</t>
    </r>
    <phoneticPr fontId="2" type="noConversion"/>
  </si>
  <si>
    <r>
      <rPr>
        <b/>
        <sz val="8"/>
        <color theme="1"/>
        <rFont val="맑은 고딕"/>
        <family val="3"/>
        <charset val="129"/>
        <scheme val="minor"/>
      </rPr>
      <t>현대 출입신청 할 것</t>
    </r>
    <r>
      <rPr>
        <sz val="8"/>
        <color theme="1"/>
        <rFont val="맑은 고딕"/>
        <family val="3"/>
        <charset val="129"/>
        <scheme val="minor"/>
      </rPr>
      <t xml:space="preserve">
이재양 책임 010-8906-0921
</t>
    </r>
    <r>
      <rPr>
        <b/>
        <sz val="8"/>
        <color theme="1"/>
        <rFont val="맑은 고딕"/>
        <family val="3"/>
        <charset val="129"/>
        <scheme val="minor"/>
      </rPr>
      <t>서명 꼭 받아야함 : 종결처리 해야함</t>
    </r>
    <phoneticPr fontId="2" type="noConversion"/>
  </si>
  <si>
    <t xml:space="preserve">설치 검사 (14:00) /
시동기 도어 한쪽으로 쳐져있어 잠금 볼트 체결 불가 , 조종레버 시트 수평 작업 요청 </t>
    <phoneticPr fontId="2" type="noConversion"/>
  </si>
  <si>
    <t>우신(2),CNM(1)</t>
    <phoneticPr fontId="2" type="noConversion"/>
  </si>
  <si>
    <t>P168</t>
    <phoneticPr fontId="2" type="noConversion"/>
  </si>
  <si>
    <t>HHD</t>
    <phoneticPr fontId="2" type="noConversion"/>
  </si>
  <si>
    <t xml:space="preserve">동아-&gt;CNM 청구 </t>
    <phoneticPr fontId="2" type="noConversion"/>
  </si>
  <si>
    <t>계선기 소음 점검 및 조치 / CS 2AH 퓨즈 교체</t>
    <phoneticPr fontId="2" type="noConversion"/>
  </si>
  <si>
    <t>064-793-2283
안성규 경위 010-2005-4450
출입신청 X / 일정 연락 완료</t>
    <phoneticPr fontId="2" type="noConversion"/>
  </si>
  <si>
    <t>장현환 책임님
010-7103-9818
Report 코멘트 서명 전달 메일 전달하기</t>
    <phoneticPr fontId="2" type="noConversion"/>
  </si>
  <si>
    <t>이장락 수석님
010-7330-3839</t>
    <phoneticPr fontId="2" type="noConversion"/>
  </si>
  <si>
    <t>GNN0017</t>
    <phoneticPr fontId="2" type="noConversion"/>
  </si>
  <si>
    <t>장현환 책임님
010-7103-9818
김용훈 공장장님 임시 출입신청 요청함</t>
    <phoneticPr fontId="2" type="noConversion"/>
  </si>
  <si>
    <t>코멘트 작업</t>
    <phoneticPr fontId="2" type="noConversion"/>
  </si>
  <si>
    <t>HHD/RCS</t>
    <phoneticPr fontId="2" type="noConversion"/>
  </si>
  <si>
    <t>RCS</t>
    <phoneticPr fontId="2" type="noConversion"/>
  </si>
  <si>
    <t>RCS/HHD</t>
    <phoneticPr fontId="2" type="noConversion"/>
  </si>
  <si>
    <t>김유신</t>
    <phoneticPr fontId="2" type="noConversion"/>
  </si>
  <si>
    <t>삼강 S&amp;C</t>
    <phoneticPr fontId="2" type="noConversion"/>
  </si>
  <si>
    <t>SKMT/
삼강 S&amp;C</t>
    <phoneticPr fontId="2" type="noConversion"/>
  </si>
  <si>
    <t>김동명</t>
    <phoneticPr fontId="2" type="noConversion"/>
  </si>
  <si>
    <t>진진(1),DST(1)</t>
    <phoneticPr fontId="2" type="noConversion"/>
  </si>
  <si>
    <t>GNN0017
0018/0019</t>
    <phoneticPr fontId="2" type="noConversion"/>
  </si>
  <si>
    <t>동아(2)</t>
    <phoneticPr fontId="2" type="noConversion"/>
  </si>
  <si>
    <t>검사</t>
    <phoneticPr fontId="2" type="noConversion"/>
  </si>
  <si>
    <t>NO.2를 사용 하면 유압류가 NO.1으로 넘어가는 현상</t>
    <phoneticPr fontId="2" type="noConversion"/>
  </si>
  <si>
    <t>FAIL SAFE 회로 수정</t>
    <phoneticPr fontId="2" type="noConversion"/>
  </si>
  <si>
    <t>DOOR 닫힘 불가능
(와이어 이탈 작업)</t>
    <phoneticPr fontId="2" type="noConversion"/>
  </si>
  <si>
    <t>무궁화
29호</t>
    <phoneticPr fontId="2" type="noConversion"/>
  </si>
  <si>
    <t>진해해군</t>
    <phoneticPr fontId="2" type="noConversion"/>
  </si>
  <si>
    <t>박성용</t>
    <phoneticPr fontId="2" type="noConversion"/>
  </si>
  <si>
    <t>송영국</t>
    <phoneticPr fontId="2" type="noConversion"/>
  </si>
  <si>
    <t>설치 기술 지원</t>
    <phoneticPr fontId="2" type="noConversion"/>
  </si>
  <si>
    <t>KN</t>
    <phoneticPr fontId="2" type="noConversion"/>
  </si>
  <si>
    <t>RB</t>
    <phoneticPr fontId="2" type="noConversion"/>
  </si>
  <si>
    <t>우신(1)</t>
    <phoneticPr fontId="2" type="noConversion"/>
  </si>
  <si>
    <t>경장 나동수 010-8942-6044
서한교 주임님이 출입신청함.</t>
    <phoneticPr fontId="2" type="noConversion"/>
  </si>
  <si>
    <t>진진(2)</t>
    <phoneticPr fontId="2" type="noConversion"/>
  </si>
  <si>
    <t>서영우 부장 010-4559-6321
출입신청/안전교육신청완료 
REPORT 확인하기</t>
    <phoneticPr fontId="2" type="noConversion"/>
  </si>
  <si>
    <t>인도전</t>
    <phoneticPr fontId="2" type="noConversion"/>
  </si>
  <si>
    <t>무상</t>
    <phoneticPr fontId="2" type="noConversion"/>
  </si>
  <si>
    <t>커미셔닝
(삼강 S&amp;C - 10시 교육)</t>
    <phoneticPr fontId="2" type="noConversion"/>
  </si>
  <si>
    <t>리미트 상부 포지션 위치 변경
(삼강 S&amp;C - 8시 교육)</t>
    <phoneticPr fontId="2" type="noConversion"/>
  </si>
  <si>
    <t>박성용,임기근(HIO)</t>
    <phoneticPr fontId="2" type="noConversion"/>
  </si>
  <si>
    <t>이경준책임님 010-8993-3736
출입신청 완료</t>
    <phoneticPr fontId="2" type="noConversion"/>
  </si>
  <si>
    <t>문덕민,임상섭</t>
    <phoneticPr fontId="2" type="noConversion"/>
  </si>
  <si>
    <t>해수쿨러 누유 점검 및 작업
해군의 집 : 08:30</t>
    <phoneticPr fontId="2" type="noConversion"/>
  </si>
  <si>
    <t>우신(1)</t>
    <phoneticPr fontId="2" type="noConversion"/>
  </si>
  <si>
    <t>장현환 책임님
010-7103-9818</t>
    <phoneticPr fontId="2" type="noConversion"/>
  </si>
  <si>
    <t>커미셔닝(온보드 테스트)</t>
    <phoneticPr fontId="2" type="noConversion"/>
  </si>
  <si>
    <t>박성용,임기근(HIO),유상신</t>
    <phoneticPr fontId="2" type="noConversion"/>
  </si>
  <si>
    <t>데비트 하부 RUBBER 교체 및 수정</t>
    <phoneticPr fontId="2" type="noConversion"/>
  </si>
  <si>
    <t>진해해군</t>
    <phoneticPr fontId="2" type="noConversion"/>
  </si>
  <si>
    <t>함수 램프 우현 페드스탈 풀리 디스크 파손되어 교체 수리 요함 / 함수, 미 램프 완충 패드 파손 및 균열</t>
    <phoneticPr fontId="2" type="noConversion"/>
  </si>
  <si>
    <t>0160</t>
    <phoneticPr fontId="2" type="noConversion"/>
  </si>
  <si>
    <t>이세진중사 010-4139-8076
출입신청완료 / Report 전달하기</t>
    <phoneticPr fontId="2" type="noConversion"/>
  </si>
  <si>
    <t>HHD</t>
    <phoneticPr fontId="2" type="noConversion"/>
  </si>
  <si>
    <r>
      <t xml:space="preserve">김선호 책임 010-3547-0898
무장장 중사 곽충심 010-9795-1199
</t>
    </r>
    <r>
      <rPr>
        <sz val="9"/>
        <rFont val="맑은 고딕"/>
        <family val="3"/>
        <charset val="129"/>
        <scheme val="minor"/>
      </rPr>
      <t>출입신청 완료</t>
    </r>
    <r>
      <rPr>
        <sz val="9"/>
        <color rgb="FFFF0000"/>
        <rFont val="맑은 고딕"/>
        <family val="3"/>
        <charset val="129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 xml:space="preserve">/ </t>
    </r>
    <r>
      <rPr>
        <sz val="9"/>
        <color rgb="FFFF0000"/>
        <rFont val="맑은 고딕"/>
        <family val="3"/>
        <charset val="129"/>
        <scheme val="minor"/>
      </rPr>
      <t>자재챙겨가기</t>
    </r>
    <phoneticPr fontId="2" type="noConversion"/>
  </si>
  <si>
    <t>김동명,박성용</t>
    <phoneticPr fontId="2" type="noConversion"/>
  </si>
  <si>
    <t>박성용</t>
    <phoneticPr fontId="2" type="noConversion"/>
  </si>
  <si>
    <t>진진(3),우신(2)
,CNM(1)</t>
    <phoneticPr fontId="2" type="noConversion"/>
  </si>
  <si>
    <r>
      <rPr>
        <b/>
        <sz val="8"/>
        <color theme="1"/>
        <rFont val="맑은 고딕"/>
        <family val="3"/>
        <charset val="129"/>
        <scheme val="minor"/>
      </rPr>
      <t>현대 출입신청 할 것</t>
    </r>
    <r>
      <rPr>
        <sz val="8"/>
        <color theme="1"/>
        <rFont val="맑은 고딕"/>
        <family val="3"/>
        <charset val="129"/>
        <scheme val="minor"/>
      </rPr>
      <t xml:space="preserve">
이재양 책임 010-8906-0921
</t>
    </r>
    <r>
      <rPr>
        <b/>
        <sz val="8"/>
        <color theme="1"/>
        <rFont val="맑은 고딕"/>
        <family val="3"/>
        <charset val="129"/>
        <scheme val="minor"/>
      </rPr>
      <t>서명 꼭 받아야함 : 종결처리 해야함</t>
    </r>
    <phoneticPr fontId="2" type="noConversion"/>
  </si>
  <si>
    <t xml:space="preserve"> 준공시운전 
/ 8시30분</t>
    <phoneticPr fontId="2" type="noConversion"/>
  </si>
  <si>
    <t>KT/RB</t>
    <phoneticPr fontId="2" type="noConversion"/>
  </si>
  <si>
    <t>KN</t>
    <phoneticPr fontId="2" type="noConversion"/>
  </si>
  <si>
    <t>인도전</t>
    <phoneticPr fontId="2" type="noConversion"/>
  </si>
  <si>
    <t>DST(1)</t>
    <phoneticPr fontId="2" type="noConversion"/>
  </si>
  <si>
    <t>김도현 사원 
010-8687-7803
Report 전달 / 출입신청 완료</t>
    <phoneticPr fontId="2" type="noConversion"/>
  </si>
  <si>
    <t>반차 : 박해식</t>
    <phoneticPr fontId="2" type="noConversion"/>
  </si>
  <si>
    <t>이범수 상사 010-4999-9910
출입신청완료
REPORT 전달,서명 꼭 필요함</t>
    <phoneticPr fontId="2" type="noConversion"/>
  </si>
  <si>
    <t>HHD</t>
    <phoneticPr fontId="2" type="noConversion"/>
  </si>
  <si>
    <t>P168</t>
    <phoneticPr fontId="2" type="noConversion"/>
  </si>
  <si>
    <t>박성용</t>
    <phoneticPr fontId="2" type="noConversion"/>
  </si>
  <si>
    <t>도장부 점검 및 작업</t>
    <phoneticPr fontId="2" type="noConversion"/>
  </si>
  <si>
    <t>CNM(1)</t>
    <phoneticPr fontId="2" type="noConversion"/>
  </si>
  <si>
    <t>암스테르담</t>
    <phoneticPr fontId="2" type="noConversion"/>
  </si>
  <si>
    <t>김용훈</t>
    <phoneticPr fontId="2" type="noConversion"/>
  </si>
  <si>
    <t>삼일절 / 대체휴무</t>
    <phoneticPr fontId="2" type="noConversion"/>
  </si>
  <si>
    <t>출입시간은 별도로 상관 없다고 함/출입 인원 확인할것.</t>
    <phoneticPr fontId="2" type="noConversion"/>
  </si>
  <si>
    <t>부처님오신날 / 대체휴일</t>
    <phoneticPr fontId="2" type="noConversion"/>
  </si>
  <si>
    <t>박성용(사무실)</t>
    <phoneticPr fontId="2" type="noConversion"/>
  </si>
  <si>
    <t>배호열 책임님
010-7197-8354
자재 입고 완료</t>
    <phoneticPr fontId="2" type="noConversion"/>
  </si>
  <si>
    <t>RCS</t>
    <phoneticPr fontId="2" type="noConversion"/>
  </si>
  <si>
    <t>SWN0282/
SWN0284</t>
    <phoneticPr fontId="2" type="noConversion"/>
  </si>
  <si>
    <t>GNN0017</t>
    <phoneticPr fontId="2" type="noConversion"/>
  </si>
  <si>
    <t>CNM(1),우신(2)</t>
    <phoneticPr fontId="2" type="noConversion"/>
  </si>
  <si>
    <t>박성용</t>
    <phoneticPr fontId="2" type="noConversion"/>
  </si>
  <si>
    <t>GNN0018</t>
    <phoneticPr fontId="2" type="noConversion"/>
  </si>
  <si>
    <t>서영우 부장 010-4559-6321(RCS)
정박 위치 확인 / 고소작업 신청완료</t>
    <phoneticPr fontId="2" type="noConversion"/>
  </si>
  <si>
    <t>박성용</t>
    <phoneticPr fontId="2" type="noConversion"/>
  </si>
  <si>
    <t>설계</t>
    <phoneticPr fontId="2" type="noConversion"/>
  </si>
  <si>
    <t>승조원 교육 / 성장지원관 401호</t>
    <phoneticPr fontId="2" type="noConversion"/>
  </si>
  <si>
    <t>승조원 교육</t>
    <phoneticPr fontId="2" type="noConversion"/>
  </si>
  <si>
    <t>판넬 교체 작업 / 상도 및 COMMENT 처리</t>
    <phoneticPr fontId="2" type="noConversion"/>
  </si>
  <si>
    <t>WD/ROVL</t>
    <phoneticPr fontId="2" type="noConversion"/>
  </si>
  <si>
    <t>인도전</t>
    <phoneticPr fontId="2" type="noConversion"/>
  </si>
  <si>
    <t>KN</t>
    <phoneticPr fontId="2" type="noConversion"/>
  </si>
  <si>
    <t>RB/KT</t>
    <phoneticPr fontId="2" type="noConversion"/>
  </si>
  <si>
    <t>김도현 사원님 010-8687-7803
확정나면 출입신청,Report 전달</t>
    <phoneticPr fontId="2" type="noConversion"/>
  </si>
  <si>
    <t xml:space="preserve"> 공시운전 입회
/ 09시 출항</t>
    <phoneticPr fontId="2" type="noConversion"/>
  </si>
  <si>
    <t>서영우 부장 010-4559-6321
고소작업 신청완료(화기작업 신청 불가)</t>
    <phoneticPr fontId="2" type="noConversion"/>
  </si>
  <si>
    <t>이상기,이시맥</t>
    <phoneticPr fontId="2" type="noConversion"/>
  </si>
  <si>
    <t>반차 : 이화연,김동명</t>
    <phoneticPr fontId="2" type="noConversion"/>
  </si>
  <si>
    <r>
      <t>＊GNN0017/HHD:</t>
    </r>
    <r>
      <rPr>
        <b/>
        <sz val="9"/>
        <rFont val="맑은 고딕"/>
        <family val="3"/>
        <charset val="129"/>
        <scheme val="minor"/>
      </rPr>
      <t xml:space="preserve">3.28일 </t>
    </r>
    <r>
      <rPr>
        <sz val="9"/>
        <rFont val="맑은 고딕"/>
        <family val="3"/>
        <charset val="129"/>
        <scheme val="minor"/>
      </rPr>
      <t>까지 교체(5번함 사용)/교체 후 자체및검사진행
＊GNN0018/HHD:</t>
    </r>
    <r>
      <rPr>
        <b/>
        <sz val="9"/>
        <rFont val="맑은 고딕"/>
        <family val="3"/>
        <charset val="129"/>
        <scheme val="minor"/>
      </rPr>
      <t>4월 중순</t>
    </r>
    <r>
      <rPr>
        <sz val="9"/>
        <rFont val="맑은 고딕"/>
        <family val="3"/>
        <charset val="129"/>
        <scheme val="minor"/>
      </rPr>
      <t>까지 교체(4번함 사용)/4/14일 전까지
＊GNN0019/HHD:</t>
    </r>
    <r>
      <rPr>
        <b/>
        <sz val="9"/>
        <rFont val="맑은 고딕"/>
        <family val="3"/>
        <charset val="129"/>
        <scheme val="minor"/>
      </rPr>
      <t>5월 중순</t>
    </r>
    <r>
      <rPr>
        <sz val="9"/>
        <rFont val="맑은 고딕"/>
        <family val="3"/>
        <charset val="129"/>
        <scheme val="minor"/>
      </rPr>
      <t>까지 교체(2번함 사용)/5/11일 YARD 납품 예정</t>
    </r>
    <phoneticPr fontId="2" type="noConversion"/>
  </si>
  <si>
    <t>유봉현,박성용,유상신
이광형</t>
    <phoneticPr fontId="2" type="noConversion"/>
  </si>
  <si>
    <t>우신(1)</t>
    <phoneticPr fontId="2" type="noConversion"/>
  </si>
  <si>
    <t>A/S</t>
    <phoneticPr fontId="2" type="noConversion"/>
  </si>
  <si>
    <t>인도전</t>
    <phoneticPr fontId="2" type="noConversion"/>
  </si>
  <si>
    <t>SHI</t>
    <phoneticPr fontId="2" type="noConversion"/>
  </si>
  <si>
    <t>SN2661</t>
    <phoneticPr fontId="2" type="noConversion"/>
  </si>
  <si>
    <t>LAC</t>
    <phoneticPr fontId="2" type="noConversion"/>
  </si>
  <si>
    <t>우신(1)</t>
    <phoneticPr fontId="2" type="noConversion"/>
  </si>
  <si>
    <t>무상</t>
    <phoneticPr fontId="2" type="noConversion"/>
  </si>
  <si>
    <t>유상신,유봉현,김동명</t>
    <phoneticPr fontId="2" type="noConversion"/>
  </si>
  <si>
    <t>반차 : 박해식</t>
    <phoneticPr fontId="2" type="noConversion"/>
  </si>
  <si>
    <t>우신(2)</t>
    <phoneticPr fontId="2" type="noConversion"/>
  </si>
  <si>
    <t>이재양 책임 010-8906-0921
밀폐,화기작업,출입신청,Report 전달</t>
    <phoneticPr fontId="2" type="noConversion"/>
  </si>
  <si>
    <t>SKMT</t>
    <phoneticPr fontId="2" type="noConversion"/>
  </si>
  <si>
    <r>
      <t xml:space="preserve">장현환 책임님 010-7103-9818
</t>
    </r>
    <r>
      <rPr>
        <b/>
        <sz val="9"/>
        <rFont val="맑은 고딕"/>
        <family val="3"/>
        <charset val="129"/>
        <scheme val="minor"/>
      </rPr>
      <t>REPORT 전달 완료</t>
    </r>
    <phoneticPr fontId="2" type="noConversion"/>
  </si>
  <si>
    <t>진진(3)</t>
    <phoneticPr fontId="2" type="noConversion"/>
  </si>
  <si>
    <t>ML</t>
    <phoneticPr fontId="2" type="noConversion"/>
  </si>
  <si>
    <t>GNN0017</t>
    <phoneticPr fontId="2" type="noConversion"/>
  </si>
  <si>
    <t>와이어 교체</t>
    <phoneticPr fontId="2" type="noConversion"/>
  </si>
  <si>
    <t>무상</t>
    <phoneticPr fontId="2" type="noConversion"/>
  </si>
  <si>
    <t>무상</t>
    <phoneticPr fontId="2" type="noConversion"/>
  </si>
  <si>
    <t>장현환 책임님 010-7103-9818(HHD)
정박 위치 확인 / 고소작업 신청완료?</t>
    <phoneticPr fontId="2" type="noConversion"/>
  </si>
  <si>
    <t>장현환 책임님 010-7103-9818(HHD)</t>
    <phoneticPr fontId="2" type="noConversion"/>
  </si>
  <si>
    <r>
      <t xml:space="preserve">박은식 프로eunsick.park@samsung.com / 010-5461-9345 / Report 서명 필요
</t>
    </r>
    <r>
      <rPr>
        <sz val="9"/>
        <color rgb="FFFF0000"/>
        <rFont val="맑은 고딕"/>
        <family val="3"/>
        <charset val="129"/>
        <scheme val="minor"/>
      </rPr>
      <t>출입신청완료, Report 및 자재 전달</t>
    </r>
    <phoneticPr fontId="2" type="noConversion"/>
  </si>
  <si>
    <r>
      <t xml:space="preserve">(함미/함수) 구리스 니플 라인 설치
</t>
    </r>
    <r>
      <rPr>
        <b/>
        <sz val="10"/>
        <color theme="1"/>
        <rFont val="맑은 고딕"/>
        <family val="3"/>
        <charset val="129"/>
        <scheme val="minor"/>
      </rPr>
      <t>9시 도착</t>
    </r>
    <phoneticPr fontId="2" type="noConversion"/>
  </si>
  <si>
    <t>스크린 체인 장력조절(텐션) 작업</t>
    <phoneticPr fontId="2" type="noConversion"/>
  </si>
  <si>
    <t>우신(2)</t>
    <phoneticPr fontId="2" type="noConversion"/>
  </si>
  <si>
    <t>무상</t>
    <phoneticPr fontId="2" type="noConversion"/>
  </si>
  <si>
    <t>0160</t>
    <phoneticPr fontId="2" type="noConversion"/>
  </si>
  <si>
    <t>탁현종 과장 010-9317-7637
Report 전달 / 출입자 명단 보냄</t>
    <phoneticPr fontId="2" type="noConversion"/>
  </si>
  <si>
    <t>A/S</t>
    <phoneticPr fontId="2" type="noConversion"/>
  </si>
  <si>
    <t>인수시운전
/ 8시 ~5시</t>
    <phoneticPr fontId="2" type="noConversion"/>
  </si>
  <si>
    <t>탁현종 과장 010-9317-7637
출입신청완료,Report 전달</t>
    <phoneticPr fontId="2" type="noConversion"/>
  </si>
  <si>
    <t>(김유신)</t>
    <phoneticPr fontId="2" type="noConversion"/>
  </si>
  <si>
    <t>P179
/7도크</t>
    <phoneticPr fontId="2" type="noConversion"/>
  </si>
  <si>
    <t>(최기추)</t>
    <phoneticPr fontId="2" type="noConversion"/>
  </si>
  <si>
    <t>박성용,(김유신,
오태호,임기근)</t>
    <phoneticPr fontId="2" type="noConversion"/>
  </si>
  <si>
    <t>(김유신,오태호,
임기근)</t>
    <phoneticPr fontId="2" type="noConversion"/>
  </si>
  <si>
    <t>무궁화 29호 일정 조율 할 것 (3월 1~2주요청왔으나, 자재3/16~18일 입고예정)</t>
    <phoneticPr fontId="2" type="noConversion"/>
  </si>
  <si>
    <r>
      <t xml:space="preserve">010-9858-5143(0284) 정박확인완료
010-9037-7311(0282) 정박확인완료
</t>
    </r>
    <r>
      <rPr>
        <b/>
        <sz val="8"/>
        <color rgb="FF0000FF"/>
        <rFont val="맑은 고딕"/>
        <family val="3"/>
        <charset val="129"/>
        <scheme val="minor"/>
      </rPr>
      <t>Report 서명 확인/남은 자재 확인하기</t>
    </r>
    <phoneticPr fontId="2" type="noConversion"/>
  </si>
  <si>
    <t>서영우 부장 010-4559-6321
출입신청/안전교육신청완료</t>
    <phoneticPr fontId="2" type="noConversion"/>
  </si>
  <si>
    <t>20T/25T 트랜스포머 화재 조사
2/19~2/26</t>
    <phoneticPr fontId="2" type="noConversion"/>
  </si>
  <si>
    <t>헬기격납고 도어 보증수리 관련 회의</t>
    <phoneticPr fontId="2" type="noConversion"/>
  </si>
  <si>
    <t>TOWING BOOM 러핑윈치가 브레이크 잡혀 조금씩 다운되는 문제 점검 / RUBBER,명판부착,PAINT 작업</t>
    <phoneticPr fontId="2" type="noConversion"/>
  </si>
  <si>
    <r>
      <t xml:space="preserve">MC 검사 입회 (13시30분) / 모터 방향 스티커 부착
</t>
    </r>
    <r>
      <rPr>
        <b/>
        <sz val="10"/>
        <rFont val="맑은 고딕"/>
        <family val="3"/>
        <charset val="129"/>
        <scheme val="minor"/>
      </rPr>
      <t>*6안벽관 11층 : 박은식 프로님</t>
    </r>
    <phoneticPr fontId="2" type="noConversion"/>
  </si>
  <si>
    <t>시운전
(13:00 예정)</t>
    <phoneticPr fontId="2" type="noConversion"/>
  </si>
  <si>
    <t>후크 위치 이동 / 와이어,붐 텔레쪽 구리스 작업 / 조이스틱 명판 이동</t>
    <phoneticPr fontId="2" type="noConversion"/>
  </si>
  <si>
    <t xml:space="preserve"> 마스터링크 용접(기존 조립타입 핸드그립에서 마스터링크에 라운드바를 그냥 용접하는 타입으로 변경)</t>
    <phoneticPr fontId="2" type="noConversion"/>
  </si>
  <si>
    <t>PANEL 박리 문제 관련 회의
/ 13:30</t>
    <phoneticPr fontId="2" type="noConversion"/>
  </si>
  <si>
    <t>점검 및 코멘트 작업</t>
    <phoneticPr fontId="2" type="noConversion"/>
  </si>
  <si>
    <t>BOAT SEAT 및 CRADEL SEAT 재작업
/ 자재 챙겨 가야함(+Report)</t>
    <phoneticPr fontId="2" type="noConversion"/>
  </si>
  <si>
    <t xml:space="preserve">어스 케이블 볼트 교체 작업(HMS-00420) </t>
    <phoneticPr fontId="2" type="noConversion"/>
  </si>
  <si>
    <t>S186/S187</t>
    <phoneticPr fontId="2" type="noConversion"/>
  </si>
  <si>
    <t>전기판넬 반출</t>
    <phoneticPr fontId="2" type="noConversion"/>
  </si>
  <si>
    <t>우신-&gt;범양 청구</t>
    <phoneticPr fontId="2" type="noConversion"/>
  </si>
  <si>
    <t>와이어꼬임 / 안착 RUBBER 교체 / DAVIT 안착 시 RUBBER 안착이 안되어 점검</t>
    <phoneticPr fontId="2" type="noConversion"/>
  </si>
  <si>
    <t>묵호항</t>
    <phoneticPr fontId="2" type="noConversion"/>
  </si>
  <si>
    <r>
      <t>갑판장 전성용 010-9342-9823
일정변경X ,</t>
    </r>
    <r>
      <rPr>
        <b/>
        <sz val="9"/>
        <color rgb="FFFF0000"/>
        <rFont val="맑은 고딕"/>
        <family val="3"/>
        <charset val="129"/>
        <scheme val="minor"/>
      </rPr>
      <t xml:space="preserve"> Reporot 확인</t>
    </r>
    <phoneticPr fontId="2" type="noConversion"/>
  </si>
  <si>
    <t>갑판장 전성용 010-9342-9823
별도 출입 신청 X</t>
    <phoneticPr fontId="2" type="noConversion"/>
  </si>
  <si>
    <t>진해2부두</t>
    <phoneticPr fontId="2" type="noConversion"/>
  </si>
  <si>
    <t>콘트롤 밸브 누유 점검</t>
    <phoneticPr fontId="2" type="noConversion"/>
  </si>
  <si>
    <t>SWN0284
(무궁화43호)</t>
    <phoneticPr fontId="2" type="noConversion"/>
  </si>
  <si>
    <t>DAVIT EPDM RUBBER 교체 /
보트 간섭 부분 SEAT 절단 요청</t>
    <phoneticPr fontId="2" type="noConversion"/>
  </si>
  <si>
    <t>전국 동시 지방 선거</t>
    <phoneticPr fontId="2" type="noConversion"/>
  </si>
  <si>
    <t>어린이 날</t>
    <phoneticPr fontId="2" type="noConversion"/>
  </si>
  <si>
    <t>S.T.W / HATCH 쇼바 작업</t>
    <phoneticPr fontId="2" type="noConversion"/>
  </si>
  <si>
    <t xml:space="preserve">인입식 해상수급장치 빌지센서 작업 / 
LEVEL SENSOR SEAT 설치 / S.T.W / HATCH 쇼바 작업 </t>
    <phoneticPr fontId="2" type="noConversion"/>
  </si>
  <si>
    <t>동아(1)</t>
    <phoneticPr fontId="2" type="noConversion"/>
  </si>
  <si>
    <t>WD</t>
    <phoneticPr fontId="2" type="noConversion"/>
  </si>
  <si>
    <t>김요한 원사님
010-4820-0037
출입신청 완료</t>
    <phoneticPr fontId="2" type="noConversion"/>
  </si>
  <si>
    <t>김영수 책임 010 2587 9486
고소작업/안전밸트지참/그라인더/페인트 등 자재 챙기기/출입신청완료</t>
    <phoneticPr fontId="2" type="noConversion"/>
  </si>
  <si>
    <t>010-4113-0940
출입신청완료</t>
    <phoneticPr fontId="2" type="noConversion"/>
  </si>
  <si>
    <t>진해해군</t>
    <phoneticPr fontId="2" type="noConversion"/>
  </si>
  <si>
    <t>GNN0014
/S189</t>
    <phoneticPr fontId="2" type="noConversion"/>
  </si>
  <si>
    <t>BSR</t>
    <phoneticPr fontId="2" type="noConversion"/>
  </si>
  <si>
    <t>KT/BSR</t>
    <phoneticPr fontId="2" type="noConversion"/>
  </si>
  <si>
    <t>우신(1)</t>
    <phoneticPr fontId="2" type="noConversion"/>
  </si>
  <si>
    <t>유압 호스 누유 (테이핑 챙기기)
/ 코멘트 작업</t>
    <phoneticPr fontId="2" type="noConversion"/>
  </si>
  <si>
    <t>영도/한진</t>
    <phoneticPr fontId="2" type="noConversion"/>
  </si>
  <si>
    <t>최원석 차장 010-7447-3872
출입신청 완료</t>
    <phoneticPr fontId="2" type="noConversion"/>
  </si>
  <si>
    <t>010-8598-2703(GNN0014)
최원석 차장 010-7447-3872
출입신청 완료</t>
    <phoneticPr fontId="2" type="noConversion"/>
  </si>
  <si>
    <t xml:space="preserve"> </t>
    <phoneticPr fontId="2" type="noConversion"/>
  </si>
  <si>
    <t>MINI DOOR 명판 및 도어 손잡이 충격 방지용 고무 설치
해군의 집 : 1시</t>
    <phoneticPr fontId="2" type="noConversion"/>
  </si>
  <si>
    <t>CNM(1)</t>
    <phoneticPr fontId="2" type="noConversion"/>
  </si>
  <si>
    <t>박성용(사무실)</t>
    <phoneticPr fontId="2" type="noConversion"/>
  </si>
  <si>
    <t xml:space="preserve">인입식 해상수급장치 빌지센서 작업 / 
LEVEL SENSOR SEAT 설치 / S.T.W / HATCH 쇼바 작업 </t>
    <phoneticPr fontId="2" type="noConversion"/>
  </si>
  <si>
    <t>HAND GRIP 철거 / 볼트 체결 부위 도장
PAINT SPEC : UT6582 WHITE(1000)</t>
    <phoneticPr fontId="2" type="noConversion"/>
  </si>
  <si>
    <t>박성용(사무실)</t>
    <phoneticPr fontId="2" type="noConversion"/>
  </si>
  <si>
    <r>
      <t xml:space="preserve">010-9664-9042
별도 출입신청은 없음
</t>
    </r>
    <r>
      <rPr>
        <b/>
        <sz val="8"/>
        <color rgb="FF0000FF"/>
        <rFont val="맑은 고딕"/>
        <family val="3"/>
        <charset val="129"/>
        <scheme val="minor"/>
      </rPr>
      <t>목요일 우신 이동예정</t>
    </r>
    <phoneticPr fontId="2" type="noConversion"/>
  </si>
  <si>
    <t>박성용(반차),
유상신</t>
    <phoneticPr fontId="2" type="noConversion"/>
  </si>
  <si>
    <t>김제환 책임 010-3520-4948
밀폐,화기작업,출입신청,Report 전달</t>
    <phoneticPr fontId="2" type="noConversion"/>
  </si>
  <si>
    <t>김제환 책임 010-3520-4948</t>
    <phoneticPr fontId="2" type="noConversion"/>
  </si>
  <si>
    <t>코멘트 완료 사항 점검</t>
    <phoneticPr fontId="2" type="noConversion"/>
  </si>
  <si>
    <t>결선 작업</t>
    <phoneticPr fontId="2" type="noConversion"/>
  </si>
  <si>
    <t>HKS041</t>
    <phoneticPr fontId="2" type="noConversion"/>
  </si>
  <si>
    <t>DAVIT 안착 불가(치수 확인)</t>
    <phoneticPr fontId="2" type="noConversion"/>
  </si>
  <si>
    <t xml:space="preserve">Starter Panel : IS Barrier 철거, T/B Arrange 수정, T/B N/P 수정 / Earth cable - 색상 반영 작업 </t>
    <phoneticPr fontId="2" type="noConversion"/>
  </si>
  <si>
    <t>리미트 스위치 세팅 시 원위치로 돌아오는 현상 점검</t>
    <phoneticPr fontId="2" type="noConversion"/>
  </si>
  <si>
    <t>010-2128-6643
출입신청 완료 / 결과 확인 하기</t>
    <phoneticPr fontId="2" type="noConversion"/>
  </si>
  <si>
    <t>장신후 중사 010-5067-9827
03/09~13일 중 요청옴/출입신청완료
Report 전달 완료</t>
    <phoneticPr fontId="2" type="noConversion"/>
  </si>
  <si>
    <t>화기작업/출입서류 전달/Report전달완료
김제환 책임 010-3520-4948</t>
    <phoneticPr fontId="2" type="noConversion"/>
  </si>
  <si>
    <t>장현환 책임님 / 이경준 책임님께
확인 요청함</t>
    <phoneticPr fontId="2" type="noConversion"/>
  </si>
  <si>
    <t>3/23일 배차 예정.GNN0018 RB 웨이트 대여 배차 및 기사정보 확인 후 유주임님께 전달</t>
    <phoneticPr fontId="2" type="noConversion"/>
  </si>
  <si>
    <t>자체검사
Weight 대여 (3/23~31일)</t>
    <phoneticPr fontId="2" type="noConversion"/>
  </si>
  <si>
    <t>HATCH 점검 및 AIR SPRING 수정 ,
해치 패킹 러버 교체 , 명판부착</t>
    <phoneticPr fontId="2" type="noConversion"/>
  </si>
  <si>
    <t>제주강정항</t>
    <phoneticPr fontId="2" type="noConversion"/>
  </si>
  <si>
    <t>작동 시 NO.2모터가 풀리면서 NO.1 장력을 받아 오버로드가 걸리는 현상</t>
    <phoneticPr fontId="2" type="noConversion"/>
  </si>
  <si>
    <t>출입신청 : 고현준 책임 010 4133 1664
참조 : 양혜성 , 박중헌 책임 
테라시스 구종범 과장 : 010-9846-5430</t>
    <phoneticPr fontId="2" type="noConversion"/>
  </si>
  <si>
    <t xml:space="preserve"> 분전반 판넬에 절연저항 경보등이 지속 점등 발생으로 FAIL SAFE 교체 / 해군의 집 : 8시</t>
    <phoneticPr fontId="2" type="noConversion"/>
  </si>
  <si>
    <t xml:space="preserve">소형계선기 설치 </t>
    <phoneticPr fontId="2" type="noConversion"/>
  </si>
  <si>
    <t>김제환 책임 010-3520-4948
밀폐,화기작업,출입신청,Report 전달 완료</t>
    <phoneticPr fontId="2" type="noConversion"/>
  </si>
  <si>
    <r>
      <t xml:space="preserve">TELESCOPIC BOOM 오일 누유 점검
</t>
    </r>
    <r>
      <rPr>
        <b/>
        <sz val="10"/>
        <rFont val="맑은 고딕"/>
        <family val="3"/>
        <charset val="129"/>
        <scheme val="minor"/>
      </rPr>
      <t>* 방문 시 점검 후 최병문 차장님과 통화 요청</t>
    </r>
    <phoneticPr fontId="2" type="noConversion"/>
  </si>
  <si>
    <t>조향근차장 010-9597-1227
출입신청.반출증,자재,도면 전달 완료</t>
    <phoneticPr fontId="2" type="noConversion"/>
  </si>
  <si>
    <t>박찬진 프로 cj1954.park@samsung.com
010-4180-1954
출입신청,드라이브스루(최재호)신청완료</t>
    <phoneticPr fontId="2" type="noConversion"/>
  </si>
  <si>
    <t>SWNP0288</t>
  </si>
  <si>
    <t>010-4594-3264 출입신청은 별도로 없고, D01 견적 내려 왔다고 하면 열어줌.
Report 전달 완료</t>
    <phoneticPr fontId="2" type="noConversion"/>
  </si>
  <si>
    <r>
      <t xml:space="preserve">010-9858-5143(0284) 정박확인완료
</t>
    </r>
    <r>
      <rPr>
        <b/>
        <sz val="8"/>
        <rFont val="맑은 고딕"/>
        <family val="3"/>
        <charset val="129"/>
        <scheme val="minor"/>
      </rPr>
      <t>Report 전달완료.3/6일~3/31 정박예정
010-2658-2316 여민호</t>
    </r>
    <phoneticPr fontId="2" type="noConversion"/>
  </si>
  <si>
    <t>A/S</t>
    <phoneticPr fontId="2" type="noConversion"/>
  </si>
  <si>
    <t>인도전</t>
    <phoneticPr fontId="2" type="noConversion"/>
  </si>
  <si>
    <t>SHI</t>
    <phoneticPr fontId="2" type="noConversion"/>
  </si>
  <si>
    <t>SN2661</t>
    <phoneticPr fontId="2" type="noConversion"/>
  </si>
  <si>
    <t>LAC</t>
    <phoneticPr fontId="2" type="noConversion"/>
  </si>
  <si>
    <t>박은식 프로(010-5461-9345)
조치 전/후 사진 필수, 고객확인 필수</t>
    <phoneticPr fontId="2" type="noConversion"/>
  </si>
  <si>
    <t>박성용</t>
    <phoneticPr fontId="2" type="noConversion"/>
  </si>
  <si>
    <t>0160</t>
    <phoneticPr fontId="2" type="noConversion"/>
  </si>
  <si>
    <t>이화연(반차-오후)</t>
    <phoneticPr fontId="2" type="noConversion"/>
  </si>
  <si>
    <r>
      <t xml:space="preserve">UP LIMIT 문제(TOUCH BAR 조절)/로드리미터 점검
</t>
    </r>
    <r>
      <rPr>
        <b/>
        <sz val="10"/>
        <color theme="1"/>
        <rFont val="맑은 고딕"/>
        <family val="3"/>
        <charset val="129"/>
        <scheme val="minor"/>
      </rPr>
      <t>해군의집 시간 10:00 / 드릴필요함 / 접지장비</t>
    </r>
    <phoneticPr fontId="2" type="noConversion"/>
  </si>
  <si>
    <t>박해식(반차),
(임기근)</t>
    <phoneticPr fontId="2" type="noConversion"/>
  </si>
  <si>
    <t>유상</t>
    <phoneticPr fontId="2" type="noConversion"/>
  </si>
  <si>
    <t>부산해양
경찰서</t>
    <phoneticPr fontId="2" type="noConversion"/>
  </si>
  <si>
    <t>A/S</t>
    <phoneticPr fontId="2" type="noConversion"/>
  </si>
  <si>
    <t>인도후</t>
    <phoneticPr fontId="2" type="noConversion"/>
  </si>
  <si>
    <t>인천항만</t>
    <phoneticPr fontId="2" type="noConversion"/>
  </si>
  <si>
    <t>IC01</t>
    <phoneticPr fontId="2" type="noConversion"/>
  </si>
  <si>
    <t>DC</t>
    <phoneticPr fontId="2" type="noConversion"/>
  </si>
  <si>
    <t>FAN COOLER 교체 외</t>
    <phoneticPr fontId="2" type="noConversion"/>
  </si>
  <si>
    <t>진진(2), dst(2)</t>
    <phoneticPr fontId="2" type="noConversion"/>
  </si>
  <si>
    <t>유상</t>
    <phoneticPr fontId="2" type="noConversion"/>
  </si>
  <si>
    <t>A/S</t>
    <phoneticPr fontId="2" type="noConversion"/>
  </si>
  <si>
    <t>인도전</t>
    <phoneticPr fontId="2" type="noConversion"/>
  </si>
  <si>
    <t>HHI</t>
    <phoneticPr fontId="2" type="noConversion"/>
  </si>
  <si>
    <t>P169</t>
    <phoneticPr fontId="2" type="noConversion"/>
  </si>
  <si>
    <t>PE</t>
    <phoneticPr fontId="2" type="noConversion"/>
  </si>
  <si>
    <t>박주성</t>
    <phoneticPr fontId="2" type="noConversion"/>
  </si>
  <si>
    <t>진진(2), 동아(1)</t>
    <phoneticPr fontId="2" type="noConversion"/>
  </si>
  <si>
    <t>무상</t>
    <phoneticPr fontId="2" type="noConversion"/>
  </si>
  <si>
    <t>박성용(사무실/반차-오후)</t>
    <phoneticPr fontId="2" type="noConversion"/>
  </si>
  <si>
    <t>대만</t>
    <phoneticPr fontId="2" type="noConversion"/>
  </si>
  <si>
    <t>2T, 20T, 25T</t>
    <phoneticPr fontId="2" type="noConversion"/>
  </si>
  <si>
    <t>A/S</t>
    <phoneticPr fontId="2" type="noConversion"/>
  </si>
  <si>
    <t>인도전</t>
    <phoneticPr fontId="2" type="noConversion"/>
  </si>
  <si>
    <t>HHI</t>
    <phoneticPr fontId="2" type="noConversion"/>
  </si>
  <si>
    <t>P169</t>
    <phoneticPr fontId="2" type="noConversion"/>
  </si>
  <si>
    <t>HHD</t>
    <phoneticPr fontId="2" type="noConversion"/>
  </si>
  <si>
    <t>검사 코멘트 조치</t>
    <phoneticPr fontId="2" type="noConversion"/>
  </si>
  <si>
    <t>박주성</t>
    <phoneticPr fontId="2" type="noConversion"/>
  </si>
  <si>
    <t>크레인 작동 정상화</t>
    <phoneticPr fontId="2" type="noConversion"/>
  </si>
  <si>
    <t>HIO(1),우신(1)</t>
    <phoneticPr fontId="2" type="noConversion"/>
  </si>
  <si>
    <t>조향근차장 010-9597-1227
출입신청 03/14~04/13
차량 9080/0160 신청</t>
    <phoneticPr fontId="2" type="noConversion"/>
  </si>
  <si>
    <t>동아(1), 우신(1), 신한(1)</t>
    <phoneticPr fontId="2" type="noConversion"/>
  </si>
  <si>
    <t>김영민, 이시맥</t>
    <phoneticPr fontId="2" type="noConversion"/>
  </si>
  <si>
    <t>PUNCH 조치(실린더 도장 수정, 호이스트 윈치 압력 밸브 덴소처리, 호이스팅 윈치 오일 레벨 게이지 교체, 지브 핀 녹제거, 볼트 전달, 스크린 접착제 제거, 와이어 확인)</t>
    <phoneticPr fontId="2" type="noConversion"/>
  </si>
  <si>
    <t>우신(1)</t>
    <phoneticPr fontId="2" type="noConversion"/>
  </si>
  <si>
    <t>진진(2), dst(2), 범양(1)</t>
    <phoneticPr fontId="2" type="noConversion"/>
  </si>
  <si>
    <t>Weight 상차 (H-BEAM 1개 / Weight 4Ton 1개)</t>
    <phoneticPr fontId="2" type="noConversion"/>
  </si>
  <si>
    <t>진진(2), CNM(1)</t>
    <phoneticPr fontId="2" type="noConversion"/>
  </si>
  <si>
    <t>구분</t>
    <phoneticPr fontId="2" type="noConversion"/>
  </si>
  <si>
    <t>건수</t>
    <phoneticPr fontId="2" type="noConversion"/>
  </si>
  <si>
    <t>금액</t>
    <phoneticPr fontId="2" type="noConversion"/>
  </si>
  <si>
    <t>김해공장</t>
    <phoneticPr fontId="2" type="noConversion"/>
  </si>
  <si>
    <t>A/S</t>
    <phoneticPr fontId="2" type="noConversion"/>
  </si>
  <si>
    <t>주차별 비용 현황</t>
    <phoneticPr fontId="2" type="noConversion"/>
  </si>
  <si>
    <t>합계</t>
    <phoneticPr fontId="2" type="noConversion"/>
  </si>
  <si>
    <t>김해공장</t>
    <phoneticPr fontId="2" type="noConversion"/>
  </si>
  <si>
    <t>A/S</t>
    <phoneticPr fontId="2" type="noConversion"/>
  </si>
  <si>
    <t>1. 목적</t>
  </si>
  <si>
    <t>2. 발생(예상) 비용</t>
  </si>
  <si>
    <t>총 예상 비용 : ____________ 원</t>
    <phoneticPr fontId="2" type="noConversion"/>
  </si>
  <si>
    <t>4. 외주 인력 사용 상세 내역</t>
    <phoneticPr fontId="2" type="noConversion"/>
  </si>
  <si>
    <t>5. 생산담당 주간 계획</t>
    <phoneticPr fontId="2" type="noConversion"/>
  </si>
  <si>
    <t>이름</t>
    <phoneticPr fontId="2" type="noConversion"/>
  </si>
  <si>
    <t>3) 상세 내역</t>
    <phoneticPr fontId="2" type="noConversion"/>
  </si>
  <si>
    <t>3. 생산담당 인력 현황</t>
    <phoneticPr fontId="2" type="noConversion"/>
  </si>
  <si>
    <t>일정</t>
    <phoneticPr fontId="2" type="noConversion"/>
  </si>
  <si>
    <t>병가</t>
    <phoneticPr fontId="2" type="noConversion"/>
  </si>
  <si>
    <t>장유승기장</t>
    <phoneticPr fontId="2" type="noConversion"/>
  </si>
  <si>
    <t>-</t>
    <phoneticPr fontId="2" type="noConversion"/>
  </si>
  <si>
    <t>1) 김해공장 지원 합계 : 0원</t>
    <phoneticPr fontId="2" type="noConversion"/>
  </si>
  <si>
    <t>2) A/S 지원 합계 : 250,000원</t>
    <phoneticPr fontId="2" type="noConversion"/>
  </si>
  <si>
    <t>생산 일정 및 A/S 일정에 따른 외주 인력 투입을 통한 생산 지원 및 A/S 조치</t>
    <phoneticPr fontId="2" type="noConversion"/>
  </si>
  <si>
    <t>A/S 지원 소계</t>
    <phoneticPr fontId="2" type="noConversion"/>
  </si>
  <si>
    <t>구분</t>
    <phoneticPr fontId="2" type="noConversion"/>
  </si>
  <si>
    <t>박성용(사무실)
박해식(반차)</t>
    <phoneticPr fontId="2" type="noConversion"/>
  </si>
  <si>
    <t>인도전</t>
    <phoneticPr fontId="2" type="noConversion"/>
  </si>
  <si>
    <t>SHI</t>
    <phoneticPr fontId="2" type="noConversion"/>
  </si>
  <si>
    <t>LAC</t>
    <phoneticPr fontId="2" type="noConversion"/>
  </si>
  <si>
    <t>동아(2)</t>
    <phoneticPr fontId="2" type="noConversion"/>
  </si>
  <si>
    <t>무상</t>
    <phoneticPr fontId="2" type="noConversion"/>
  </si>
  <si>
    <t xml:space="preserve">Cable OS Floating </t>
    <phoneticPr fontId="2" type="noConversion"/>
  </si>
  <si>
    <t>A/S</t>
    <phoneticPr fontId="2" type="noConversion"/>
  </si>
  <si>
    <t>인도전</t>
    <phoneticPr fontId="2" type="noConversion"/>
  </si>
  <si>
    <t>HHD</t>
    <phoneticPr fontId="2" type="noConversion"/>
  </si>
  <si>
    <t>비상작동검사</t>
    <phoneticPr fontId="2" type="noConversion"/>
  </si>
  <si>
    <t>박주성</t>
    <phoneticPr fontId="2" type="noConversion"/>
  </si>
  <si>
    <t>진진(2)</t>
    <phoneticPr fontId="2" type="noConversion"/>
  </si>
  <si>
    <t>HHI</t>
    <phoneticPr fontId="2" type="noConversion"/>
  </si>
  <si>
    <t>P178</t>
    <phoneticPr fontId="2" type="noConversion"/>
  </si>
  <si>
    <t>PE</t>
    <phoneticPr fontId="2" type="noConversion"/>
  </si>
  <si>
    <t>무상</t>
    <phoneticPr fontId="2" type="noConversion"/>
  </si>
  <si>
    <t>진진(2)</t>
    <phoneticPr fontId="2" type="noConversion"/>
  </si>
  <si>
    <t>J/B#1 케이블 그랜드 수정 외 잔여작업</t>
    <phoneticPr fontId="2" type="noConversion"/>
  </si>
  <si>
    <t>유상신</t>
    <phoneticPr fontId="2" type="noConversion"/>
  </si>
  <si>
    <t>우신(2)</t>
    <phoneticPr fontId="2" type="noConversion"/>
  </si>
  <si>
    <t>GNN0019</t>
    <phoneticPr fontId="2" type="noConversion"/>
  </si>
  <si>
    <t>ML</t>
    <phoneticPr fontId="2" type="noConversion"/>
  </si>
  <si>
    <t>설치</t>
    <phoneticPr fontId="2" type="noConversion"/>
  </si>
  <si>
    <t>무상</t>
    <phoneticPr fontId="2" type="noConversion"/>
  </si>
  <si>
    <t>사내작업</t>
    <phoneticPr fontId="2" type="noConversion"/>
  </si>
  <si>
    <t>우신(2)</t>
    <phoneticPr fontId="2" type="noConversion"/>
  </si>
  <si>
    <t>포장반 지원</t>
    <phoneticPr fontId="2" type="noConversion"/>
  </si>
  <si>
    <t>우신(1)</t>
    <phoneticPr fontId="2" type="noConversion"/>
  </si>
  <si>
    <t>크레인 폐자재 반출</t>
    <phoneticPr fontId="2" type="noConversion"/>
  </si>
  <si>
    <t>임차공장</t>
    <phoneticPr fontId="2" type="noConversion"/>
  </si>
  <si>
    <t>ER</t>
    <phoneticPr fontId="2" type="noConversion"/>
  </si>
  <si>
    <t>3/23~27</t>
    <phoneticPr fontId="2" type="noConversion"/>
  </si>
  <si>
    <t>RD</t>
    <phoneticPr fontId="2" type="noConversion"/>
  </si>
  <si>
    <t>포장</t>
  </si>
  <si>
    <t>포장</t>
    <phoneticPr fontId="2" type="noConversion"/>
  </si>
  <si>
    <t>이광형</t>
    <phoneticPr fontId="2" type="noConversion"/>
  </si>
  <si>
    <t>송영국</t>
    <phoneticPr fontId="2" type="noConversion"/>
  </si>
  <si>
    <t xml:space="preserve">HIO(1) </t>
    <phoneticPr fontId="2" type="noConversion"/>
  </si>
  <si>
    <t>P178</t>
    <phoneticPr fontId="2" type="noConversion"/>
  </si>
  <si>
    <t>ML</t>
    <phoneticPr fontId="2" type="noConversion"/>
  </si>
  <si>
    <t>3/24~27</t>
    <phoneticPr fontId="2" type="noConversion"/>
  </si>
  <si>
    <t xml:space="preserve">우신(4) </t>
    <phoneticPr fontId="2" type="noConversion"/>
  </si>
  <si>
    <t>독도함</t>
  </si>
  <si>
    <t>독도함</t>
    <phoneticPr fontId="2" type="noConversion"/>
  </si>
  <si>
    <t>ER</t>
    <phoneticPr fontId="2" type="noConversion"/>
  </si>
  <si>
    <t xml:space="preserve"> TELE LUG CYLINDER 교체</t>
    <phoneticPr fontId="2" type="noConversion"/>
  </si>
  <si>
    <t>외주정비</t>
    <phoneticPr fontId="2" type="noConversion"/>
  </si>
  <si>
    <t>외주정비</t>
    <phoneticPr fontId="2" type="noConversion"/>
  </si>
  <si>
    <t>서영진</t>
    <phoneticPr fontId="2" type="noConversion"/>
  </si>
  <si>
    <t>전기 판넬 설치 (크레인 지원 오후1시)</t>
    <phoneticPr fontId="2" type="noConversion"/>
  </si>
  <si>
    <t>보트 탑재 지원 (크레인 지원 오전11시) / FLOOD LIGHT 내부에 수분 유입 부분 확인(설계검토중)</t>
    <phoneticPr fontId="2" type="noConversion"/>
  </si>
  <si>
    <t>커미셔닝</t>
    <phoneticPr fontId="2" type="noConversion"/>
  </si>
  <si>
    <t>진진(2)</t>
    <phoneticPr fontId="2" type="noConversion"/>
  </si>
  <si>
    <t>무상</t>
    <phoneticPr fontId="2" type="noConversion"/>
  </si>
  <si>
    <t>DST(2)</t>
  </si>
  <si>
    <t xml:space="preserve">우신(2) </t>
    <phoneticPr fontId="2" type="noConversion"/>
  </si>
  <si>
    <t>SR24002</t>
  </si>
  <si>
    <t>SR24002</t>
    <phoneticPr fontId="2" type="noConversion"/>
  </si>
  <si>
    <t>ER</t>
    <phoneticPr fontId="2" type="noConversion"/>
  </si>
  <si>
    <t>ASS`Y 조립, FOLDING RAIL 조립</t>
    <phoneticPr fontId="2" type="noConversion"/>
  </si>
  <si>
    <t>이시맥</t>
    <phoneticPr fontId="2" type="noConversion"/>
  </si>
  <si>
    <t>HIO(3)</t>
  </si>
  <si>
    <t>HIO(3)</t>
    <phoneticPr fontId="2" type="noConversion"/>
  </si>
  <si>
    <t>3/26~27</t>
    <phoneticPr fontId="2" type="noConversion"/>
  </si>
  <si>
    <t>HIO(2)</t>
    <phoneticPr fontId="2" type="noConversion"/>
  </si>
  <si>
    <t>SWN0288</t>
    <phoneticPr fontId="2" type="noConversion"/>
  </si>
  <si>
    <t>KT</t>
    <phoneticPr fontId="2" type="noConversion"/>
  </si>
  <si>
    <t>자체 및 FAT</t>
    <phoneticPr fontId="2" type="noConversion"/>
  </si>
  <si>
    <t>RFW, DWW</t>
    <phoneticPr fontId="2" type="noConversion"/>
  </si>
  <si>
    <t>자체검사</t>
    <phoneticPr fontId="2" type="noConversion"/>
  </si>
  <si>
    <t>계약사항</t>
    <phoneticPr fontId="2" type="noConversion"/>
  </si>
  <si>
    <t>계약사항</t>
    <phoneticPr fontId="2" type="noConversion"/>
  </si>
  <si>
    <t>고객지원</t>
    <phoneticPr fontId="2" type="noConversion"/>
  </si>
  <si>
    <t>계약사항</t>
    <phoneticPr fontId="2" type="noConversion"/>
  </si>
  <si>
    <t>1/7(수)</t>
  </si>
  <si>
    <t>1주 - 긴급지원</t>
  </si>
  <si>
    <t>1/10(토)</t>
  </si>
  <si>
    <t>1/12~14</t>
  </si>
  <si>
    <t>권양기 기어박스 분해</t>
  </si>
  <si>
    <t>HIO(4)</t>
  </si>
  <si>
    <t>1/15~16</t>
  </si>
  <si>
    <t>1/14~16</t>
  </si>
  <si>
    <t>SWN0290</t>
  </si>
  <si>
    <t>조립 / 설치 / 시운전</t>
  </si>
  <si>
    <t>SWN0294</t>
  </si>
  <si>
    <t>FDC</t>
  </si>
  <si>
    <t>TEST 준비</t>
  </si>
  <si>
    <t>범양-최기추(3)</t>
  </si>
  <si>
    <t>TOWING BOOM 조립</t>
  </si>
  <si>
    <t>범양-최기추(2)</t>
  </si>
  <si>
    <t>1/13~14</t>
  </si>
  <si>
    <t>덴소 및 포장</t>
  </si>
  <si>
    <t>더베스트(4)</t>
  </si>
  <si>
    <t>김해공장</t>
    <phoneticPr fontId="2" type="noConversion"/>
  </si>
  <si>
    <t>1/6(화)</t>
  </si>
  <si>
    <t>히터 스위치 케이블 공급</t>
  </si>
  <si>
    <t>동아(3)</t>
  </si>
  <si>
    <t>1주 긴급지원 - 코멘트 작업</t>
  </si>
  <si>
    <t>전로 케이블 추가 설치,모터 케이블 포설,사급품 설치</t>
  </si>
  <si>
    <t>1/8(목)</t>
  </si>
  <si>
    <t>성동</t>
  </si>
  <si>
    <t>2번 모터 설치,시운전</t>
  </si>
  <si>
    <t>와이어 텐션 확인,동조 점검</t>
  </si>
  <si>
    <t>1/9(금)</t>
  </si>
  <si>
    <t>신안지도업</t>
  </si>
  <si>
    <t>턴테이블 한쪽 회전 불가능으로 감속기 점검</t>
  </si>
  <si>
    <t>1/12(월)</t>
  </si>
  <si>
    <t>S189</t>
  </si>
  <si>
    <t>코멘트 작업</t>
  </si>
  <si>
    <t>1/13-14</t>
  </si>
  <si>
    <t>한라IMS 광양사업장</t>
  </si>
  <si>
    <t>SB638</t>
  </si>
  <si>
    <t>RL</t>
  </si>
  <si>
    <t>연차검사</t>
  </si>
  <si>
    <t>진진(4)</t>
  </si>
  <si>
    <t>유상AS 사항</t>
  </si>
  <si>
    <t>1/13(화)</t>
  </si>
  <si>
    <t>계선기 설치</t>
  </si>
  <si>
    <t>HIO(1),범양(1)</t>
  </si>
  <si>
    <t>1/14(수)</t>
  </si>
  <si>
    <t>공식검사</t>
  </si>
  <si>
    <t>1/15(목)</t>
  </si>
  <si>
    <t>GNN0018</t>
  </si>
  <si>
    <t>설치 기술 지원</t>
  </si>
  <si>
    <t>LIMIT 설치</t>
  </si>
  <si>
    <t>1/16(금)</t>
  </si>
  <si>
    <t>RB/ML</t>
  </si>
  <si>
    <t>데비트 LuffingArm 함 내부로 이동시 LimitSwitch 미작동</t>
  </si>
  <si>
    <t>소형천정권양기 브레이크 수리 / 와이어 교체</t>
  </si>
  <si>
    <t>그랜드 교체 작업(스타터,HPU,발전기)</t>
  </si>
  <si>
    <t>가야(1)</t>
  </si>
  <si>
    <t>W304</t>
  </si>
  <si>
    <t>컨테이너 상차</t>
  </si>
  <si>
    <t>2주 긴급지원</t>
  </si>
  <si>
    <t>TOWING BOOM 작업</t>
  </si>
  <si>
    <t>1/19~23</t>
  </si>
  <si>
    <t>시운전 / 자체TEST</t>
  </si>
  <si>
    <t>1/19~20</t>
  </si>
  <si>
    <t>1/21~23</t>
  </si>
  <si>
    <t>1/19~21</t>
  </si>
  <si>
    <t>1/22~23</t>
  </si>
  <si>
    <t>FAT / 검사준비</t>
  </si>
  <si>
    <t>누유 점검 및 조치</t>
  </si>
  <si>
    <t>2주 긴급지원 - 코멘트 작업</t>
  </si>
  <si>
    <t>DAVIT CRADLE 용접 작업</t>
  </si>
  <si>
    <t>1/19(월)</t>
  </si>
  <si>
    <t>포항신항만</t>
  </si>
  <si>
    <t>DK</t>
  </si>
  <si>
    <t>콘트롤 밸브 누유</t>
  </si>
  <si>
    <t>그물망 설치</t>
  </si>
  <si>
    <t>코멘트사항</t>
  </si>
  <si>
    <t>1/20(화)</t>
  </si>
  <si>
    <t>여수</t>
  </si>
  <si>
    <t>해양경찰</t>
  </si>
  <si>
    <t>3011함</t>
  </si>
  <si>
    <t>(여수해경)</t>
  </si>
  <si>
    <t>토잉붐 추가 수정 작업</t>
  </si>
  <si>
    <t>,컨트롤 스탠드 명판 부착</t>
  </si>
  <si>
    <t>LUG 추가 용접 작업</t>
  </si>
  <si>
    <t>1/21(수)</t>
  </si>
  <si>
    <t>WD/ROVL</t>
  </si>
  <si>
    <t>토르크리미트 교체 / 손잡이 고정핀 작업</t>
  </si>
  <si>
    <t>분전반 판넬에 절연저항 경보등이 지속 점등 발생</t>
  </si>
  <si>
    <t>1/23(금)</t>
  </si>
  <si>
    <t>BOAT SEAT 및 CRADEL SEAT 재작업</t>
  </si>
  <si>
    <t>A/S</t>
    <phoneticPr fontId="2" type="noConversion"/>
  </si>
  <si>
    <t>진진(5)</t>
  </si>
  <si>
    <t>3주 긴급지원</t>
  </si>
  <si>
    <t>1/26~30</t>
  </si>
  <si>
    <t>SWNP0294</t>
  </si>
  <si>
    <t>수정 작업</t>
  </si>
  <si>
    <t>1/27(화)</t>
  </si>
  <si>
    <t>TOWING BOOM 수정 작업</t>
  </si>
  <si>
    <t>1/28~30</t>
  </si>
  <si>
    <t>레일설치</t>
  </si>
  <si>
    <t>1/26~27</t>
  </si>
  <si>
    <t>SA-594</t>
  </si>
  <si>
    <t>시운전</t>
  </si>
  <si>
    <t>GNN0019</t>
  </si>
  <si>
    <t>설치 / 시운전</t>
  </si>
  <si>
    <t>1/21-22</t>
    <phoneticPr fontId="2" type="noConversion"/>
  </si>
  <si>
    <t>1/22(목)</t>
  </si>
  <si>
    <t>토르크리미트 교체 </t>
  </si>
  <si>
    <t>3주 긴급지원 - 보증수리사항</t>
  </si>
  <si>
    <t>근접 리미트 교체</t>
  </si>
  <si>
    <t>MOTOR 설치</t>
  </si>
  <si>
    <t>3주 긴급지원 - 계약사항</t>
  </si>
  <si>
    <t>1/26-27</t>
  </si>
  <si>
    <t>제주해경</t>
  </si>
  <si>
    <t>DAVIT 받침대 보강 작업 외</t>
  </si>
  <si>
    <t>KN</t>
  </si>
  <si>
    <t>TOWING BOOM 러핑윈치가 브레이크 잡혀 조금씩 다운되는 문제 점검 / RUBBER,명판교체,PAINT 작업</t>
  </si>
  <si>
    <t>박성용,서한교</t>
  </si>
  <si>
    <t>1/28(수)</t>
  </si>
  <si>
    <t>MC 검사 입회 (13시30분) / 모터 방향 스티커 부착</t>
  </si>
  <si>
    <t>오승만</t>
  </si>
  <si>
    <t>1/28-30</t>
  </si>
  <si>
    <t>전기판넬 반출</t>
  </si>
  <si>
    <t>범양(6)</t>
  </si>
  <si>
    <t>유상</t>
  </si>
  <si>
    <t>1/30(금)</t>
  </si>
  <si>
    <t>RCS/RB</t>
  </si>
  <si>
    <t>설치 검사 (14:00) /시동기 도어 한쪽으로 쳐져있어 잠금 볼트 체결 불가 , 조종레버 시트 수평 작업 요청 </t>
  </si>
  <si>
    <t>1/27-28</t>
  </si>
  <si>
    <t>TOWING BOOM 용접 및 설치 작업</t>
  </si>
  <si>
    <t>4주 긴급지원</t>
  </si>
  <si>
    <t>2/2~2/6</t>
  </si>
  <si>
    <t>SA594</t>
  </si>
  <si>
    <t>시운전, 해체,포장</t>
  </si>
  <si>
    <t>2/2~2/3</t>
  </si>
  <si>
    <t>TNG026</t>
  </si>
  <si>
    <t>2/4~2/6</t>
  </si>
  <si>
    <t>SN2688</t>
  </si>
  <si>
    <t>EGC</t>
  </si>
  <si>
    <t>도면오작 수정/ 설치 / 시운전</t>
  </si>
  <si>
    <t>2/2(월)</t>
  </si>
  <si>
    <t>2/3(화)</t>
  </si>
  <si>
    <t>후크 위치 이동/ 와이어,붐 텔레쪽 구리스 작업</t>
  </si>
  <si>
    <t> / 조이스틱 명판 이동</t>
  </si>
  <si>
    <t>2/4(수)</t>
  </si>
  <si>
    <t>삼강 S&amp;C</t>
  </si>
  <si>
    <t>2/3~2/4</t>
  </si>
  <si>
    <t>NO.2를 작동 시 유압류가 NO.1으로</t>
  </si>
  <si>
    <t>역류하여 점검 후 수리</t>
  </si>
  <si>
    <t>BOAT SEAT 및 CRADEL SEAT 보강 작업</t>
  </si>
  <si>
    <t>김해공장</t>
    <phoneticPr fontId="2" type="noConversion"/>
  </si>
  <si>
    <t>2/9~2/10</t>
  </si>
  <si>
    <t>2/11~2/13</t>
  </si>
  <si>
    <t>2/9~2/13</t>
  </si>
  <si>
    <t>범양-최기추(5)</t>
  </si>
  <si>
    <t> 마스터링크 용접 (고정식으로 타입 변경)</t>
  </si>
  <si>
    <t>5주 긴급지원-코멘트작업</t>
  </si>
  <si>
    <t>2/5(목)</t>
  </si>
  <si>
    <t>리미트 상부 포지션 위치 변경</t>
  </si>
  <si>
    <t>2/6(금)</t>
  </si>
  <si>
    <t>5주 긴급지원-계약사항</t>
  </si>
  <si>
    <t>2/11(수)</t>
  </si>
  <si>
    <t>ROVL</t>
  </si>
  <si>
    <t>해수쿨러 누유 점검 및 작업</t>
  </si>
  <si>
    <t>DST(1)</t>
  </si>
  <si>
    <t>2/13(금)</t>
  </si>
  <si>
    <t>부산항</t>
  </si>
  <si>
    <t>5부두</t>
  </si>
  <si>
    <t>SWN0282/</t>
  </si>
  <si>
    <t>SWN0284</t>
  </si>
  <si>
    <t>무궁화41호/43호</t>
  </si>
  <si>
    <t>데비트 하부 RUBBER 교체 및 수정</t>
  </si>
  <si>
    <t>S186/S187</t>
  </si>
  <si>
    <t>함수 램프 우현 페드스탈 풀리 디스크 파손되어 교체 수리 요함 / 함수, 미 램프 완충 패드 파손 및 균열</t>
  </si>
  <si>
    <t>범양(1),진진(1)</t>
  </si>
  <si>
    <t>TOWING BOOM 설치</t>
  </si>
  <si>
    <t>2/10(화)</t>
  </si>
  <si>
    <t>진동 점검</t>
  </si>
  <si>
    <t>6주 긴급지원</t>
  </si>
  <si>
    <t>2/19~20</t>
  </si>
  <si>
    <t>p179</t>
  </si>
  <si>
    <t>2/20~21</t>
  </si>
  <si>
    <t>덴소 / 포장</t>
  </si>
  <si>
    <t>2/20(금)</t>
  </si>
  <si>
    <t>좌,우 WIRE 장력 재 세팅 / 좌,우 Wire Clamping Bolt 휨 외 기술지원</t>
  </si>
  <si>
    <t>2/21(토)</t>
  </si>
  <si>
    <t>스크린 체인 장력조절(텐션) 작업</t>
  </si>
  <si>
    <t> 진진(2)</t>
  </si>
  <si>
    <t>공시운전 입회</t>
  </si>
  <si>
    <t>2/23~27</t>
  </si>
  <si>
    <t>설치/시운전/자체TEST</t>
  </si>
  <si>
    <t>2/23~25</t>
  </si>
  <si>
    <t>2/26~27</t>
  </si>
  <si>
    <t>A/S</t>
    <phoneticPr fontId="2" type="noConversion"/>
  </si>
  <si>
    <t> 공시운전 입회</t>
  </si>
  <si>
    <t>7주 긴급지원- 코멘트사항</t>
  </si>
  <si>
    <t>GNN0017/18</t>
  </si>
  <si>
    <t>ML/RCS</t>
  </si>
  <si>
    <t>와이어 교체 / 스크린 체인 장력조절(텐션) 작업</t>
  </si>
  <si>
    <t>2/23(월)</t>
  </si>
  <si>
    <t>(함미/함수) 구리스 니플 라인 설치</t>
  </si>
  <si>
    <t>2/24(화)</t>
  </si>
  <si>
    <t>2/25(수)</t>
  </si>
  <si>
    <t>(PUNCH : HMS-00420)</t>
  </si>
  <si>
    <t>2/27(금)</t>
  </si>
  <si>
    <t>LEVEL SENSOR SEAT 설치 </t>
  </si>
  <si>
    <t>A/S</t>
    <phoneticPr fontId="2" type="noConversion"/>
  </si>
  <si>
    <t>2/10~11</t>
  </si>
  <si>
    <t>8주 긴급지원</t>
  </si>
  <si>
    <t>3/3~3/4</t>
  </si>
  <si>
    <t>SWNP0288-</t>
  </si>
  <si>
    <t>3/5~3/6</t>
  </si>
  <si>
    <t>3/3~3/6</t>
  </si>
  <si>
    <t>김해공장</t>
    <phoneticPr fontId="2" type="noConversion"/>
  </si>
  <si>
    <t>/28(토)</t>
  </si>
  <si>
    <t>8주 긴급지원- 코멘트사항</t>
  </si>
  <si>
    <t>진해2부두</t>
  </si>
  <si>
    <t>콘트롤 밸브 누유 점검</t>
  </si>
  <si>
    <t>3/3(화)</t>
  </si>
  <si>
    <t>인입식 해상수급장치 빌지센서 작업 /</t>
  </si>
  <si>
    <t>LEVEL SENSOR SEAT 설치 / S.T.W / HATCH 쇼바 작업 </t>
  </si>
  <si>
    <t>영도/한진</t>
  </si>
  <si>
    <t>/S189</t>
  </si>
  <si>
    <t>KT/BSR</t>
  </si>
  <si>
    <t>/ 코멘트 작업</t>
  </si>
  <si>
    <t>MINI DOOR 명판 및 도어 손잡이 충격 방지용 고무 설치</t>
  </si>
  <si>
    <t>3/4(수)</t>
  </si>
  <si>
    <t>/7도크</t>
  </si>
  <si>
    <t>3/5(목)</t>
  </si>
  <si>
    <t> 분전반 판넬에 절연저항 경보등이 지속 점등 발생으로 FAIL SAFE 교체</t>
  </si>
  <si>
    <t>3/6(금)</t>
  </si>
  <si>
    <t>목포</t>
  </si>
  <si>
    <t>(무궁화42호)</t>
  </si>
  <si>
    <t>3/9~11</t>
  </si>
  <si>
    <t>3/12~13</t>
  </si>
  <si>
    <t>SWN0297</t>
  </si>
  <si>
    <t>WB</t>
  </si>
  <si>
    <t>시운전 / 자체</t>
  </si>
  <si>
    <t>3/9~13</t>
  </si>
  <si>
    <t>A/S</t>
    <phoneticPr fontId="2" type="noConversion"/>
  </si>
  <si>
    <t>결선 작업</t>
  </si>
  <si>
    <t>9주 긴급지원 - 코멘트사항</t>
  </si>
  <si>
    <t>제주강정항</t>
  </si>
  <si>
    <t>작동 시 NO.2모터가 풀리면서 NO.1 장력을 받아 오버로드가 걸리는 현상</t>
  </si>
  <si>
    <t>3/9(월)</t>
  </si>
  <si>
    <t>3/10(화)</t>
  </si>
  <si>
    <t>로드리미터 점검</t>
  </si>
  <si>
    <t>신한(1)</t>
  </si>
  <si>
    <t>SWN0271</t>
  </si>
  <si>
    <t>리미트 스위치 세팅 시 원위치로 돌아오는 현상 점검</t>
  </si>
  <si>
    <t>Starter Panel : IS Barrier 철거, T/B Arrange 수정, T/B N/P 수정 / Earth cable - 색상 반영 작업 </t>
  </si>
  <si>
    <t>동아(2)</t>
  </si>
  <si>
    <t>3/11(수)</t>
  </si>
  <si>
    <t>부산해양</t>
  </si>
  <si>
    <t>경찰서</t>
  </si>
  <si>
    <t>HKS041</t>
  </si>
  <si>
    <t>3/13(금)</t>
  </si>
  <si>
    <t>묵호항</t>
  </si>
  <si>
    <t>(무궁화43호)</t>
  </si>
  <si>
    <t>DAVIT EPDM RUBBER 교체 /</t>
  </si>
  <si>
    <t>보트 간섭 부분 SEAT 절단 요청</t>
  </si>
  <si>
    <t>3/12(목)</t>
  </si>
  <si>
    <t>검사</t>
  </si>
  <si>
    <t>10주 긴급지원</t>
  </si>
  <si>
    <t>3/16~20</t>
  </si>
  <si>
    <t>김동명, HIO(3)</t>
  </si>
  <si>
    <t>범양-HIO(2)</t>
  </si>
  <si>
    <t>S206</t>
  </si>
  <si>
    <t> 10주 긴급지원-코멘트 사항 </t>
  </si>
  <si>
    <t>HIO(1),우신(1)</t>
  </si>
  <si>
    <t> 10주 긴급지원-계약 사항 </t>
  </si>
  <si>
    <t>3/17(화)</t>
  </si>
  <si>
    <t>J/B#1 케이블 그랜드 수정 외 잔여작업</t>
  </si>
  <si>
    <t>진진(2), 동아(1)</t>
  </si>
  <si>
    <t> 계약 사항 </t>
  </si>
  <si>
    <t> 선주코멘트 조치 </t>
  </si>
  <si>
    <t>김해공장</t>
    <phoneticPr fontId="2" type="noConversion"/>
  </si>
  <si>
    <t>보트 시트 수정 / 와이어로프 교체(손상 원인 파악/와이어로프 회수요함) / 작업등 절연불량</t>
    <phoneticPr fontId="2" type="noConversion"/>
  </si>
  <si>
    <t>인도전</t>
    <phoneticPr fontId="2" type="noConversion"/>
  </si>
  <si>
    <t>HHI</t>
    <phoneticPr fontId="2" type="noConversion"/>
  </si>
  <si>
    <t>P169</t>
    <phoneticPr fontId="2" type="noConversion"/>
  </si>
  <si>
    <t>ML</t>
    <phoneticPr fontId="2" type="noConversion"/>
  </si>
  <si>
    <t>박성용</t>
    <phoneticPr fontId="2" type="noConversion"/>
  </si>
  <si>
    <t>무상</t>
    <phoneticPr fontId="2" type="noConversion"/>
  </si>
  <si>
    <t>0160</t>
    <phoneticPr fontId="2" type="noConversion"/>
  </si>
  <si>
    <t>목포</t>
    <phoneticPr fontId="2" type="noConversion"/>
  </si>
  <si>
    <t>세종대왕함</t>
    <phoneticPr fontId="2" type="noConversion"/>
  </si>
  <si>
    <t>박성용</t>
    <phoneticPr fontId="2" type="noConversion"/>
  </si>
  <si>
    <t>A/S</t>
    <phoneticPr fontId="2" type="noConversion"/>
  </si>
  <si>
    <t>인도전</t>
    <phoneticPr fontId="2" type="noConversion"/>
  </si>
  <si>
    <t>HHI</t>
    <phoneticPr fontId="2" type="noConversion"/>
  </si>
  <si>
    <t>P169</t>
    <phoneticPr fontId="2" type="noConversion"/>
  </si>
  <si>
    <t>PE</t>
    <phoneticPr fontId="2" type="noConversion"/>
  </si>
  <si>
    <t>검사 입회</t>
    <phoneticPr fontId="2" type="noConversion"/>
  </si>
  <si>
    <t>우신(1)</t>
    <phoneticPr fontId="2" type="noConversion"/>
  </si>
  <si>
    <t>무상</t>
    <phoneticPr fontId="2" type="noConversion"/>
  </si>
  <si>
    <t>0160</t>
    <phoneticPr fontId="2" type="noConversion"/>
  </si>
  <si>
    <t>TF</t>
    <phoneticPr fontId="2" type="noConversion"/>
  </si>
  <si>
    <t>컨테이너 선적</t>
    <phoneticPr fontId="2" type="noConversion"/>
  </si>
  <si>
    <t>창립기념일</t>
    <phoneticPr fontId="2" type="noConversion"/>
  </si>
  <si>
    <t>CLAIM</t>
    <phoneticPr fontId="2" type="noConversion"/>
  </si>
  <si>
    <t>HHD</t>
    <phoneticPr fontId="2" type="noConversion"/>
  </si>
  <si>
    <t>도어 해체/ 설치</t>
    <phoneticPr fontId="2" type="noConversion"/>
  </si>
  <si>
    <t>CNM(5)</t>
    <phoneticPr fontId="2" type="noConversion"/>
  </si>
  <si>
    <t>무상</t>
    <phoneticPr fontId="2" type="noConversion"/>
  </si>
  <si>
    <t>개인차량</t>
    <phoneticPr fontId="2" type="noConversion"/>
  </si>
  <si>
    <t>개인차량</t>
    <phoneticPr fontId="2" type="noConversion"/>
  </si>
  <si>
    <t>A/S</t>
    <phoneticPr fontId="2" type="noConversion"/>
  </si>
  <si>
    <t>RCS</t>
    <phoneticPr fontId="2" type="noConversion"/>
  </si>
  <si>
    <t>GNN0017/18/19</t>
    <phoneticPr fontId="2" type="noConversion"/>
  </si>
  <si>
    <t>외주 정비 견적 기술지원 
(8:40분 진해 공설운동장 주차장1 도착 요함)</t>
    <phoneticPr fontId="2" type="noConversion"/>
  </si>
  <si>
    <t>박성용, 김기환</t>
    <phoneticPr fontId="2" type="noConversion"/>
  </si>
  <si>
    <t>P179</t>
    <phoneticPr fontId="2" type="noConversion"/>
  </si>
  <si>
    <t>보트 탑재 지원</t>
    <phoneticPr fontId="2" type="noConversion"/>
  </si>
  <si>
    <t>노동절</t>
    <phoneticPr fontId="2" type="noConversion"/>
  </si>
  <si>
    <t>진진(1)</t>
    <phoneticPr fontId="2" type="noConversion"/>
  </si>
  <si>
    <t>우신(1), CNM(1)</t>
    <phoneticPr fontId="2" type="noConversion"/>
  </si>
  <si>
    <t>자체테스트 및 검사 준비 (시운전)</t>
    <phoneticPr fontId="2" type="noConversion"/>
  </si>
  <si>
    <t>SW0288</t>
    <phoneticPr fontId="2" type="noConversion"/>
  </si>
  <si>
    <t>제주해군</t>
    <phoneticPr fontId="2" type="noConversion"/>
  </si>
  <si>
    <t>보증수리(엔코더교체/패드교체/램프변형부수정/리미트교체)</t>
    <phoneticPr fontId="2" type="noConversion"/>
  </si>
  <si>
    <t>개인차랑</t>
    <phoneticPr fontId="2" type="noConversion"/>
  </si>
  <si>
    <t>박주성</t>
    <phoneticPr fontId="2" type="noConversion"/>
  </si>
  <si>
    <t>박성용</t>
    <phoneticPr fontId="2" type="noConversion"/>
  </si>
  <si>
    <t>박성용</t>
    <phoneticPr fontId="2" type="noConversion"/>
  </si>
  <si>
    <t>0160</t>
    <phoneticPr fontId="2" type="noConversion"/>
  </si>
  <si>
    <t>0160
9080</t>
    <phoneticPr fontId="2" type="noConversion"/>
  </si>
  <si>
    <t>CNM(3)</t>
    <phoneticPr fontId="2" type="noConversion"/>
  </si>
  <si>
    <t>CNM(3)</t>
    <phoneticPr fontId="2" type="noConversion"/>
  </si>
  <si>
    <t>명판 설치 및 코멘트 조치</t>
    <phoneticPr fontId="2" type="noConversion"/>
  </si>
  <si>
    <t>코멘트 조치 (체인 장력 조정)</t>
    <phoneticPr fontId="2" type="noConversion"/>
  </si>
  <si>
    <t>박성용(사무실)</t>
    <phoneticPr fontId="2" type="noConversion"/>
  </si>
  <si>
    <t>공식검사 (09시30분)
검사 작업 완료 확인 후 웨이트 자재 회수 요청</t>
    <phoneticPr fontId="2" type="noConversion"/>
  </si>
  <si>
    <t>납품지원(우신1)</t>
    <phoneticPr fontId="2" type="noConversion"/>
  </si>
  <si>
    <t>A/S</t>
    <phoneticPr fontId="2" type="noConversion"/>
  </si>
  <si>
    <t>시운전 (케이블 및 센서 설치 / 도어 작동 (센서 세팅) / 등화 관제 작업)</t>
    <phoneticPr fontId="2" type="noConversion"/>
  </si>
  <si>
    <t>인도전</t>
    <phoneticPr fontId="2" type="noConversion"/>
  </si>
  <si>
    <t>HJSC</t>
    <phoneticPr fontId="2" type="noConversion"/>
  </si>
  <si>
    <t>CS</t>
    <phoneticPr fontId="2" type="noConversion"/>
  </si>
  <si>
    <t>설치 작업</t>
    <phoneticPr fontId="2" type="noConversion"/>
  </si>
  <si>
    <t>03-30 ~ 4/3</t>
    <phoneticPr fontId="2" type="noConversion"/>
  </si>
  <si>
    <t>ASS`Y 조립</t>
    <phoneticPr fontId="2" type="noConversion"/>
  </si>
  <si>
    <t>03-30 ~ 4/2</t>
    <phoneticPr fontId="2" type="noConversion"/>
  </si>
  <si>
    <t>FOLDING RAIL 시운전/ 자체/ FAT</t>
    <phoneticPr fontId="2" type="noConversion"/>
  </si>
  <si>
    <t>03-31 ~ 4/1</t>
    <phoneticPr fontId="2" type="noConversion"/>
  </si>
  <si>
    <t>04/02 ~ 4/3</t>
    <phoneticPr fontId="2" type="noConversion"/>
  </si>
  <si>
    <t>03/30 ~ 4/1</t>
    <phoneticPr fontId="2" type="noConversion"/>
  </si>
  <si>
    <t>진진(2)</t>
    <phoneticPr fontId="2" type="noConversion"/>
  </si>
  <si>
    <t>우신(2), 더베솔(2)</t>
    <phoneticPr fontId="2" type="noConversion"/>
  </si>
  <si>
    <t>검독수리-B Batch-II 3,4번함 군수지원교육
 9시 ~ (교육인원 3, 3명)</t>
    <phoneticPr fontId="2" type="noConversion"/>
  </si>
  <si>
    <t>납품지원(우신1, 더베솔2)</t>
    <phoneticPr fontId="2" type="noConversion"/>
  </si>
  <si>
    <t>A/S</t>
    <phoneticPr fontId="2" type="noConversion"/>
  </si>
  <si>
    <t>김해공장</t>
    <phoneticPr fontId="2" type="noConversion"/>
  </si>
  <si>
    <t>HIO(5), 범양-최기추(5)</t>
    <phoneticPr fontId="2" type="noConversion"/>
  </si>
  <si>
    <t>범양-최기추(3)</t>
    <phoneticPr fontId="2" type="noConversion"/>
  </si>
  <si>
    <r>
      <rPr>
        <sz val="10"/>
        <color rgb="FF000000"/>
        <rFont val="돋움"/>
        <family val="3"/>
        <charset val="129"/>
      </rPr>
      <t>어스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케이블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볼트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교체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작업</t>
    </r>
    <phoneticPr fontId="2" type="noConversion"/>
  </si>
  <si>
    <r>
      <t xml:space="preserve">S.T.W / </t>
    </r>
    <r>
      <rPr>
        <sz val="10"/>
        <color rgb="FF000000"/>
        <rFont val="돋움"/>
        <family val="3"/>
        <charset val="129"/>
      </rPr>
      <t>인입식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해상수급장치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빌지센서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작업</t>
    </r>
    <r>
      <rPr>
        <sz val="10"/>
        <color rgb="FF000000"/>
        <rFont val="Arial"/>
        <family val="2"/>
      </rPr>
      <t xml:space="preserve"> /</t>
    </r>
    <phoneticPr fontId="2" type="noConversion"/>
  </si>
  <si>
    <r>
      <t xml:space="preserve">HATCH </t>
    </r>
    <r>
      <rPr>
        <sz val="10"/>
        <color rgb="FF000000"/>
        <rFont val="돋움"/>
        <family val="3"/>
        <charset val="129"/>
      </rPr>
      <t>쇼바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수정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작업</t>
    </r>
    <phoneticPr fontId="2" type="noConversion"/>
  </si>
  <si>
    <r>
      <rPr>
        <sz val="10"/>
        <color rgb="FF000000"/>
        <rFont val="돋움"/>
        <family val="3"/>
        <charset val="129"/>
      </rPr>
      <t>유압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호스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누유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돋움"/>
        <family val="3"/>
        <charset val="129"/>
      </rPr>
      <t>테이핑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챙기기</t>
    </r>
    <r>
      <rPr>
        <sz val="10"/>
        <color rgb="FF000000"/>
        <rFont val="Arial"/>
        <family val="2"/>
      </rPr>
      <t>)</t>
    </r>
    <phoneticPr fontId="2" type="noConversion"/>
  </si>
  <si>
    <r>
      <t xml:space="preserve">HAND GRIP </t>
    </r>
    <r>
      <rPr>
        <sz val="10"/>
        <color rgb="FF000000"/>
        <rFont val="돋움"/>
        <family val="3"/>
        <charset val="129"/>
      </rPr>
      <t>철거</t>
    </r>
    <r>
      <rPr>
        <sz val="10"/>
        <color rgb="FF000000"/>
        <rFont val="Arial"/>
        <family val="2"/>
      </rPr>
      <t xml:space="preserve"> / </t>
    </r>
    <r>
      <rPr>
        <sz val="10"/>
        <color rgb="FF000000"/>
        <rFont val="돋움"/>
        <family val="3"/>
        <charset val="129"/>
      </rPr>
      <t>볼트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체결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부위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도장</t>
    </r>
    <phoneticPr fontId="2" type="noConversion"/>
  </si>
  <si>
    <r>
      <t>3/5(</t>
    </r>
    <r>
      <rPr>
        <sz val="10"/>
        <color rgb="FF000000"/>
        <rFont val="돋움"/>
        <family val="3"/>
        <charset val="129"/>
      </rPr>
      <t>목</t>
    </r>
    <r>
      <rPr>
        <sz val="10"/>
        <color rgb="FF000000"/>
        <rFont val="Arial"/>
        <family val="2"/>
      </rPr>
      <t>)</t>
    </r>
    <phoneticPr fontId="2" type="noConversion"/>
  </si>
  <si>
    <r>
      <t xml:space="preserve">HATCH </t>
    </r>
    <r>
      <rPr>
        <sz val="10"/>
        <color rgb="FF000000"/>
        <rFont val="돋움"/>
        <family val="3"/>
        <charset val="129"/>
      </rPr>
      <t>점검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및</t>
    </r>
    <r>
      <rPr>
        <sz val="10"/>
        <color rgb="FF000000"/>
        <rFont val="Arial"/>
        <family val="2"/>
      </rPr>
      <t xml:space="preserve"> AIR SPRING </t>
    </r>
    <r>
      <rPr>
        <sz val="10"/>
        <color rgb="FF000000"/>
        <rFont val="돋움"/>
        <family val="3"/>
        <charset val="129"/>
      </rPr>
      <t>수정</t>
    </r>
    <phoneticPr fontId="2" type="noConversion"/>
  </si>
  <si>
    <r>
      <rPr>
        <sz val="10"/>
        <color rgb="FF000000"/>
        <rFont val="돋움"/>
        <family val="3"/>
        <charset val="129"/>
      </rPr>
      <t>와이어꼬임</t>
    </r>
    <r>
      <rPr>
        <sz val="10"/>
        <color rgb="FF000000"/>
        <rFont val="Arial"/>
        <family val="2"/>
      </rPr>
      <t xml:space="preserve"> / </t>
    </r>
    <r>
      <rPr>
        <sz val="10"/>
        <color rgb="FF000000"/>
        <rFont val="돋움"/>
        <family val="3"/>
        <charset val="129"/>
      </rPr>
      <t>안착</t>
    </r>
    <r>
      <rPr>
        <sz val="10"/>
        <color rgb="FF000000"/>
        <rFont val="Arial"/>
        <family val="2"/>
      </rPr>
      <t xml:space="preserve"> RUBBER </t>
    </r>
    <r>
      <rPr>
        <sz val="10"/>
        <color rgb="FF000000"/>
        <rFont val="돋움"/>
        <family val="3"/>
        <charset val="129"/>
      </rPr>
      <t>교체</t>
    </r>
    <r>
      <rPr>
        <sz val="10"/>
        <color rgb="FF000000"/>
        <rFont val="Arial"/>
        <family val="2"/>
      </rPr>
      <t xml:space="preserve"> / DAVIT </t>
    </r>
    <r>
      <rPr>
        <sz val="10"/>
        <color rgb="FF000000"/>
        <rFont val="돋움"/>
        <family val="3"/>
        <charset val="129"/>
      </rPr>
      <t>안착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시</t>
    </r>
    <r>
      <rPr>
        <sz val="10"/>
        <color rgb="FF000000"/>
        <rFont val="Arial"/>
        <family val="2"/>
      </rPr>
      <t xml:space="preserve"> RUBBER </t>
    </r>
    <r>
      <rPr>
        <sz val="10"/>
        <color rgb="FF000000"/>
        <rFont val="돋움"/>
        <family val="3"/>
        <charset val="129"/>
      </rPr>
      <t>안착이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안되어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점검</t>
    </r>
    <phoneticPr fontId="2" type="noConversion"/>
  </si>
  <si>
    <r>
      <t xml:space="preserve">UP LIMIT </t>
    </r>
    <r>
      <rPr>
        <sz val="10"/>
        <color rgb="FF000000"/>
        <rFont val="돋움"/>
        <family val="3"/>
        <charset val="129"/>
      </rPr>
      <t>문제</t>
    </r>
    <r>
      <rPr>
        <sz val="10"/>
        <color rgb="FF000000"/>
        <rFont val="Arial"/>
        <family val="2"/>
      </rPr>
      <t xml:space="preserve">(TOUCH BAR </t>
    </r>
    <r>
      <rPr>
        <sz val="10"/>
        <color rgb="FF000000"/>
        <rFont val="돋움"/>
        <family val="3"/>
        <charset val="129"/>
      </rPr>
      <t>조절</t>
    </r>
    <r>
      <rPr>
        <sz val="10"/>
        <color rgb="FF000000"/>
        <rFont val="Arial"/>
        <family val="2"/>
      </rPr>
      <t>)</t>
    </r>
    <phoneticPr fontId="2" type="noConversion"/>
  </si>
  <si>
    <r>
      <t xml:space="preserve">TELESCOPIC BOOM </t>
    </r>
    <r>
      <rPr>
        <sz val="10"/>
        <color rgb="FF000000"/>
        <rFont val="돋움"/>
        <family val="3"/>
        <charset val="129"/>
      </rPr>
      <t>오일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누유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점검</t>
    </r>
    <phoneticPr fontId="2" type="noConversion"/>
  </si>
  <si>
    <r>
      <t xml:space="preserve">DAVIT EPDM RUBBER </t>
    </r>
    <r>
      <rPr>
        <sz val="10"/>
        <color rgb="FF000000"/>
        <rFont val="돋움"/>
        <family val="3"/>
        <charset val="129"/>
      </rPr>
      <t>교체</t>
    </r>
    <r>
      <rPr>
        <sz val="10"/>
        <color rgb="FF000000"/>
        <rFont val="Arial"/>
        <family val="2"/>
      </rPr>
      <t xml:space="preserve"> /</t>
    </r>
    <phoneticPr fontId="2" type="noConversion"/>
  </si>
  <si>
    <r>
      <t>3/14(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Arial"/>
        <family val="2"/>
      </rPr>
      <t>)</t>
    </r>
    <phoneticPr fontId="2" type="noConversion"/>
  </si>
  <si>
    <r>
      <rPr>
        <sz val="9"/>
        <color rgb="FF000000"/>
        <rFont val="돋움"/>
        <family val="3"/>
        <charset val="129"/>
      </rPr>
      <t>소형계선기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설치</t>
    </r>
    <r>
      <rPr>
        <sz val="9"/>
        <color rgb="FF000000"/>
        <rFont val="Arial"/>
        <family val="2"/>
      </rPr>
      <t> </t>
    </r>
    <phoneticPr fontId="2" type="noConversion"/>
  </si>
  <si>
    <r>
      <t xml:space="preserve">PUNCH </t>
    </r>
    <r>
      <rPr>
        <sz val="9"/>
        <color rgb="FF000000"/>
        <rFont val="돋움"/>
        <family val="3"/>
        <charset val="129"/>
      </rPr>
      <t>조치</t>
    </r>
    <r>
      <rPr>
        <sz val="9"/>
        <color rgb="FF000000"/>
        <rFont val="Arial"/>
        <family val="2"/>
      </rPr>
      <t>(</t>
    </r>
    <r>
      <rPr>
        <sz val="9"/>
        <color rgb="FF000000"/>
        <rFont val="돋움"/>
        <family val="3"/>
        <charset val="129"/>
      </rPr>
      <t>실린더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도장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수정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돋움"/>
        <family val="3"/>
        <charset val="129"/>
      </rPr>
      <t>호이스트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윈치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압력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밸브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덴소처리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돋움"/>
        <family val="3"/>
        <charset val="129"/>
      </rPr>
      <t>호이스팅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윈치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오일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레벨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게이지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교체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돋움"/>
        <family val="3"/>
        <charset val="129"/>
      </rPr>
      <t>지브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녹제거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돋움"/>
        <family val="3"/>
        <charset val="129"/>
      </rPr>
      <t>볼트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전달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돋움"/>
        <family val="3"/>
        <charset val="129"/>
      </rPr>
      <t>스크린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접착제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제거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돋움"/>
        <family val="3"/>
        <charset val="129"/>
      </rPr>
      <t>와이어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확인</t>
    </r>
    <r>
      <rPr>
        <sz val="9"/>
        <color rgb="FF000000"/>
        <rFont val="Arial"/>
        <family val="2"/>
      </rPr>
      <t>)</t>
    </r>
    <phoneticPr fontId="2" type="noConversion"/>
  </si>
  <si>
    <t>폐자재 정리</t>
    <phoneticPr fontId="2" type="noConversion"/>
  </si>
  <si>
    <r>
      <t xml:space="preserve">FOLDING RAIL </t>
    </r>
    <r>
      <rPr>
        <sz val="9"/>
        <color rgb="FF000000"/>
        <rFont val="돋움"/>
        <family val="3"/>
        <charset val="129"/>
      </rPr>
      <t>조립</t>
    </r>
    <phoneticPr fontId="2" type="noConversion"/>
  </si>
  <si>
    <t>HIO(5)</t>
    <phoneticPr fontId="2" type="noConversion"/>
  </si>
  <si>
    <t>HIO(5)</t>
    <phoneticPr fontId="2" type="noConversion"/>
  </si>
  <si>
    <t>사전품의 완료</t>
    <phoneticPr fontId="2" type="noConversion"/>
  </si>
  <si>
    <t>사전품의 완료</t>
    <phoneticPr fontId="2" type="noConversion"/>
  </si>
  <si>
    <t>사전품의 완료</t>
    <phoneticPr fontId="2" type="noConversion"/>
  </si>
  <si>
    <t>사전품의 완료</t>
    <phoneticPr fontId="2" type="noConversion"/>
  </si>
  <si>
    <t>FOLDING RAIL 조립</t>
    <phoneticPr fontId="2" type="noConversion"/>
  </si>
  <si>
    <t>3/14(토)</t>
    <phoneticPr fontId="2" type="noConversion"/>
  </si>
  <si>
    <t>HIO(1)</t>
    <phoneticPr fontId="2" type="noConversion"/>
  </si>
  <si>
    <t>소형계선기 설치 (우픅1대)</t>
    <phoneticPr fontId="2" type="noConversion"/>
  </si>
  <si>
    <t xml:space="preserve">조립 / 도장보수 </t>
    <phoneticPr fontId="2" type="noConversion"/>
  </si>
  <si>
    <t xml:space="preserve">조립 / 도장보수 </t>
    <phoneticPr fontId="2" type="noConversion"/>
  </si>
  <si>
    <t>조립 / 와이어 리깅 / 야드 설치</t>
    <phoneticPr fontId="2" type="noConversion"/>
  </si>
  <si>
    <t>조립 (해체, 감속기시트 설치, 용접, 기어조립)</t>
    <phoneticPr fontId="2" type="noConversion"/>
  </si>
  <si>
    <t>감속기 체결/ 시운전 / 자체</t>
    <phoneticPr fontId="2" type="noConversion"/>
  </si>
  <si>
    <t>ASS`Y 조립, FOLDING RAIL 조립 / 감속기 조립/ 명판 설치</t>
    <phoneticPr fontId="2" type="noConversion"/>
  </si>
  <si>
    <t>S.T.W / 인입식 해상수급장치 빌지센서 작업 /</t>
    <phoneticPr fontId="2" type="noConversion"/>
  </si>
  <si>
    <t>HATCH 쇼바 수정 작업</t>
    <phoneticPr fontId="2" type="noConversion"/>
  </si>
  <si>
    <t>UP LIMIT 문제(TOUCH BAR 조절)</t>
    <phoneticPr fontId="2" type="noConversion"/>
  </si>
  <si>
    <t>어스 케이블 볼트 교체 작업</t>
    <phoneticPr fontId="2" type="noConversion"/>
  </si>
  <si>
    <t>유압 호스 누유 (테이핑 챙기기)</t>
    <phoneticPr fontId="2" type="noConversion"/>
  </si>
  <si>
    <t>HAND GRIP 철거 / 볼트 체결 부위 도장</t>
    <phoneticPr fontId="2" type="noConversion"/>
  </si>
  <si>
    <t>와이어꼬임 / 안착 RUBBER 교체 / DAVIT 안착 시 RUBBER 안착이 안되어 점검</t>
    <phoneticPr fontId="2" type="noConversion"/>
  </si>
  <si>
    <t>3/5(목)</t>
    <phoneticPr fontId="2" type="noConversion"/>
  </si>
  <si>
    <t>HATCH 점검 및 AIR SPRING 수정</t>
    <phoneticPr fontId="2" type="noConversion"/>
  </si>
  <si>
    <t>TELESCOPIC BOOM 오일 누유 점검</t>
    <phoneticPr fontId="2" type="noConversion"/>
  </si>
  <si>
    <t>DAVIT EPDM RUBBER 교체 /</t>
    <phoneticPr fontId="2" type="noConversion"/>
  </si>
  <si>
    <t>PUNCH 조치(실린더 도장 수정, 호이스트 윈치 압력 밸브 덴소처리, 호이스팅 윈치 오일 레벨 게이지 교체, 지브 핀 녹제거, 볼트 전달, 스크린 접착제 제거, 와이어 확인)</t>
    <phoneticPr fontId="2" type="noConversion"/>
  </si>
  <si>
    <t>3/14(토)</t>
    <phoneticPr fontId="2" type="noConversion"/>
  </si>
  <si>
    <t>소형계선기 설치 </t>
    <phoneticPr fontId="2" type="noConversion"/>
  </si>
  <si>
    <t>HD</t>
    <phoneticPr fontId="2" type="noConversion"/>
  </si>
  <si>
    <t>유압 모듈 누유</t>
    <phoneticPr fontId="2" type="noConversion"/>
  </si>
  <si>
    <t>A/S</t>
    <phoneticPr fontId="2" type="noConversion"/>
  </si>
  <si>
    <t>인도후</t>
    <phoneticPr fontId="2" type="noConversion"/>
  </si>
  <si>
    <t>진해해군</t>
    <phoneticPr fontId="2" type="noConversion"/>
  </si>
  <si>
    <t>ROV</t>
    <phoneticPr fontId="2" type="noConversion"/>
  </si>
  <si>
    <t>정기보증수리 항목(해수쿨러누유, 엄빌리컬가이드설치, WAGON센서작동 확인/수정, H빔 흔들림 고정, POSITION SENSOR 교체) 현장 점검 / 조치 방안 협의</t>
    <phoneticPr fontId="2" type="noConversion"/>
  </si>
  <si>
    <t>박주성</t>
    <phoneticPr fontId="2" type="noConversion"/>
  </si>
  <si>
    <t>진진(2), DST(1)</t>
    <phoneticPr fontId="2" type="noConversion"/>
  </si>
  <si>
    <t>제주항공권</t>
    <phoneticPr fontId="2" type="noConversion"/>
  </si>
  <si>
    <t>여객요금</t>
    <phoneticPr fontId="2" type="noConversion"/>
  </si>
  <si>
    <t>외주인건비</t>
    <phoneticPr fontId="2" type="noConversion"/>
  </si>
  <si>
    <t>동아</t>
    <phoneticPr fontId="2" type="noConversion"/>
  </si>
  <si>
    <t>1인 (왕복)</t>
    <phoneticPr fontId="2" type="noConversion"/>
  </si>
  <si>
    <t>차량 (왕복)</t>
    <phoneticPr fontId="2" type="noConversion"/>
  </si>
  <si>
    <t>외주인건비</t>
    <phoneticPr fontId="2" type="noConversion"/>
  </si>
  <si>
    <t>동아인건비</t>
    <phoneticPr fontId="2" type="noConversion"/>
  </si>
  <si>
    <t>1일</t>
    <phoneticPr fontId="2" type="noConversion"/>
  </si>
  <si>
    <t>여객</t>
    <phoneticPr fontId="2" type="noConversion"/>
  </si>
  <si>
    <t>항공</t>
    <phoneticPr fontId="2" type="noConversion"/>
  </si>
  <si>
    <t>여객1인+차량 / 항공2인</t>
    <phoneticPr fontId="2" type="noConversion"/>
  </si>
  <si>
    <t>교통비(왕복)</t>
    <phoneticPr fontId="2" type="noConversion"/>
  </si>
  <si>
    <t>숙박비</t>
    <phoneticPr fontId="2" type="noConversion"/>
  </si>
  <si>
    <t>숙박비</t>
    <phoneticPr fontId="2" type="noConversion"/>
  </si>
  <si>
    <t>2인 4일, 조출4h</t>
    <phoneticPr fontId="2" type="noConversion"/>
  </si>
  <si>
    <t>잔업</t>
    <phoneticPr fontId="2" type="noConversion"/>
  </si>
  <si>
    <t>잔업</t>
    <phoneticPr fontId="2" type="noConversion"/>
  </si>
  <si>
    <t>A</t>
    <phoneticPr fontId="2" type="noConversion"/>
  </si>
  <si>
    <t>B</t>
    <phoneticPr fontId="2" type="noConversion"/>
  </si>
  <si>
    <t>*A : 항공2인 / 선박1인</t>
    <phoneticPr fontId="2" type="noConversion"/>
  </si>
  <si>
    <t>*B : 항공1인 / 선박2인</t>
    <phoneticPr fontId="2" type="noConversion"/>
  </si>
  <si>
    <t>A - B</t>
    <phoneticPr fontId="2" type="noConversion"/>
  </si>
  <si>
    <t>2인1실, 2박(조식포함)</t>
    <phoneticPr fontId="2" type="noConversion"/>
  </si>
  <si>
    <t>2인1실, 2박(조식포함)</t>
    <phoneticPr fontId="2" type="noConversion"/>
  </si>
  <si>
    <t>여객1인+차량 / 항공2인, 공항택시비</t>
    <phoneticPr fontId="2" type="noConversion"/>
  </si>
  <si>
    <t>1인4일, 1인2일, 조출잔업13h</t>
    <phoneticPr fontId="2" type="noConversion"/>
  </si>
  <si>
    <t>0160</t>
    <phoneticPr fontId="2" type="noConversion"/>
  </si>
  <si>
    <t>개인차량</t>
    <phoneticPr fontId="2" type="noConversion"/>
  </si>
  <si>
    <t>우신(2), CNM(1)</t>
    <phoneticPr fontId="2" type="noConversion"/>
  </si>
  <si>
    <t>코멘트 검사</t>
    <phoneticPr fontId="2" type="noConversion"/>
  </si>
  <si>
    <t>0160</t>
    <phoneticPr fontId="2" type="noConversion"/>
  </si>
  <si>
    <t>와이어로프 교체(손상 원인 파악/와이어로프 회수요함)</t>
    <phoneticPr fontId="2" type="noConversion"/>
  </si>
  <si>
    <t>TF</t>
  </si>
  <si>
    <t>ASS`Y 조립</t>
  </si>
  <si>
    <t>ASS`Y 조립, FOLDING RAIL 조립</t>
  </si>
  <si>
    <t>설치</t>
    <phoneticPr fontId="2" type="noConversion"/>
  </si>
  <si>
    <t>CNM(2)</t>
    <phoneticPr fontId="2" type="noConversion"/>
  </si>
  <si>
    <t>서영진</t>
    <phoneticPr fontId="2" type="noConversion"/>
  </si>
  <si>
    <t>박성용</t>
    <phoneticPr fontId="2" type="noConversion"/>
  </si>
  <si>
    <t>설치 (크레인 10시)</t>
    <phoneticPr fontId="2" type="noConversion"/>
  </si>
  <si>
    <t>GNN0019</t>
    <phoneticPr fontId="2" type="noConversion"/>
  </si>
  <si>
    <t>GNN0017/18</t>
    <phoneticPr fontId="2" type="noConversion"/>
  </si>
  <si>
    <t>램프 공급/ 설치</t>
    <phoneticPr fontId="2" type="noConversion"/>
  </si>
  <si>
    <t>김해공장</t>
    <phoneticPr fontId="2" type="noConversion"/>
  </si>
  <si>
    <t>조립지원(HIO)</t>
    <phoneticPr fontId="2" type="noConversion"/>
  </si>
  <si>
    <t>연장 작업 / 완료</t>
    <phoneticPr fontId="2" type="noConversion"/>
  </si>
  <si>
    <t>작업 지연 (리프트 미지원에 따른)</t>
    <phoneticPr fontId="2" type="noConversion"/>
  </si>
  <si>
    <t>작업 지연 (야드 설치 불량)</t>
    <phoneticPr fontId="2" type="noConversion"/>
  </si>
  <si>
    <t>조치방안에 따라 계획 수립 후 4/14일 조치 예정, 4/15일 한 조치 완료 목표</t>
    <phoneticPr fontId="2" type="noConversion"/>
  </si>
  <si>
    <t>박해식(오후)반차</t>
    <phoneticPr fontId="2" type="noConversion"/>
  </si>
  <si>
    <t>박성용,설계(김동현, 이주영)</t>
    <phoneticPr fontId="2" type="noConversion"/>
  </si>
  <si>
    <t>HJ 중공업
제 2 교육장</t>
    <phoneticPr fontId="2" type="noConversion"/>
  </si>
  <si>
    <t>출입신청 완료 (차량 출입X)</t>
    <phoneticPr fontId="2" type="noConversion"/>
  </si>
  <si>
    <t>보안조치(4/7 ~ 4/20) 완료</t>
    <phoneticPr fontId="2" type="noConversion"/>
  </si>
  <si>
    <t xml:space="preserve">출입신청 완료 </t>
    <phoneticPr fontId="2" type="noConversion"/>
  </si>
  <si>
    <t>출입신청 완료</t>
    <phoneticPr fontId="2" type="noConversion"/>
  </si>
  <si>
    <t>0160</t>
    <phoneticPr fontId="2" type="noConversion"/>
  </si>
  <si>
    <t>A/S</t>
    <phoneticPr fontId="2" type="noConversion"/>
  </si>
  <si>
    <t>인도후</t>
    <phoneticPr fontId="2" type="noConversion"/>
  </si>
  <si>
    <t>SB687</t>
    <phoneticPr fontId="2" type="noConversion"/>
  </si>
  <si>
    <t>WB</t>
    <phoneticPr fontId="2" type="noConversion"/>
  </si>
  <si>
    <t>조이스틱 보관함 수정 (안전교육)</t>
    <phoneticPr fontId="2" type="noConversion"/>
  </si>
  <si>
    <t>진진(2), 동아(1)</t>
    <phoneticPr fontId="2" type="noConversion"/>
  </si>
  <si>
    <t>GNN0018</t>
    <phoneticPr fontId="2" type="noConversion"/>
  </si>
  <si>
    <t>보트 시트 실측</t>
    <phoneticPr fontId="2" type="noConversion"/>
  </si>
  <si>
    <t>무상</t>
    <phoneticPr fontId="2" type="noConversion"/>
  </si>
  <si>
    <t>보트 시트 설치</t>
    <phoneticPr fontId="2" type="noConversion"/>
  </si>
  <si>
    <t>GNN0017</t>
    <phoneticPr fontId="2" type="noConversion"/>
  </si>
  <si>
    <t>박성용</t>
    <phoneticPr fontId="2" type="noConversion"/>
  </si>
  <si>
    <t>무상</t>
    <phoneticPr fontId="2" type="noConversion"/>
  </si>
  <si>
    <t>유압 모듈 누유, 락리미트 교체</t>
    <phoneticPr fontId="2" type="noConversion"/>
  </si>
  <si>
    <t>축압기 라인 터짐 조치</t>
    <phoneticPr fontId="2" type="noConversion"/>
  </si>
  <si>
    <t>축압기 라인 터짐/점검</t>
    <phoneticPr fontId="2" type="noConversion"/>
  </si>
  <si>
    <t>14주 긴급지원</t>
    <phoneticPr fontId="2" type="noConversion"/>
  </si>
  <si>
    <t>4/4(토)</t>
  </si>
  <si>
    <t>13주 긴급지원</t>
  </si>
  <si>
    <t>4/6 ~ 4/10</t>
  </si>
  <si>
    <t>4/6 ~ 4/8</t>
  </si>
  <si>
    <t>ERC, FOLDING RAIL 시운전/ 자체TEST</t>
  </si>
  <si>
    <t>이시맥</t>
  </si>
  <si>
    <t>4/6(월)</t>
  </si>
  <si>
    <t>SWN0288</t>
  </si>
  <si>
    <t>보수도장</t>
  </si>
  <si>
    <t>4/7~4/10</t>
  </si>
  <si>
    <t>보수도장/ 포장</t>
  </si>
  <si>
    <t>4/9 ~ 4/10</t>
  </si>
  <si>
    <t>S207</t>
  </si>
  <si>
    <t>설치/시운전</t>
  </si>
  <si>
    <t>4/11(토)</t>
  </si>
  <si>
    <t> HJSC</t>
  </si>
  <si>
    <t>소형계선기 설치</t>
  </si>
  <si>
    <t>4/3(금)</t>
  </si>
  <si>
    <t>코멘트 조치 (체인 장력 조정)</t>
  </si>
  <si>
    <t> 선주코멘트 </t>
  </si>
  <si>
    <t>4/7(화)</t>
  </si>
  <si>
    <t>정기보증수리 항목(해수쿨러누유, 엄빌리컬가이드설치, WAGON센서작동 확인/수정, H빔 흔들림 고정, POSITION SENSOR 교체) 현장 점검 / 조치 방안 협의</t>
  </si>
  <si>
    <t> 정기보증수리 </t>
  </si>
  <si>
    <t>서영진</t>
  </si>
  <si>
    <t> 계약사항 </t>
  </si>
  <si>
    <t>4/8(수)</t>
  </si>
  <si>
    <t>4/9(목)</t>
  </si>
  <si>
    <t>SK오션플랜트</t>
  </si>
  <si>
    <t>4/10(금)</t>
  </si>
  <si>
    <t>램프 공급</t>
    <phoneticPr fontId="2" type="noConversion"/>
  </si>
  <si>
    <t>해수 쿨러 배관 반출</t>
    <phoneticPr fontId="2" type="noConversion"/>
  </si>
  <si>
    <t>김태호</t>
    <phoneticPr fontId="2" type="noConversion"/>
  </si>
  <si>
    <t>디에스티(1)</t>
    <phoneticPr fontId="2" type="noConversion"/>
  </si>
  <si>
    <t>무상</t>
    <phoneticPr fontId="2" type="noConversion"/>
  </si>
  <si>
    <t>개인차량</t>
    <phoneticPr fontId="2" type="noConversion"/>
  </si>
  <si>
    <t>ER, CS</t>
    <phoneticPr fontId="2" type="noConversion"/>
  </si>
  <si>
    <t>진진(3)</t>
    <phoneticPr fontId="2" type="noConversion"/>
  </si>
  <si>
    <t>RCS UP-LIMIT 교체</t>
    <phoneticPr fontId="2" type="noConversion"/>
  </si>
  <si>
    <t>H/D 속도 조절 (닫힘 작동 시간 초과)</t>
    <phoneticPr fontId="2" type="noConversion"/>
  </si>
  <si>
    <t>도어 설치</t>
    <phoneticPr fontId="2" type="noConversion"/>
  </si>
  <si>
    <t>박성용</t>
    <phoneticPr fontId="2" type="noConversion"/>
  </si>
  <si>
    <t>보증수리(엄빌리컬가이드설치, WAGON센서작동 확인/수정, H빔 흔들림 고정, POSITION SENSOR교체)</t>
    <phoneticPr fontId="2" type="noConversion"/>
  </si>
  <si>
    <t>박성용, 김태호</t>
    <phoneticPr fontId="2" type="noConversion"/>
  </si>
  <si>
    <t>진진(2), 동아(1)</t>
    <phoneticPr fontId="2" type="noConversion"/>
  </si>
  <si>
    <t>0160</t>
    <phoneticPr fontId="2" type="noConversion"/>
  </si>
  <si>
    <t>11주 긴급지원</t>
    <phoneticPr fontId="2" type="noConversion"/>
  </si>
  <si>
    <t>SWN0297</t>
    <phoneticPr fontId="2" type="noConversion"/>
  </si>
  <si>
    <t>3/13, 3/16</t>
    <phoneticPr fontId="2" type="noConversion"/>
  </si>
  <si>
    <t>승조원교육 (09:30 ~ / 장소 : J-4Q안벽 P169호선)</t>
    <phoneticPr fontId="2" type="noConversion"/>
  </si>
  <si>
    <t>보증수리(해수 쿨러 배관 설치 / 시운전) 
*마무리 고객 서명 필수</t>
    <phoneticPr fontId="2" type="noConversion"/>
  </si>
  <si>
    <t>김은영(연차)</t>
    <phoneticPr fontId="2" type="noConversion"/>
  </si>
  <si>
    <t>9080
8604</t>
    <phoneticPr fontId="2" type="noConversion"/>
  </si>
  <si>
    <t>진진(3), DST(1)</t>
    <phoneticPr fontId="2" type="noConversion"/>
  </si>
  <si>
    <t>김용훈, 정지훈 - 출입 및 교육 신청 완료</t>
    <phoneticPr fontId="2" type="noConversion"/>
  </si>
  <si>
    <t>출입신청 완료</t>
    <phoneticPr fontId="2" type="noConversion"/>
  </si>
  <si>
    <t>JOY STICK 잠금장치 교체 (볼팅)</t>
    <phoneticPr fontId="2" type="noConversion"/>
  </si>
  <si>
    <t>김유신, 보안조치 완료</t>
    <phoneticPr fontId="2" type="noConversion"/>
  </si>
  <si>
    <t>천상욱, 출입신청 완료</t>
    <phoneticPr fontId="2" type="noConversion"/>
  </si>
  <si>
    <t>출입신청 완료 (~ 4/24)</t>
    <phoneticPr fontId="2" type="noConversion"/>
  </si>
  <si>
    <t>김유신, 보안조치 완료</t>
    <phoneticPr fontId="2" type="noConversion"/>
  </si>
  <si>
    <t>자재 입고 완료</t>
    <phoneticPr fontId="2" type="noConversion"/>
  </si>
  <si>
    <t>P167
(정조대왕함)</t>
    <phoneticPr fontId="2" type="noConversion"/>
  </si>
  <si>
    <t>이시맥
박해신(오후)</t>
    <phoneticPr fontId="2" type="noConversion"/>
  </si>
  <si>
    <t>4/13 ~ 4/17</t>
    <phoneticPr fontId="2" type="noConversion"/>
  </si>
  <si>
    <t>YN06</t>
    <phoneticPr fontId="2" type="noConversion"/>
  </si>
  <si>
    <t>4/13 ~ 4/14</t>
    <phoneticPr fontId="2" type="noConversion"/>
  </si>
  <si>
    <t>선주코멘트</t>
    <phoneticPr fontId="2" type="noConversion"/>
  </si>
  <si>
    <t>자체테스트, FAT</t>
    <phoneticPr fontId="2" type="noConversion"/>
  </si>
  <si>
    <t>전 주 추가</t>
    <phoneticPr fontId="2" type="noConversion"/>
  </si>
  <si>
    <t>금 주</t>
    <phoneticPr fontId="2" type="noConversion"/>
  </si>
  <si>
    <t>박성용</t>
    <phoneticPr fontId="2" type="noConversion"/>
  </si>
  <si>
    <t>H/D 속도 조절 (닫힘 작동 시간 초과)</t>
    <phoneticPr fontId="2" type="noConversion"/>
  </si>
  <si>
    <t>박주성</t>
    <phoneticPr fontId="2" type="noConversion"/>
  </si>
  <si>
    <t>신상훈</t>
    <phoneticPr fontId="2" type="noConversion"/>
  </si>
  <si>
    <t>납품지원(우신1), 독도함 폐자재 정리(우신1)</t>
    <phoneticPr fontId="2" type="noConversion"/>
  </si>
  <si>
    <t>CLAIM</t>
    <phoneticPr fontId="2" type="noConversion"/>
  </si>
  <si>
    <t>GNN0018</t>
    <phoneticPr fontId="2" type="noConversion"/>
  </si>
  <si>
    <t>램프 설치</t>
    <phoneticPr fontId="2" type="noConversion"/>
  </si>
  <si>
    <t>박성용</t>
    <phoneticPr fontId="2" type="noConversion"/>
  </si>
  <si>
    <t>0160</t>
    <phoneticPr fontId="2" type="noConversion"/>
  </si>
  <si>
    <t>GNN0018 램프 제작 오작 - 반출</t>
    <phoneticPr fontId="2" type="noConversion"/>
  </si>
  <si>
    <t>우신(1), HIO(4)</t>
    <phoneticPr fontId="2" type="noConversion"/>
  </si>
  <si>
    <t>사내작업</t>
    <phoneticPr fontId="2" type="noConversion"/>
  </si>
  <si>
    <t>독도함</t>
    <phoneticPr fontId="2" type="noConversion"/>
  </si>
  <si>
    <t>ER</t>
    <phoneticPr fontId="2" type="noConversion"/>
  </si>
  <si>
    <t>폐자재 정리</t>
    <phoneticPr fontId="2" type="noConversion"/>
  </si>
  <si>
    <t>우신(1)</t>
    <phoneticPr fontId="2" type="noConversion"/>
  </si>
  <si>
    <t>이광형</t>
    <phoneticPr fontId="2" type="noConversion"/>
  </si>
  <si>
    <t>범양(5)</t>
    <phoneticPr fontId="2" type="noConversion"/>
  </si>
  <si>
    <t>A/S</t>
    <phoneticPr fontId="2" type="noConversion"/>
  </si>
  <si>
    <t>축압기 라인 터짐</t>
    <phoneticPr fontId="2" type="noConversion"/>
  </si>
  <si>
    <t>15주 긴급지원</t>
    <phoneticPr fontId="2" type="noConversion"/>
  </si>
  <si>
    <t>진진(3)</t>
    <phoneticPr fontId="2" type="noConversion"/>
  </si>
  <si>
    <t>출발 전 항해장에게 도착시간 연락바람</t>
    <phoneticPr fontId="2" type="noConversion"/>
  </si>
  <si>
    <t>인도전</t>
    <phoneticPr fontId="2" type="noConversion"/>
  </si>
  <si>
    <t>HJSC</t>
    <phoneticPr fontId="2" type="noConversion"/>
  </si>
  <si>
    <t>S199/200/201/202</t>
    <phoneticPr fontId="2" type="noConversion"/>
  </si>
  <si>
    <t>CS</t>
    <phoneticPr fontId="2" type="noConversion"/>
  </si>
  <si>
    <t>보관함 리모컨 고정</t>
    <phoneticPr fontId="2" type="noConversion"/>
  </si>
  <si>
    <t>P178</t>
    <phoneticPr fontId="2" type="noConversion"/>
  </si>
  <si>
    <t>무상</t>
    <phoneticPr fontId="2" type="noConversion"/>
  </si>
  <si>
    <t>박주성</t>
    <phoneticPr fontId="2" type="noConversion"/>
  </si>
  <si>
    <t>동아(1), 우신(2)</t>
    <phoneticPr fontId="2" type="noConversion"/>
  </si>
  <si>
    <t>출입신청 완료, 작업허가 완료
(윤형식기원연락요함)</t>
    <phoneticPr fontId="2" type="noConversion"/>
  </si>
  <si>
    <t>박주성</t>
    <phoneticPr fontId="2" type="noConversion"/>
  </si>
  <si>
    <t>CNM(1)</t>
    <phoneticPr fontId="2" type="noConversion"/>
  </si>
  <si>
    <t>권용연, CNM 트럭 출입신청 완료</t>
    <phoneticPr fontId="2" type="noConversion"/>
  </si>
  <si>
    <t>김용훈, 김유신, 천상욱</t>
    <phoneticPr fontId="2" type="noConversion"/>
  </si>
  <si>
    <t>강석중 추가 출입 신청 완료</t>
    <phoneticPr fontId="2" type="noConversion"/>
  </si>
  <si>
    <t>진진(3), DST(1)</t>
    <phoneticPr fontId="2" type="noConversion"/>
  </si>
  <si>
    <t>박성용, 김동명</t>
    <phoneticPr fontId="2" type="noConversion"/>
  </si>
  <si>
    <t>GNN0018</t>
    <phoneticPr fontId="2" type="noConversion"/>
  </si>
  <si>
    <t>A/S</t>
    <phoneticPr fontId="2" type="noConversion"/>
  </si>
  <si>
    <t>무상</t>
    <phoneticPr fontId="2" type="noConversion"/>
  </si>
  <si>
    <t>박해식</t>
    <phoneticPr fontId="2" type="noConversion"/>
  </si>
  <si>
    <t>오태호, 출입신청 완료</t>
    <phoneticPr fontId="2" type="noConversion"/>
  </si>
  <si>
    <t>지적사항 조치 ( Dogging Ass'y수정, 미니도어 스토퍼 누락, 와이어 확인, 하부 고무 패킹 조정)</t>
    <phoneticPr fontId="2" type="noConversion"/>
  </si>
  <si>
    <t>GNN0017</t>
    <phoneticPr fontId="2" type="noConversion"/>
  </si>
  <si>
    <t>최병경</t>
    <phoneticPr fontId="2" type="noConversion"/>
  </si>
  <si>
    <t>발판 설치</t>
    <phoneticPr fontId="2" type="noConversion"/>
  </si>
  <si>
    <t>CNM(6)</t>
    <phoneticPr fontId="2" type="noConversion"/>
  </si>
  <si>
    <t>최병경, 우신</t>
    <phoneticPr fontId="2" type="noConversion"/>
  </si>
  <si>
    <t>보증수리 (엔코더교체, 로터리캠 수정) 1박2일</t>
    <phoneticPr fontId="2" type="noConversion"/>
  </si>
  <si>
    <t>김유신, 천상욱 / 자재 입고 완료</t>
    <phoneticPr fontId="2" type="noConversion"/>
  </si>
  <si>
    <t>개인차량</t>
    <phoneticPr fontId="2" type="noConversion"/>
  </si>
  <si>
    <t>김태호</t>
    <phoneticPr fontId="2" type="noConversion"/>
  </si>
  <si>
    <t>축압기 라인 터짐 조치 (압력게이지 교체)</t>
    <phoneticPr fontId="2" type="noConversion"/>
  </si>
  <si>
    <t>설치 작업 (08시 안전교육)</t>
    <phoneticPr fontId="2" type="noConversion"/>
  </si>
  <si>
    <t>단차 수정, 설치 마무리</t>
    <phoneticPr fontId="2" type="noConversion"/>
  </si>
  <si>
    <t>4/21 ~ 4/24</t>
    <phoneticPr fontId="2" type="noConversion"/>
  </si>
  <si>
    <t>SWNP0288</t>
    <phoneticPr fontId="2" type="noConversion"/>
  </si>
  <si>
    <t>범양(3)</t>
    <phoneticPr fontId="2" type="noConversion"/>
  </si>
  <si>
    <t>4/21 ~ 4/23</t>
    <phoneticPr fontId="2" type="noConversion"/>
  </si>
  <si>
    <t>범양(2), HIO(3)</t>
    <phoneticPr fontId="2" type="noConversion"/>
  </si>
  <si>
    <t>최병경, 진진, 우신 
*무전기 챙겨 갈 것
*시저스는 자격증 있는 사람이 운전할 것</t>
    <phoneticPr fontId="2" type="noConversion"/>
  </si>
  <si>
    <t>박성용</t>
    <phoneticPr fontId="2" type="noConversion"/>
  </si>
  <si>
    <t>A/S</t>
    <phoneticPr fontId="2" type="noConversion"/>
  </si>
  <si>
    <t>HHI</t>
    <phoneticPr fontId="2" type="noConversion"/>
  </si>
  <si>
    <t>P169</t>
    <phoneticPr fontId="2" type="noConversion"/>
  </si>
  <si>
    <t>블록스탑 와이어 및 트롤리 수정 등 코멘트 조치</t>
    <phoneticPr fontId="2" type="noConversion"/>
  </si>
  <si>
    <t>A/S</t>
    <phoneticPr fontId="2" type="noConversion"/>
  </si>
  <si>
    <t>SKMT</t>
    <phoneticPr fontId="2" type="noConversion"/>
  </si>
  <si>
    <t>보트 시트 수정</t>
    <phoneticPr fontId="2" type="noConversion"/>
  </si>
  <si>
    <t>부산 BEXCO 제2전시장</t>
    <phoneticPr fontId="2" type="noConversion"/>
  </si>
  <si>
    <t>김은영</t>
    <phoneticPr fontId="2" type="noConversion"/>
  </si>
  <si>
    <t>개인차량</t>
    <phoneticPr fontId="2" type="noConversion"/>
  </si>
  <si>
    <t>보트 탑재 지원, HPU 가져나오기 / 작업등 커버 교체 (교체한 작업등 커버 회수 요함)</t>
    <phoneticPr fontId="2" type="noConversion"/>
  </si>
  <si>
    <t>CNM(2)</t>
    <phoneticPr fontId="2" type="noConversion"/>
  </si>
  <si>
    <t>진진(1)</t>
    <phoneticPr fontId="2" type="noConversion"/>
  </si>
  <si>
    <t>박재규</t>
    <phoneticPr fontId="2" type="noConversion"/>
  </si>
  <si>
    <t>권용연, 박재규</t>
    <phoneticPr fontId="2" type="noConversion"/>
  </si>
  <si>
    <t>FAT 코멘트 조치(조치 후 사진 촬영 필수), 검사 준비</t>
    <phoneticPr fontId="2" type="noConversion"/>
  </si>
  <si>
    <t>박성용</t>
    <phoneticPr fontId="2" type="noConversion"/>
  </si>
  <si>
    <t>CNM(1)</t>
    <phoneticPr fontId="2" type="noConversion"/>
  </si>
  <si>
    <t>박해식(오후반차)
송영국(오후반차)</t>
    <phoneticPr fontId="2" type="noConversion"/>
  </si>
  <si>
    <t>김은영(오후반차)</t>
    <phoneticPr fontId="2" type="noConversion"/>
  </si>
  <si>
    <t>HIO(유승민) 휴무</t>
    <phoneticPr fontId="2" type="noConversion"/>
  </si>
  <si>
    <t>그리스 라인 작업</t>
    <phoneticPr fontId="2" type="noConversion"/>
  </si>
  <si>
    <t>4/27 ~ 4/30</t>
    <phoneticPr fontId="2" type="noConversion"/>
  </si>
  <si>
    <t>4/28 ~ 4/30</t>
    <phoneticPr fontId="2" type="noConversion"/>
  </si>
  <si>
    <t>울산전시컨벤션센터</t>
    <phoneticPr fontId="2" type="noConversion"/>
  </si>
  <si>
    <t xml:space="preserve">오태호 </t>
    <phoneticPr fontId="2" type="noConversion"/>
  </si>
  <si>
    <t>조선·해양 기자재 수출을 위한 선급인증 구조 이해 및 관세 대응 전략 수출교육(ABS, DNV, BV 등)참석</t>
    <phoneticPr fontId="2" type="noConversion"/>
  </si>
  <si>
    <t>무상</t>
    <phoneticPr fontId="2" type="noConversion"/>
  </si>
  <si>
    <t>HIO(1), 우신(1)</t>
    <phoneticPr fontId="2" type="noConversion"/>
  </si>
  <si>
    <t>박성용(사무실)
HIO(유승민) 휴무</t>
    <phoneticPr fontId="2" type="noConversion"/>
  </si>
  <si>
    <t>박주성</t>
    <phoneticPr fontId="2" type="noConversion"/>
  </si>
  <si>
    <t>권용연, 박재규, 박석진</t>
    <phoneticPr fontId="2" type="noConversion"/>
  </si>
  <si>
    <t>-</t>
    <phoneticPr fontId="2" type="noConversion"/>
  </si>
  <si>
    <t>최병경, 우신(2)</t>
    <phoneticPr fontId="2" type="noConversion"/>
  </si>
  <si>
    <t>9080
0160</t>
    <phoneticPr fontId="2" type="noConversion"/>
  </si>
  <si>
    <t>덴소, 포장</t>
    <phoneticPr fontId="2" type="noConversion"/>
  </si>
  <si>
    <t>HIO(2), 더베솔(2)</t>
    <phoneticPr fontId="2" type="noConversion"/>
  </si>
  <si>
    <t>4/27 ~4/28</t>
    <phoneticPr fontId="2" type="noConversion"/>
  </si>
  <si>
    <t>조립</t>
    <phoneticPr fontId="2" type="noConversion"/>
  </si>
  <si>
    <t>HIO(2)</t>
    <phoneticPr fontId="2" type="noConversion"/>
  </si>
  <si>
    <t>안전교육 이수</t>
    <phoneticPr fontId="2" type="noConversion"/>
  </si>
  <si>
    <t>김태호</t>
    <phoneticPr fontId="2" type="noConversion"/>
  </si>
  <si>
    <t>김해공장 휴무</t>
    <phoneticPr fontId="2" type="noConversion"/>
  </si>
  <si>
    <t>박해식(반차)</t>
    <phoneticPr fontId="2" type="noConversion"/>
  </si>
  <si>
    <t>GNN0018</t>
    <phoneticPr fontId="2" type="noConversion"/>
  </si>
  <si>
    <t>우신(1)</t>
    <phoneticPr fontId="2" type="noConversion"/>
  </si>
  <si>
    <t>김유신</t>
    <phoneticPr fontId="2" type="noConversion"/>
  </si>
  <si>
    <t>24주</t>
    <phoneticPr fontId="2" type="noConversion"/>
  </si>
  <si>
    <t>25주</t>
    <phoneticPr fontId="2" type="noConversion"/>
  </si>
  <si>
    <t>26주</t>
    <phoneticPr fontId="2" type="noConversion"/>
  </si>
  <si>
    <t>27주</t>
    <phoneticPr fontId="2" type="noConversion"/>
  </si>
  <si>
    <t>28주</t>
    <phoneticPr fontId="2" type="noConversion"/>
  </si>
  <si>
    <t>29주</t>
    <phoneticPr fontId="2" type="noConversion"/>
  </si>
  <si>
    <t>30주</t>
    <phoneticPr fontId="2" type="noConversion"/>
  </si>
  <si>
    <t>목포해경</t>
    <phoneticPr fontId="2" type="noConversion"/>
  </si>
  <si>
    <t>비상발전기 작동 불량</t>
    <phoneticPr fontId="2" type="noConversion"/>
  </si>
  <si>
    <t>무상</t>
    <phoneticPr fontId="2" type="noConversion"/>
  </si>
  <si>
    <t>김해 공장 단체 회식</t>
    <phoneticPr fontId="2" type="noConversion"/>
  </si>
  <si>
    <t>박성용, 김태호</t>
    <phoneticPr fontId="2" type="noConversion"/>
  </si>
  <si>
    <t>박해식</t>
    <phoneticPr fontId="2" type="noConversion"/>
  </si>
  <si>
    <t>A/S</t>
    <phoneticPr fontId="2" type="noConversion"/>
  </si>
  <si>
    <t>인도전</t>
    <phoneticPr fontId="2" type="noConversion"/>
  </si>
  <si>
    <t>HHI</t>
    <phoneticPr fontId="2" type="noConversion"/>
  </si>
  <si>
    <t>P169</t>
    <phoneticPr fontId="2" type="noConversion"/>
  </si>
  <si>
    <t>HD</t>
    <phoneticPr fontId="2" type="noConversion"/>
  </si>
  <si>
    <t>박주성</t>
    <phoneticPr fontId="2" type="noConversion"/>
  </si>
  <si>
    <t>진진(2)</t>
    <phoneticPr fontId="2" type="noConversion"/>
  </si>
  <si>
    <t>정지훈</t>
    <phoneticPr fontId="2" type="noConversion"/>
  </si>
  <si>
    <t>커버 회수 요청(구매)</t>
    <phoneticPr fontId="2" type="noConversion"/>
  </si>
  <si>
    <t>출입신청 완료, 김유신, 오태호</t>
    <phoneticPr fontId="2" type="noConversion"/>
  </si>
  <si>
    <t>출입신청 완료</t>
    <phoneticPr fontId="2" type="noConversion"/>
  </si>
  <si>
    <t>박성용(사무실)</t>
    <phoneticPr fontId="2" type="noConversion"/>
  </si>
  <si>
    <t>A/S</t>
    <phoneticPr fontId="2" type="noConversion"/>
  </si>
  <si>
    <t>탑 씰 브라켓 2개 설치, 도어 쏠림 확인/조치, 세팅 및 시운전</t>
    <phoneticPr fontId="2" type="noConversion"/>
  </si>
  <si>
    <t>222003
(3020함)</t>
    <phoneticPr fontId="2" type="noConversion"/>
  </si>
  <si>
    <t>교육</t>
    <phoneticPr fontId="2" type="noConversion"/>
  </si>
  <si>
    <t>A/S</t>
    <phoneticPr fontId="2" type="noConversion"/>
  </si>
  <si>
    <r>
      <t xml:space="preserve">범양-최기추(2), </t>
    </r>
    <r>
      <rPr>
        <sz val="9"/>
        <color rgb="FFFF0000"/>
        <rFont val="맑은 고딕"/>
        <family val="3"/>
        <charset val="129"/>
        <scheme val="major"/>
      </rPr>
      <t>HIO(5)</t>
    </r>
    <phoneticPr fontId="2" type="noConversion"/>
  </si>
  <si>
    <t>에이치아이오 엔지니어링</t>
    <phoneticPr fontId="2" type="noConversion"/>
  </si>
  <si>
    <t>에이치아이오 엔지니어링</t>
    <phoneticPr fontId="2" type="noConversion"/>
  </si>
  <si>
    <t>개인차량</t>
    <phoneticPr fontId="2" type="noConversion"/>
  </si>
  <si>
    <t>박주성</t>
    <phoneticPr fontId="2" type="noConversion"/>
  </si>
  <si>
    <t>진진(3), 범양(1)</t>
    <phoneticPr fontId="2" type="noConversion"/>
  </si>
  <si>
    <t>9080
0160</t>
    <phoneticPr fontId="2" type="noConversion"/>
  </si>
  <si>
    <t>신상휸, 010-6899-2232 김태형경위</t>
    <phoneticPr fontId="2" type="noConversion"/>
  </si>
  <si>
    <t>시운전/ 자체</t>
    <phoneticPr fontId="2" type="noConversion"/>
  </si>
  <si>
    <t>범양(1), HIO(1)</t>
    <phoneticPr fontId="2" type="noConversion"/>
  </si>
  <si>
    <t>5/6 ~ 5/7</t>
    <phoneticPr fontId="2" type="noConversion"/>
  </si>
  <si>
    <t>5/7 ~ 5/8</t>
    <phoneticPr fontId="2" type="noConversion"/>
  </si>
  <si>
    <t>17주 긴급지원</t>
    <phoneticPr fontId="2" type="noConversion"/>
  </si>
  <si>
    <t>[부산] 조선·해양 기자재 수출기업을 위한 해외 인증 개요 교육 참석</t>
    <phoneticPr fontId="2" type="noConversion"/>
  </si>
  <si>
    <t>김태호</t>
    <phoneticPr fontId="2" type="noConversion"/>
  </si>
  <si>
    <t>무상</t>
    <phoneticPr fontId="2" type="noConversion"/>
  </si>
  <si>
    <t>박성용, 김태호</t>
    <phoneticPr fontId="2" type="noConversion"/>
  </si>
  <si>
    <t>우신(1), CNM(1)</t>
    <phoneticPr fontId="2" type="noConversion"/>
  </si>
  <si>
    <t>박성용</t>
    <phoneticPr fontId="2" type="noConversion"/>
  </si>
  <si>
    <t>탑 씰 브라켓 2개 설치, 도어 쏠림 확인/조치, 세팅 및 시운전</t>
    <phoneticPr fontId="2" type="noConversion"/>
  </si>
  <si>
    <t>우신테크</t>
    <phoneticPr fontId="2" type="noConversion"/>
  </si>
  <si>
    <t>4/2 ~ 4/3</t>
    <phoneticPr fontId="2" type="noConversion"/>
  </si>
  <si>
    <r>
      <rPr>
        <sz val="9"/>
        <color rgb="FF0000FF"/>
        <rFont val="돋움"/>
        <family val="3"/>
        <charset val="129"/>
      </rPr>
      <t>범양</t>
    </r>
    <r>
      <rPr>
        <sz val="9"/>
        <color rgb="FF0000FF"/>
        <rFont val="Arial"/>
        <family val="2"/>
      </rPr>
      <t>(5),</t>
    </r>
    <r>
      <rPr>
        <sz val="9"/>
        <color rgb="FFFF0000"/>
        <rFont val="Arial"/>
        <family val="2"/>
      </rPr>
      <t xml:space="preserve"> HIO(5)</t>
    </r>
    <phoneticPr fontId="2" type="noConversion"/>
  </si>
  <si>
    <t>범양마린엔지니어링</t>
    <phoneticPr fontId="2" type="noConversion"/>
  </si>
  <si>
    <t>사외작업</t>
    <phoneticPr fontId="2" type="noConversion"/>
  </si>
  <si>
    <t>HJSC</t>
    <phoneticPr fontId="2" type="noConversion"/>
  </si>
  <si>
    <t>S050</t>
    <phoneticPr fontId="2" type="noConversion"/>
  </si>
  <si>
    <t>BR</t>
    <phoneticPr fontId="2" type="noConversion"/>
  </si>
  <si>
    <t>2WAY V/V 작동검사</t>
    <phoneticPr fontId="2" type="noConversion"/>
  </si>
  <si>
    <t>박주성</t>
    <phoneticPr fontId="2" type="noConversion"/>
  </si>
  <si>
    <t>실행예산에 부합함</t>
    <phoneticPr fontId="2" type="noConversion"/>
  </si>
  <si>
    <t>더베스트솔루션</t>
    <phoneticPr fontId="2" type="noConversion"/>
  </si>
  <si>
    <t>진진산업</t>
    <phoneticPr fontId="2" type="noConversion"/>
  </si>
  <si>
    <t>본선설치</t>
    <phoneticPr fontId="2" type="noConversion"/>
  </si>
  <si>
    <t>SR24002</t>
    <phoneticPr fontId="2" type="noConversion"/>
  </si>
  <si>
    <t>조립/ 설치작업</t>
    <phoneticPr fontId="2" type="noConversion"/>
  </si>
  <si>
    <t>WC</t>
    <phoneticPr fontId="2" type="noConversion"/>
  </si>
  <si>
    <t>CS/WC</t>
    <phoneticPr fontId="2" type="noConversion"/>
  </si>
  <si>
    <t>김해공장</t>
    <phoneticPr fontId="2" type="noConversion"/>
  </si>
  <si>
    <t>A/S</t>
    <phoneticPr fontId="2" type="noConversion"/>
  </si>
  <si>
    <t>진진(3), 범양(1)</t>
    <phoneticPr fontId="2" type="noConversion"/>
  </si>
  <si>
    <t>HJSC</t>
    <phoneticPr fontId="2" type="noConversion"/>
  </si>
  <si>
    <t>CS</t>
    <phoneticPr fontId="2" type="noConversion"/>
  </si>
  <si>
    <t>1,2번함 군수지원교육 (09:00 ~ )
HJ 중공업 산대 2층 교육장</t>
    <phoneticPr fontId="2" type="noConversion"/>
  </si>
  <si>
    <t>0160</t>
    <phoneticPr fontId="2" type="noConversion"/>
  </si>
  <si>
    <t>18주 긴급지원</t>
    <phoneticPr fontId="2" type="noConversion"/>
  </si>
  <si>
    <t>A/S</t>
    <phoneticPr fontId="2" type="noConversion"/>
  </si>
  <si>
    <t>인도전</t>
    <phoneticPr fontId="2" type="noConversion"/>
  </si>
  <si>
    <t>SHI</t>
    <phoneticPr fontId="2" type="noConversion"/>
  </si>
  <si>
    <t>SN2661</t>
    <phoneticPr fontId="2" type="noConversion"/>
  </si>
  <si>
    <t>무상</t>
    <phoneticPr fontId="2" type="noConversion"/>
  </si>
  <si>
    <t>검사 입회 (07:30 통선)</t>
    <phoneticPr fontId="2" type="noConversion"/>
  </si>
  <si>
    <t>진해</t>
    <phoneticPr fontId="2" type="noConversion"/>
  </si>
  <si>
    <t>박성용(연차)</t>
    <phoneticPr fontId="2" type="noConversion"/>
  </si>
  <si>
    <t>김동명(연차)</t>
    <phoneticPr fontId="2" type="noConversion"/>
  </si>
  <si>
    <t>진진(1), 우신(2)</t>
    <phoneticPr fontId="2" type="noConversion"/>
  </si>
  <si>
    <t>ER</t>
    <phoneticPr fontId="2" type="noConversion"/>
  </si>
  <si>
    <t>경남지방중소기업청</t>
    <phoneticPr fontId="2" type="noConversion"/>
  </si>
  <si>
    <t>김은영</t>
    <phoneticPr fontId="2" type="noConversion"/>
  </si>
  <si>
    <t xml:space="preserve"> 2026년 해외규격인증획득(추경) 추가지원사업 설명회 및 인증교육 (13:30 ~ 16:30)</t>
    <phoneticPr fontId="2" type="noConversion"/>
  </si>
  <si>
    <t>개인차량</t>
    <phoneticPr fontId="2" type="noConversion"/>
  </si>
  <si>
    <t>우현 탑씰 20mm 절단 요청</t>
    <phoneticPr fontId="2" type="noConversion"/>
  </si>
  <si>
    <t>무상</t>
    <phoneticPr fontId="2" type="noConversion"/>
  </si>
  <si>
    <t>김태호</t>
    <phoneticPr fontId="2" type="noConversion"/>
  </si>
  <si>
    <t>우신(1)</t>
    <phoneticPr fontId="2" type="noConversion"/>
  </si>
  <si>
    <t>0160</t>
    <phoneticPr fontId="2" type="noConversion"/>
  </si>
  <si>
    <t>인도전</t>
    <phoneticPr fontId="2" type="noConversion"/>
  </si>
  <si>
    <t>목포</t>
    <phoneticPr fontId="2" type="noConversion"/>
  </si>
  <si>
    <t>RB</t>
    <phoneticPr fontId="2" type="noConversion"/>
  </si>
  <si>
    <t>무상</t>
    <phoneticPr fontId="2" type="noConversion"/>
  </si>
  <si>
    <t>개인차량</t>
    <phoneticPr fontId="2" type="noConversion"/>
  </si>
  <si>
    <t>BR</t>
    <phoneticPr fontId="2" type="noConversion"/>
  </si>
  <si>
    <t>인도전</t>
    <phoneticPr fontId="2" type="noConversion"/>
  </si>
  <si>
    <t>SWN</t>
    <phoneticPr fontId="2" type="noConversion"/>
  </si>
  <si>
    <t>A/S</t>
    <phoneticPr fontId="2" type="noConversion"/>
  </si>
  <si>
    <t>S199/
S200</t>
    <phoneticPr fontId="2" type="noConversion"/>
  </si>
  <si>
    <t>박성용, 설계(이주영)</t>
    <phoneticPr fontId="2" type="noConversion"/>
  </si>
  <si>
    <t>인도전</t>
    <phoneticPr fontId="2" type="noConversion"/>
  </si>
  <si>
    <t>SKMT</t>
    <phoneticPr fontId="2" type="noConversion"/>
  </si>
  <si>
    <t>GNN0017</t>
    <phoneticPr fontId="2" type="noConversion"/>
  </si>
  <si>
    <t>HD</t>
    <phoneticPr fontId="2" type="noConversion"/>
  </si>
  <si>
    <t>시운전 지적 사항 조치</t>
    <phoneticPr fontId="2" type="noConversion"/>
  </si>
  <si>
    <t>개인차량</t>
    <phoneticPr fontId="2" type="noConversion"/>
  </si>
  <si>
    <t>최기추(반차)</t>
    <phoneticPr fontId="2" type="noConversion"/>
  </si>
  <si>
    <t>유봉현, 최기추(연차)</t>
    <phoneticPr fontId="2" type="noConversion"/>
  </si>
  <si>
    <t>우신(2)</t>
    <phoneticPr fontId="2" type="noConversion"/>
  </si>
  <si>
    <t>박성용(연차)</t>
    <phoneticPr fontId="2" type="noConversion"/>
  </si>
  <si>
    <t>박성용</t>
    <phoneticPr fontId="2" type="noConversion"/>
  </si>
  <si>
    <t>A/S</t>
    <phoneticPr fontId="2" type="noConversion"/>
  </si>
  <si>
    <t>강남</t>
    <phoneticPr fontId="2" type="noConversion"/>
  </si>
  <si>
    <t>WC</t>
    <phoneticPr fontId="2" type="noConversion"/>
  </si>
  <si>
    <t>무상</t>
    <phoneticPr fontId="2" type="noConversion"/>
  </si>
  <si>
    <t>독도함</t>
    <phoneticPr fontId="2" type="noConversion"/>
  </si>
  <si>
    <t>인도후</t>
    <phoneticPr fontId="2" type="noConversion"/>
  </si>
  <si>
    <t>CNM(2)</t>
    <phoneticPr fontId="2" type="noConversion"/>
  </si>
  <si>
    <t>우신(김유신, 천상욱)</t>
    <phoneticPr fontId="2" type="noConversion"/>
  </si>
  <si>
    <t>김유신</t>
    <phoneticPr fontId="2" type="noConversion"/>
  </si>
  <si>
    <t>김유신, 천상욱 (자재: 경량창고)</t>
    <phoneticPr fontId="2" type="noConversion"/>
  </si>
  <si>
    <t>보트 시트 보강, 운용 교육 및 명판 설치</t>
    <phoneticPr fontId="2" type="noConversion"/>
  </si>
  <si>
    <t>SN2688</t>
    <phoneticPr fontId="2" type="noConversion"/>
  </si>
  <si>
    <t>진해해군</t>
    <phoneticPr fontId="2" type="noConversion"/>
  </si>
  <si>
    <t>S198</t>
    <phoneticPr fontId="2" type="noConversion"/>
  </si>
  <si>
    <t>크레인 케빈도어 HINGE(경첩) 부식/파손 현장 확인</t>
    <phoneticPr fontId="2" type="noConversion"/>
  </si>
  <si>
    <t>RD</t>
    <phoneticPr fontId="2" type="noConversion"/>
  </si>
  <si>
    <t>5/11~5/13</t>
  </si>
  <si>
    <t>YN06</t>
  </si>
  <si>
    <t>5/12~5/14</t>
  </si>
  <si>
    <t>덴소</t>
  </si>
  <si>
    <t>더베솔(6)</t>
  </si>
  <si>
    <t>5/14~5/15</t>
  </si>
  <si>
    <t>5/11~5/15</t>
  </si>
  <si>
    <t>YN07</t>
  </si>
  <si>
    <t>PV, HH</t>
  </si>
  <si>
    <t>다이 제작, 설치</t>
  </si>
  <si>
    <t>범양(4)</t>
  </si>
  <si>
    <t>김해공장</t>
    <phoneticPr fontId="2" type="noConversion"/>
  </si>
  <si>
    <t>0294</t>
    <phoneticPr fontId="2" type="noConversion"/>
  </si>
  <si>
    <t>웰독 전기판넬 설치 잔여작업</t>
    <phoneticPr fontId="2" type="noConversion"/>
  </si>
  <si>
    <t>범양(3)</t>
    <phoneticPr fontId="2" type="noConversion"/>
  </si>
  <si>
    <t xml:space="preserve">웰독 계선기, 권양기 전기판넬 설치 </t>
    <phoneticPr fontId="2" type="noConversion"/>
  </si>
  <si>
    <t>범양(4)</t>
    <phoneticPr fontId="2" type="noConversion"/>
  </si>
  <si>
    <t>JB4 반출 -&gt; 조성용부장 전달</t>
    <phoneticPr fontId="2" type="noConversion"/>
  </si>
  <si>
    <t>SHOT BLAST (12시)</t>
    <phoneticPr fontId="2" type="noConversion"/>
  </si>
  <si>
    <t>이시맥(연차)</t>
    <phoneticPr fontId="2" type="noConversion"/>
  </si>
  <si>
    <t>박성용, 김태호</t>
    <phoneticPr fontId="2" type="noConversion"/>
  </si>
  <si>
    <t>무상</t>
    <phoneticPr fontId="2" type="noConversion"/>
  </si>
  <si>
    <t>0160</t>
    <phoneticPr fontId="2" type="noConversion"/>
  </si>
  <si>
    <t>HHI</t>
    <phoneticPr fontId="2" type="noConversion"/>
  </si>
  <si>
    <t>HOC</t>
    <phoneticPr fontId="2" type="noConversion"/>
  </si>
  <si>
    <t>판넬 결선</t>
    <phoneticPr fontId="2" type="noConversion"/>
  </si>
  <si>
    <t>박주성</t>
    <phoneticPr fontId="2" type="noConversion"/>
  </si>
  <si>
    <t>범양(1)</t>
    <phoneticPr fontId="2" type="noConversion"/>
  </si>
  <si>
    <t>CS</t>
    <phoneticPr fontId="2" type="noConversion"/>
  </si>
  <si>
    <t>검사 입회</t>
    <phoneticPr fontId="2" type="noConversion"/>
  </si>
  <si>
    <t>무상</t>
    <phoneticPr fontId="2" type="noConversion"/>
  </si>
  <si>
    <t>크레인 케빈도어 HINGE(경첩) 부식/파손 조치</t>
    <phoneticPr fontId="2" type="noConversion"/>
  </si>
  <si>
    <t>박주성, 이시맥, 최용욱</t>
    <phoneticPr fontId="2" type="noConversion"/>
  </si>
  <si>
    <t>유압모듈 압력계 범위 스티커 추가</t>
    <phoneticPr fontId="2" type="noConversion"/>
  </si>
  <si>
    <t>S204(아300호정)</t>
    <phoneticPr fontId="2" type="noConversion"/>
  </si>
  <si>
    <t>A/S</t>
    <phoneticPr fontId="2" type="noConversion"/>
  </si>
  <si>
    <t>인도전</t>
    <phoneticPr fontId="2" type="noConversion"/>
  </si>
  <si>
    <t>P0294</t>
    <phoneticPr fontId="2" type="noConversion"/>
  </si>
  <si>
    <t>FDC</t>
    <phoneticPr fontId="2" type="noConversion"/>
  </si>
  <si>
    <t>무상</t>
    <phoneticPr fontId="2" type="noConversion"/>
  </si>
  <si>
    <t>개인차량</t>
    <phoneticPr fontId="2" type="noConversion"/>
  </si>
  <si>
    <t>CLAIM</t>
    <phoneticPr fontId="2" type="noConversion"/>
  </si>
  <si>
    <t>인도전</t>
    <phoneticPr fontId="2" type="noConversion"/>
  </si>
  <si>
    <t>SKMT</t>
    <phoneticPr fontId="2" type="noConversion"/>
  </si>
  <si>
    <t>GNN0017</t>
    <phoneticPr fontId="2" type="noConversion"/>
  </si>
  <si>
    <t>HD</t>
    <phoneticPr fontId="2" type="noConversion"/>
  </si>
  <si>
    <t>등화관제 불량 외 시운전 코멘트 조치/검사준비</t>
    <phoneticPr fontId="2" type="noConversion"/>
  </si>
  <si>
    <t>정비창 &amp; 승조원 교육 (09시~10시, 1시간/ 함정 위)</t>
    <phoneticPr fontId="2" type="noConversion"/>
  </si>
  <si>
    <t>박성용</t>
    <phoneticPr fontId="2" type="noConversion"/>
  </si>
  <si>
    <t>0160</t>
    <phoneticPr fontId="2" type="noConversion"/>
  </si>
  <si>
    <t>CNM(3)</t>
    <phoneticPr fontId="2" type="noConversion"/>
  </si>
  <si>
    <t>박성용</t>
    <phoneticPr fontId="2" type="noConversion"/>
  </si>
  <si>
    <t>무상</t>
    <phoneticPr fontId="2" type="noConversion"/>
  </si>
  <si>
    <t>검사 입회</t>
    <phoneticPr fontId="2" type="noConversion"/>
  </si>
  <si>
    <t>무상</t>
    <phoneticPr fontId="2" type="noConversion"/>
  </si>
  <si>
    <t>군산항 5부두</t>
    <phoneticPr fontId="2" type="noConversion"/>
  </si>
  <si>
    <t>CNM(1)</t>
    <phoneticPr fontId="2" type="noConversion"/>
  </si>
  <si>
    <t>우신(2)</t>
    <phoneticPr fontId="2" type="noConversion"/>
  </si>
  <si>
    <t>무상</t>
    <phoneticPr fontId="2" type="noConversion"/>
  </si>
  <si>
    <t>0160</t>
    <phoneticPr fontId="2" type="noConversion"/>
  </si>
  <si>
    <t>1) 수동 레버로만 작동하며, 작동해도 리미트 오류센서로 LED램프 점멸
2) 간헐적 램프 처짐 현상 발생 가중</t>
    <phoneticPr fontId="2" type="noConversion"/>
  </si>
  <si>
    <t>우신(1), HIO(1)</t>
    <phoneticPr fontId="2" type="noConversion"/>
  </si>
  <si>
    <t>WC</t>
    <phoneticPr fontId="2" type="noConversion"/>
  </si>
  <si>
    <t>범양(1)</t>
    <phoneticPr fontId="2" type="noConversion"/>
  </si>
  <si>
    <t>분전반 판넬 점검/검사 입회</t>
    <phoneticPr fontId="2" type="noConversion"/>
  </si>
  <si>
    <t>동아(3)</t>
    <phoneticPr fontId="2" type="noConversion"/>
  </si>
  <si>
    <t>T/V messenger wire 설치 (고소차 지원)</t>
    <phoneticPr fontId="2" type="noConversion"/>
  </si>
  <si>
    <t>박성용</t>
    <phoneticPr fontId="2" type="noConversion"/>
  </si>
  <si>
    <t>T/V messenger wire 설치 (고소차 지원)</t>
    <phoneticPr fontId="2" type="noConversion"/>
  </si>
  <si>
    <t>NO. 1,2 DAVIT HPU 결선</t>
    <phoneticPr fontId="2" type="noConversion"/>
  </si>
  <si>
    <t>박성용</t>
    <phoneticPr fontId="2" type="noConversion"/>
  </si>
  <si>
    <t>개인차량</t>
    <phoneticPr fontId="2" type="noConversion"/>
  </si>
  <si>
    <t>JB#2, JB#3번 반출</t>
    <phoneticPr fontId="2" type="noConversion"/>
  </si>
  <si>
    <t>PD</t>
    <phoneticPr fontId="2" type="noConversion"/>
  </si>
  <si>
    <t>JB#4 설치</t>
    <phoneticPr fontId="2" type="noConversion"/>
  </si>
  <si>
    <t>신종욱</t>
    <phoneticPr fontId="2" type="noConversion"/>
  </si>
  <si>
    <t>김유신, 천상욱</t>
    <phoneticPr fontId="2" type="noConversion"/>
  </si>
  <si>
    <t>최재호, 유동현, 정지훈</t>
    <phoneticPr fontId="2" type="noConversion"/>
  </si>
  <si>
    <t>개인차량</t>
    <phoneticPr fontId="2" type="noConversion"/>
  </si>
  <si>
    <t>TF</t>
    <phoneticPr fontId="2" type="noConversion"/>
  </si>
  <si>
    <t>P0294</t>
    <phoneticPr fontId="2" type="noConversion"/>
  </si>
  <si>
    <t>FDC</t>
    <phoneticPr fontId="2" type="noConversion"/>
  </si>
  <si>
    <t>납품/상차</t>
    <phoneticPr fontId="2" type="noConversion"/>
  </si>
  <si>
    <t>HIO(1)</t>
    <phoneticPr fontId="2" type="noConversion"/>
  </si>
  <si>
    <t>독도함</t>
    <phoneticPr fontId="2" type="noConversion"/>
  </si>
  <si>
    <t>ER</t>
    <phoneticPr fontId="2" type="noConversion"/>
  </si>
  <si>
    <t>포장/납품/상차</t>
    <phoneticPr fontId="2" type="noConversion"/>
  </si>
  <si>
    <t>5/26 ~ 27일</t>
    <phoneticPr fontId="2" type="noConversion"/>
  </si>
  <si>
    <t>YN07</t>
    <phoneticPr fontId="2" type="noConversion"/>
  </si>
  <si>
    <t>PV</t>
    <phoneticPr fontId="2" type="noConversion"/>
  </si>
  <si>
    <t>HH</t>
    <phoneticPr fontId="2" type="noConversion"/>
  </si>
  <si>
    <t xml:space="preserve">설치 </t>
    <phoneticPr fontId="2" type="noConversion"/>
  </si>
  <si>
    <t>5/26 ~ 28일</t>
    <phoneticPr fontId="2" type="noConversion"/>
  </si>
  <si>
    <t>범양(2)</t>
    <phoneticPr fontId="2" type="noConversion"/>
  </si>
  <si>
    <t xml:space="preserve">설치 </t>
    <phoneticPr fontId="2" type="noConversion"/>
  </si>
  <si>
    <t>YN07</t>
    <phoneticPr fontId="2" type="noConversion"/>
  </si>
  <si>
    <t>HH</t>
    <phoneticPr fontId="2" type="noConversion"/>
  </si>
  <si>
    <t>설치, 시운전</t>
    <phoneticPr fontId="2" type="noConversion"/>
  </si>
  <si>
    <t>5/18 ~ 5/22</t>
  </si>
  <si>
    <t>포장, 덴소</t>
  </si>
  <si>
    <t>HIO(4), 더베솔(2)</t>
  </si>
  <si>
    <t>5/18(월)</t>
  </si>
  <si>
    <t>5/19 ~ 5/20</t>
  </si>
  <si>
    <t>시운전, 자체테스트</t>
  </si>
  <si>
    <t>5/19(화)</t>
  </si>
  <si>
    <t>SHOT BLAST (12시)</t>
  </si>
  <si>
    <t>5/21 ~ 5/22</t>
  </si>
  <si>
    <t>5/16(토)</t>
  </si>
  <si>
    <t>우현 탑씰 20mm 절단 요청</t>
  </si>
  <si>
    <t>김태호</t>
  </si>
  <si>
    <t>19주 긴급지원</t>
  </si>
  <si>
    <t>보트 시트 보강, 운용 교육 및 명판 설치</t>
  </si>
  <si>
    <t>5/22(금)</t>
  </si>
  <si>
    <t>강남</t>
  </si>
  <si>
    <t>WC</t>
  </si>
  <si>
    <t>정비창 &amp; 승조원 교육 (09시~)</t>
  </si>
  <si>
    <t>박성용, 김태호</t>
  </si>
  <si>
    <t>김해공장</t>
    <phoneticPr fontId="2" type="noConversion"/>
  </si>
  <si>
    <t>이광형</t>
    <phoneticPr fontId="2" type="noConversion"/>
  </si>
  <si>
    <t>GNN0017</t>
    <phoneticPr fontId="2" type="noConversion"/>
  </si>
  <si>
    <t>HD</t>
    <phoneticPr fontId="2" type="noConversion"/>
  </si>
  <si>
    <t>시운전 지적 사항 조치</t>
    <phoneticPr fontId="2" type="noConversion"/>
  </si>
  <si>
    <t>CNM(2)</t>
    <phoneticPr fontId="2" type="noConversion"/>
  </si>
  <si>
    <t>이광형, 박해식</t>
    <phoneticPr fontId="2" type="noConversion"/>
  </si>
  <si>
    <t>HIO(1)</t>
    <phoneticPr fontId="2" type="noConversion"/>
  </si>
  <si>
    <t>오태호</t>
    <phoneticPr fontId="2" type="noConversion"/>
  </si>
  <si>
    <t>T/V messenger wire 설치 (고소차 지원)</t>
    <phoneticPr fontId="2" type="noConversion"/>
  </si>
  <si>
    <t>HPU 회수, Pipe Flange SUS316 재질 검증</t>
    <phoneticPr fontId="2" type="noConversion"/>
  </si>
  <si>
    <t>검사 입회 (09:30)</t>
    <phoneticPr fontId="2" type="noConversion"/>
  </si>
  <si>
    <t>631호정</t>
    <phoneticPr fontId="2" type="noConversion"/>
  </si>
  <si>
    <t xml:space="preserve"> 함수미 램프 외주창정비 현장 실사</t>
    <phoneticPr fontId="2" type="noConversion"/>
  </si>
  <si>
    <t>덴마크</t>
    <phoneticPr fontId="2" type="noConversion"/>
  </si>
  <si>
    <t>CLAIM 조치</t>
    <phoneticPr fontId="2" type="noConversion"/>
  </si>
  <si>
    <t>이상기, 이시맥, 김동명</t>
    <phoneticPr fontId="2" type="noConversion"/>
  </si>
  <si>
    <t>무상</t>
    <phoneticPr fontId="2" type="noConversion"/>
  </si>
  <si>
    <t>개인차량</t>
    <phoneticPr fontId="2" type="noConversion"/>
  </si>
  <si>
    <t>대만</t>
    <phoneticPr fontId="2" type="noConversion"/>
  </si>
  <si>
    <t>우신(1)</t>
    <phoneticPr fontId="2" type="noConversion"/>
  </si>
  <si>
    <t xml:space="preserve">천상욱 </t>
    <phoneticPr fontId="2" type="noConversion"/>
  </si>
  <si>
    <t>박해식</t>
    <phoneticPr fontId="2" type="noConversion"/>
  </si>
  <si>
    <t>오태호</t>
    <phoneticPr fontId="2" type="noConversion"/>
  </si>
  <si>
    <t>A/S</t>
    <phoneticPr fontId="2" type="noConversion"/>
  </si>
  <si>
    <t>HHI</t>
    <phoneticPr fontId="2" type="noConversion"/>
  </si>
  <si>
    <t>P179</t>
    <phoneticPr fontId="2" type="noConversion"/>
  </si>
  <si>
    <t>T/C</t>
    <phoneticPr fontId="2" type="noConversion"/>
  </si>
  <si>
    <t>초기 작동, HPU결선</t>
    <phoneticPr fontId="2" type="noConversion"/>
  </si>
  <si>
    <t>박성용</t>
    <phoneticPr fontId="2" type="noConversion"/>
  </si>
  <si>
    <t>동아(2)</t>
    <phoneticPr fontId="2" type="noConversion"/>
  </si>
  <si>
    <t>0160</t>
    <phoneticPr fontId="2" type="noConversion"/>
  </si>
  <si>
    <t>개인차량</t>
    <phoneticPr fontId="2" type="noConversion"/>
  </si>
  <si>
    <t>권용연</t>
    <phoneticPr fontId="2" type="noConversion"/>
  </si>
  <si>
    <t>탑재 (휠 조립)</t>
    <phoneticPr fontId="2" type="noConversion"/>
  </si>
  <si>
    <t>진진(1)</t>
    <phoneticPr fontId="2" type="noConversion"/>
  </si>
  <si>
    <t>진진(2)</t>
    <phoneticPr fontId="2" type="noConversion"/>
  </si>
  <si>
    <t>A/S</t>
    <phoneticPr fontId="2" type="noConversion"/>
  </si>
  <si>
    <t>인도전</t>
    <phoneticPr fontId="2" type="noConversion"/>
  </si>
  <si>
    <t>HHI</t>
    <phoneticPr fontId="2" type="noConversion"/>
  </si>
  <si>
    <t>P178</t>
    <phoneticPr fontId="2" type="noConversion"/>
  </si>
  <si>
    <t>PE</t>
    <phoneticPr fontId="2" type="noConversion"/>
  </si>
  <si>
    <t>쫄대 수정</t>
    <phoneticPr fontId="2" type="noConversion"/>
  </si>
  <si>
    <t>고무 교체</t>
    <phoneticPr fontId="2" type="noConversion"/>
  </si>
  <si>
    <t>진진(2)</t>
    <phoneticPr fontId="2" type="noConversion"/>
  </si>
  <si>
    <t>김유신</t>
    <phoneticPr fontId="2" type="noConversion"/>
  </si>
  <si>
    <t>권용연</t>
    <phoneticPr fontId="2" type="noConversion"/>
  </si>
  <si>
    <t>CNM(1), 동아(1)</t>
    <phoneticPr fontId="2" type="noConversion"/>
  </si>
  <si>
    <t>권용연, 김유신</t>
    <phoneticPr fontId="2" type="noConversion"/>
  </si>
  <si>
    <t>오태호</t>
    <phoneticPr fontId="2" type="noConversion"/>
  </si>
  <si>
    <t>크레인 탑재 기술지원</t>
    <phoneticPr fontId="2" type="noConversion"/>
  </si>
  <si>
    <t>A/S</t>
    <phoneticPr fontId="2" type="noConversion"/>
  </si>
  <si>
    <t>인도후</t>
    <phoneticPr fontId="2" type="noConversion"/>
  </si>
  <si>
    <t>제주해군</t>
    <phoneticPr fontId="2" type="noConversion"/>
  </si>
  <si>
    <t>BR</t>
    <phoneticPr fontId="2" type="noConversion"/>
  </si>
  <si>
    <t>인버터, 엔코더 수리</t>
    <phoneticPr fontId="2" type="noConversion"/>
  </si>
  <si>
    <t>동아(4)</t>
    <phoneticPr fontId="2" type="noConversion"/>
  </si>
  <si>
    <t>보안조치 완료</t>
    <phoneticPr fontId="2" type="noConversion"/>
  </si>
  <si>
    <t>사내작업</t>
    <phoneticPr fontId="2" type="noConversion"/>
  </si>
  <si>
    <t>납품전</t>
    <phoneticPr fontId="2" type="noConversion"/>
  </si>
  <si>
    <t>TF</t>
    <phoneticPr fontId="2" type="noConversion"/>
  </si>
  <si>
    <t>독도함</t>
    <phoneticPr fontId="2" type="noConversion"/>
  </si>
  <si>
    <t>ER</t>
    <phoneticPr fontId="2" type="noConversion"/>
  </si>
  <si>
    <t>판넬 해체</t>
    <phoneticPr fontId="2" type="noConversion"/>
  </si>
  <si>
    <t>HIO(1)</t>
    <phoneticPr fontId="2" type="noConversion"/>
  </si>
  <si>
    <t>ER</t>
    <phoneticPr fontId="2" type="noConversion"/>
  </si>
  <si>
    <t>21주 추가</t>
    <phoneticPr fontId="2" type="noConversion"/>
  </si>
  <si>
    <t>이광형</t>
    <phoneticPr fontId="2" type="noConversion"/>
  </si>
  <si>
    <t>송영국</t>
    <phoneticPr fontId="2" type="noConversion"/>
  </si>
  <si>
    <t>ML</t>
    <phoneticPr fontId="2" type="noConversion"/>
  </si>
  <si>
    <t>조립, 설치</t>
    <phoneticPr fontId="2" type="noConversion"/>
  </si>
  <si>
    <t>박해식</t>
    <phoneticPr fontId="2" type="noConversion"/>
  </si>
  <si>
    <t>HIO(2)</t>
    <phoneticPr fontId="2" type="noConversion"/>
  </si>
  <si>
    <t>6/4 ~ 6/5</t>
    <phoneticPr fontId="2" type="noConversion"/>
  </si>
  <si>
    <t>6/1 ~ 6/5</t>
    <phoneticPr fontId="2" type="noConversion"/>
  </si>
  <si>
    <t>SN2688</t>
    <phoneticPr fontId="2" type="noConversion"/>
  </si>
  <si>
    <t>PV</t>
    <phoneticPr fontId="2" type="noConversion"/>
  </si>
  <si>
    <t xml:space="preserve">조립 </t>
    <phoneticPr fontId="2" type="noConversion"/>
  </si>
  <si>
    <t>박해식</t>
    <phoneticPr fontId="2" type="noConversion"/>
  </si>
  <si>
    <t>범양(4)</t>
    <phoneticPr fontId="2" type="noConversion"/>
  </si>
  <si>
    <t>포장</t>
    <phoneticPr fontId="2" type="noConversion"/>
  </si>
  <si>
    <t>도장</t>
    <phoneticPr fontId="2" type="noConversion"/>
  </si>
  <si>
    <t>6/1 ~ 6/2</t>
    <phoneticPr fontId="2" type="noConversion"/>
  </si>
  <si>
    <t>YN07</t>
    <phoneticPr fontId="2" type="noConversion"/>
  </si>
  <si>
    <t>PV, ER</t>
    <phoneticPr fontId="2" type="noConversion"/>
  </si>
  <si>
    <t>이광형</t>
    <phoneticPr fontId="2" type="noConversion"/>
  </si>
  <si>
    <t>시운전, 자체테스트</t>
    <phoneticPr fontId="2" type="noConversion"/>
  </si>
  <si>
    <t xml:space="preserve">군산항 </t>
    <phoneticPr fontId="2" type="noConversion"/>
  </si>
  <si>
    <t>도면 불량</t>
    <phoneticPr fontId="2" type="noConversion"/>
  </si>
  <si>
    <t>도면 불량</t>
    <phoneticPr fontId="2" type="noConversion"/>
  </si>
  <si>
    <t>CLAIM</t>
    <phoneticPr fontId="2" type="noConversion"/>
  </si>
  <si>
    <t>보증수리</t>
    <phoneticPr fontId="2" type="noConversion"/>
  </si>
  <si>
    <t>계약사항</t>
    <phoneticPr fontId="2" type="noConversion"/>
  </si>
  <si>
    <t>선주코멘트</t>
    <phoneticPr fontId="2" type="noConversion"/>
  </si>
  <si>
    <t>선주코멘트</t>
    <phoneticPr fontId="2" type="noConversion"/>
  </si>
  <si>
    <t>쫄대 수정, Vert. Rail Seam Plate 공급</t>
    <phoneticPr fontId="2" type="noConversion"/>
  </si>
  <si>
    <t>슬립링 시트 오작 / 수정</t>
    <phoneticPr fontId="2" type="noConversion"/>
  </si>
  <si>
    <t>도면 불량</t>
    <phoneticPr fontId="2" type="noConversion"/>
  </si>
  <si>
    <t>P0294</t>
    <phoneticPr fontId="2" type="noConversion"/>
  </si>
  <si>
    <t>광개토대왕</t>
    <phoneticPr fontId="2" type="noConversion"/>
  </si>
  <si>
    <t>진진(1), 동아(1)</t>
    <phoneticPr fontId="2" type="noConversion"/>
  </si>
  <si>
    <t>무상</t>
    <phoneticPr fontId="2" type="noConversion"/>
  </si>
  <si>
    <t>박주성, 김기환</t>
    <phoneticPr fontId="2" type="noConversion"/>
  </si>
  <si>
    <t>박성용</t>
    <phoneticPr fontId="2" type="noConversion"/>
  </si>
  <si>
    <t>우신테크</t>
    <phoneticPr fontId="2" type="noConversion"/>
  </si>
  <si>
    <t>유압 모듈 누유, 락리미트 교체</t>
    <phoneticPr fontId="2" type="noConversion"/>
  </si>
  <si>
    <t>탑 씰 브라켓 2개 설치, 도어 쏠림 확인/조치, 세팅 및 시운전</t>
    <phoneticPr fontId="2" type="noConversion"/>
  </si>
  <si>
    <t>우현 탑씰 20mm 절단 요청</t>
    <phoneticPr fontId="2" type="noConversion"/>
  </si>
  <si>
    <t>주행 케이블 체인 설치</t>
    <phoneticPr fontId="2" type="noConversion"/>
  </si>
  <si>
    <t>주행 케이블 체인 설치 마무리</t>
    <phoneticPr fontId="2" type="noConversion"/>
  </si>
  <si>
    <t>우신테크</t>
    <phoneticPr fontId="2" type="noConversion"/>
  </si>
  <si>
    <t>동아(2), 우신(1)</t>
    <phoneticPr fontId="2" type="noConversion"/>
  </si>
  <si>
    <t>최재호, 유동현, 천상욱</t>
    <phoneticPr fontId="2" type="noConversion"/>
  </si>
  <si>
    <t>22주 추가</t>
    <phoneticPr fontId="2" type="noConversion"/>
  </si>
  <si>
    <t>슬립링 시트 오작 / 수정</t>
    <phoneticPr fontId="2" type="noConversion"/>
  </si>
  <si>
    <t>대만</t>
    <phoneticPr fontId="2" type="noConversion"/>
  </si>
  <si>
    <t>정박시운전</t>
    <phoneticPr fontId="2" type="noConversion"/>
  </si>
  <si>
    <t>SWNP0294</t>
    <phoneticPr fontId="2" type="noConversion"/>
  </si>
  <si>
    <t>FDC</t>
    <phoneticPr fontId="2" type="noConversion"/>
  </si>
  <si>
    <t>에이치아이오 엔지니어링</t>
    <phoneticPr fontId="2" type="noConversion"/>
  </si>
  <si>
    <t>근접 리미트 작동 불량</t>
    <phoneticPr fontId="2" type="noConversion"/>
  </si>
  <si>
    <t>리미트 2개 교체</t>
    <phoneticPr fontId="2" type="noConversion"/>
  </si>
  <si>
    <t>인도전</t>
    <phoneticPr fontId="2" type="noConversion"/>
  </si>
  <si>
    <t>HJSC</t>
    <phoneticPr fontId="2" type="noConversion"/>
  </si>
  <si>
    <t>작동 지원 (08:00 ~ 11:00)</t>
    <phoneticPr fontId="2" type="noConversion"/>
  </si>
  <si>
    <t>무상</t>
    <phoneticPr fontId="2" type="noConversion"/>
  </si>
  <si>
    <t>이광형</t>
    <phoneticPr fontId="2" type="noConversion"/>
  </si>
  <si>
    <t>WD</t>
    <phoneticPr fontId="2" type="noConversion"/>
  </si>
  <si>
    <t>A/S</t>
    <phoneticPr fontId="2" type="noConversion"/>
  </si>
  <si>
    <t>인도후</t>
    <phoneticPr fontId="2" type="noConversion"/>
  </si>
  <si>
    <t>진해해군</t>
    <phoneticPr fontId="2" type="noConversion"/>
  </si>
  <si>
    <t>HIO(1)</t>
    <phoneticPr fontId="2" type="noConversion"/>
  </si>
  <si>
    <t>0160</t>
    <phoneticPr fontId="2" type="noConversion"/>
  </si>
  <si>
    <t>우신(1)</t>
    <phoneticPr fontId="2" type="noConversion"/>
  </si>
  <si>
    <t>KT</t>
    <phoneticPr fontId="2" type="noConversion"/>
  </si>
  <si>
    <t>범양(1)</t>
    <phoneticPr fontId="2" type="noConversion"/>
  </si>
  <si>
    <t>WC</t>
    <phoneticPr fontId="2" type="noConversion"/>
  </si>
  <si>
    <t>양묘기 작동 불량 (8시, 해군의집)</t>
    <phoneticPr fontId="2" type="noConversion"/>
  </si>
  <si>
    <t>오태호</t>
    <phoneticPr fontId="2" type="noConversion"/>
  </si>
  <si>
    <t>7060(강화도함)</t>
    <phoneticPr fontId="2" type="noConversion"/>
  </si>
  <si>
    <t>개인차량</t>
    <phoneticPr fontId="2" type="noConversion"/>
  </si>
  <si>
    <t>박성용</t>
    <phoneticPr fontId="2" type="noConversion"/>
  </si>
  <si>
    <t>우신(1)</t>
    <phoneticPr fontId="2" type="noConversion"/>
  </si>
  <si>
    <t>박성용</t>
    <phoneticPr fontId="2" type="noConversion"/>
  </si>
  <si>
    <t>A/S</t>
    <phoneticPr fontId="2" type="noConversion"/>
  </si>
  <si>
    <t>인도전</t>
    <phoneticPr fontId="2" type="noConversion"/>
  </si>
  <si>
    <t>SKMT</t>
    <phoneticPr fontId="2" type="noConversion"/>
  </si>
  <si>
    <t>GNN0017</t>
    <phoneticPr fontId="2" type="noConversion"/>
  </si>
  <si>
    <t>RCS</t>
    <phoneticPr fontId="2" type="noConversion"/>
  </si>
  <si>
    <t>고장 램프 작동 불량</t>
    <phoneticPr fontId="2" type="noConversion"/>
  </si>
  <si>
    <t>CNM(1)</t>
    <phoneticPr fontId="2" type="noConversion"/>
  </si>
  <si>
    <t>무상</t>
    <phoneticPr fontId="2" type="noConversion"/>
  </si>
  <si>
    <t>동아제이티</t>
    <phoneticPr fontId="2" type="noConversion"/>
  </si>
  <si>
    <t>설치</t>
    <phoneticPr fontId="2" type="noConversion"/>
  </si>
  <si>
    <t>박주성</t>
    <phoneticPr fontId="2" type="noConversion"/>
  </si>
  <si>
    <t>진진(2), 범양(1)</t>
    <phoneticPr fontId="2" type="noConversion"/>
  </si>
  <si>
    <t>권양기 설치</t>
    <phoneticPr fontId="2" type="noConversion"/>
  </si>
  <si>
    <t>진진(2)</t>
    <phoneticPr fontId="2" type="noConversion"/>
  </si>
  <si>
    <t>에어라인 현장 확인</t>
    <phoneticPr fontId="2" type="noConversion"/>
  </si>
  <si>
    <t>DST(1)</t>
    <phoneticPr fontId="2" type="noConversion"/>
  </si>
  <si>
    <t>무상</t>
    <phoneticPr fontId="2" type="noConversion"/>
  </si>
  <si>
    <t>박주성</t>
    <phoneticPr fontId="2" type="noConversion"/>
  </si>
  <si>
    <t>설치</t>
    <phoneticPr fontId="2" type="noConversion"/>
  </si>
  <si>
    <t>박주성</t>
    <phoneticPr fontId="2" type="noConversion"/>
  </si>
  <si>
    <t>범양(1)</t>
    <phoneticPr fontId="2" type="noConversion"/>
  </si>
  <si>
    <t>무상</t>
    <phoneticPr fontId="2" type="noConversion"/>
  </si>
  <si>
    <t>범양(1), 진진(2)</t>
    <phoneticPr fontId="2" type="noConversion"/>
  </si>
  <si>
    <t>자체테스트</t>
    <phoneticPr fontId="2" type="noConversion"/>
  </si>
  <si>
    <t>무상</t>
    <phoneticPr fontId="2" type="noConversion"/>
  </si>
  <si>
    <t>개인차량</t>
    <phoneticPr fontId="2" type="noConversion"/>
  </si>
  <si>
    <t>DST(1)</t>
    <phoneticPr fontId="2" type="noConversion"/>
  </si>
  <si>
    <t>검사 입회</t>
    <phoneticPr fontId="2" type="noConversion"/>
  </si>
  <si>
    <t>DST(1)</t>
    <phoneticPr fontId="2" type="noConversion"/>
  </si>
  <si>
    <t>박성용</t>
    <phoneticPr fontId="2" type="noConversion"/>
  </si>
  <si>
    <t>범양(1)</t>
    <phoneticPr fontId="2" type="noConversion"/>
  </si>
  <si>
    <t>DST(1)</t>
    <phoneticPr fontId="2" type="noConversion"/>
  </si>
  <si>
    <t>박성용</t>
    <phoneticPr fontId="2" type="noConversion"/>
  </si>
  <si>
    <t>작동 지원</t>
    <phoneticPr fontId="2" type="noConversion"/>
  </si>
  <si>
    <t>신종욱</t>
    <phoneticPr fontId="2" type="noConversion"/>
  </si>
  <si>
    <t>ER</t>
    <phoneticPr fontId="2" type="noConversion"/>
  </si>
  <si>
    <t>6/8 ~ 6/12</t>
    <phoneticPr fontId="2" type="noConversion"/>
  </si>
  <si>
    <t>사내작업</t>
    <phoneticPr fontId="2" type="noConversion"/>
  </si>
  <si>
    <t>납품전</t>
    <phoneticPr fontId="2" type="noConversion"/>
  </si>
  <si>
    <t>TF</t>
    <phoneticPr fontId="2" type="noConversion"/>
  </si>
  <si>
    <t>덴소 / 포장 / 상차</t>
    <phoneticPr fontId="2" type="noConversion"/>
  </si>
  <si>
    <t>송영국</t>
    <phoneticPr fontId="2" type="noConversion"/>
  </si>
  <si>
    <t>HIO(5)</t>
    <phoneticPr fontId="2" type="noConversion"/>
  </si>
  <si>
    <t>-</t>
    <phoneticPr fontId="2" type="noConversion"/>
  </si>
  <si>
    <t>6/9 ~ 6/10</t>
    <phoneticPr fontId="2" type="noConversion"/>
  </si>
  <si>
    <t>YN07</t>
    <phoneticPr fontId="2" type="noConversion"/>
  </si>
  <si>
    <t>PV,HH,ER</t>
    <phoneticPr fontId="2" type="noConversion"/>
  </si>
  <si>
    <t>시운전, 자체테스트</t>
    <phoneticPr fontId="2" type="noConversion"/>
  </si>
  <si>
    <t>HIO(2)</t>
    <phoneticPr fontId="2" type="noConversion"/>
  </si>
  <si>
    <t>6/11 ~ 6/12</t>
    <phoneticPr fontId="2" type="noConversion"/>
  </si>
  <si>
    <t>조립</t>
    <phoneticPr fontId="2" type="noConversion"/>
  </si>
  <si>
    <t>HT</t>
    <phoneticPr fontId="2" type="noConversion"/>
  </si>
  <si>
    <t>6/8 ~ 6/9</t>
    <phoneticPr fontId="2" type="noConversion"/>
  </si>
  <si>
    <t>ML</t>
    <phoneticPr fontId="2" type="noConversion"/>
  </si>
  <si>
    <t>조립</t>
    <phoneticPr fontId="2" type="noConversion"/>
  </si>
  <si>
    <t>W308</t>
    <phoneticPr fontId="2" type="noConversion"/>
  </si>
  <si>
    <t>HIO(2), 범양(2)</t>
    <phoneticPr fontId="2" type="noConversion"/>
  </si>
  <si>
    <t>범양(3)</t>
    <phoneticPr fontId="2" type="noConversion"/>
  </si>
  <si>
    <t>HIO(1)</t>
    <phoneticPr fontId="2" type="noConversion"/>
  </si>
  <si>
    <t>송영국</t>
    <phoneticPr fontId="2" type="noConversion"/>
  </si>
  <si>
    <t xml:space="preserve">박해식(오후반차) </t>
    <phoneticPr fontId="2" type="noConversion"/>
  </si>
  <si>
    <t>박주성(오후반차)</t>
    <phoneticPr fontId="2" type="noConversion"/>
  </si>
  <si>
    <t>진진(1), 범양(1)</t>
    <phoneticPr fontId="2" type="noConversion"/>
  </si>
  <si>
    <t>결선 및 정박시운전</t>
    <phoneticPr fontId="2" type="noConversion"/>
  </si>
  <si>
    <t xml:space="preserve">결선, 시운전 및 검사 </t>
    <phoneticPr fontId="2" type="noConversion"/>
  </si>
  <si>
    <t>범양(1)</t>
    <phoneticPr fontId="2" type="noConversion"/>
  </si>
  <si>
    <t>박재규, 신종욱</t>
    <phoneticPr fontId="2" type="noConversion"/>
  </si>
  <si>
    <t>CLAIM</t>
    <phoneticPr fontId="2" type="noConversion"/>
  </si>
  <si>
    <t>HJSC</t>
    <phoneticPr fontId="2" type="noConversion"/>
  </si>
  <si>
    <t>S206</t>
    <phoneticPr fontId="2" type="noConversion"/>
  </si>
  <si>
    <t>CS</t>
    <phoneticPr fontId="2" type="noConversion"/>
  </si>
  <si>
    <t>모터 단자대 수정</t>
    <phoneticPr fontId="2" type="noConversion"/>
  </si>
  <si>
    <t>개인차량</t>
    <phoneticPr fontId="2" type="noConversion"/>
  </si>
  <si>
    <t>A/S</t>
    <phoneticPr fontId="2" type="noConversion"/>
  </si>
  <si>
    <t>인도후</t>
    <phoneticPr fontId="2" type="noConversion"/>
  </si>
  <si>
    <t>인천해양경찰전용부두</t>
    <phoneticPr fontId="2" type="noConversion"/>
  </si>
  <si>
    <t xml:space="preserve">진진(2) </t>
    <phoneticPr fontId="2" type="noConversion"/>
  </si>
  <si>
    <t>S205</t>
    <phoneticPr fontId="2" type="noConversion"/>
  </si>
  <si>
    <t>RB</t>
    <phoneticPr fontId="2" type="noConversion"/>
  </si>
  <si>
    <t>토잉붐 회전축 유격발생으로 인한 고정핀 고정 불가</t>
    <phoneticPr fontId="2" type="noConversion"/>
  </si>
  <si>
    <t>유압 실린더 2개소 손상 및 파킹 부위 파손 발생</t>
    <phoneticPr fontId="2" type="noConversion"/>
  </si>
  <si>
    <t>KT</t>
    <phoneticPr fontId="2" type="noConversion"/>
  </si>
  <si>
    <t>이동</t>
    <phoneticPr fontId="2" type="noConversion"/>
  </si>
  <si>
    <t>점검/조치</t>
    <phoneticPr fontId="2" type="noConversion"/>
  </si>
  <si>
    <t>23주 추가</t>
    <phoneticPr fontId="2" type="noConversion"/>
  </si>
  <si>
    <t>슬립링 결선</t>
    <phoneticPr fontId="2" type="noConversion"/>
  </si>
  <si>
    <t>0160</t>
    <phoneticPr fontId="2" type="noConversion"/>
  </si>
  <si>
    <t>JB#2, JB#3번 설치</t>
    <phoneticPr fontId="2" type="noConversion"/>
  </si>
  <si>
    <t>엔코더 교체</t>
    <phoneticPr fontId="2" type="noConversion"/>
  </si>
  <si>
    <t>인도후</t>
    <phoneticPr fontId="2" type="noConversion"/>
  </si>
  <si>
    <t>진해해군</t>
    <phoneticPr fontId="2" type="noConversion"/>
  </si>
  <si>
    <t>WD</t>
    <phoneticPr fontId="2" type="noConversion"/>
  </si>
  <si>
    <t>가스켓 및 오링 교체</t>
    <phoneticPr fontId="2" type="noConversion"/>
  </si>
  <si>
    <t>HIO(1)</t>
    <phoneticPr fontId="2" type="noConversion"/>
  </si>
  <si>
    <t>CSBC</t>
    <phoneticPr fontId="2" type="noConversion"/>
  </si>
  <si>
    <t>LOAD TEST &amp; 승조원 교육 (13:00 ~ 14:00) / 2번 라싱아이 1개 공급 / Jib  rest  하부 패드 수정 / 케이블 타이 -&gt; 밴딩띠로 교체 요함</t>
    <phoneticPr fontId="2" type="noConversion"/>
  </si>
  <si>
    <t>천상욱</t>
    <phoneticPr fontId="2" type="noConversion"/>
  </si>
  <si>
    <t>시운전 / 자체</t>
    <phoneticPr fontId="2" type="noConversion"/>
  </si>
  <si>
    <t>CLAIM</t>
    <phoneticPr fontId="2" type="noConversion"/>
  </si>
  <si>
    <t>HHI</t>
    <phoneticPr fontId="2" type="noConversion"/>
  </si>
  <si>
    <t>P179</t>
    <phoneticPr fontId="2" type="noConversion"/>
  </si>
  <si>
    <t>KT</t>
    <phoneticPr fontId="2" type="noConversion"/>
  </si>
  <si>
    <t>와이어와 윈치 브라켓 간섭 됨</t>
    <phoneticPr fontId="2" type="noConversion"/>
  </si>
  <si>
    <t>박주성, 김기환</t>
    <phoneticPr fontId="2" type="noConversion"/>
  </si>
  <si>
    <t>금액 (원)</t>
  </si>
  <si>
    <t>비고</t>
  </si>
  <si>
    <t>국고보조금</t>
  </si>
  <si>
    <t>총액의 70% 지원</t>
  </si>
  <si>
    <t>기업부담금</t>
  </si>
  <si>
    <t>당사 집행 금액 (30%)</t>
  </si>
  <si>
    <t>바우처 총액</t>
  </si>
  <si>
    <t>실제 사용 가능 자산</t>
  </si>
  <si>
    <t>박주성</t>
    <phoneticPr fontId="2" type="noConversion"/>
  </si>
  <si>
    <t>HH,PV,ER</t>
    <phoneticPr fontId="2" type="noConversion"/>
  </si>
  <si>
    <t>해체</t>
    <phoneticPr fontId="2" type="noConversion"/>
  </si>
  <si>
    <t>P174</t>
    <phoneticPr fontId="2" type="noConversion"/>
  </si>
  <si>
    <t>FAT</t>
    <phoneticPr fontId="2" type="noConversion"/>
  </si>
  <si>
    <t>6/16 ~ 6/17</t>
    <phoneticPr fontId="2" type="noConversion"/>
  </si>
  <si>
    <t>6/18 ~ 6/19</t>
    <phoneticPr fontId="2" type="noConversion"/>
  </si>
  <si>
    <t>6/15 ~ 6/17</t>
    <phoneticPr fontId="2" type="noConversion"/>
  </si>
  <si>
    <t>S207</t>
    <phoneticPr fontId="2" type="noConversion"/>
  </si>
  <si>
    <t>원인분석예정</t>
    <phoneticPr fontId="2" type="noConversion"/>
  </si>
  <si>
    <t>박주성</t>
    <phoneticPr fontId="2" type="noConversion"/>
  </si>
  <si>
    <t>격벽 설치 / PUNCH 조치</t>
    <phoneticPr fontId="2" type="noConversion"/>
  </si>
  <si>
    <t>김은영(오후반차)</t>
    <phoneticPr fontId="2" type="noConversion"/>
  </si>
  <si>
    <t>김은영(오후반차)</t>
    <phoneticPr fontId="2" type="noConversion"/>
  </si>
  <si>
    <t>Claim No.</t>
  </si>
  <si>
    <t>발생일</t>
  </si>
  <si>
    <t>제목</t>
  </si>
  <si>
    <t>내용 요약</t>
  </si>
  <si>
    <t>요구사항</t>
  </si>
  <si>
    <t>Stbd Aft Aux Crane</t>
  </si>
  <si>
    <t>Override Cab Switch 미작동</t>
  </si>
  <si>
    <t>캡 내 오버라이드 스위치 작동 시 PLC 입력은 있으나 출력 없음. 로드 컨트롤러 비밀번호 미제공으로 조정 불가</t>
  </si>
  <si>
    <t>긴급 기술 지원 연락 요청</t>
  </si>
  <si>
    <t>Deck Machinery</t>
  </si>
  <si>
    <t>크레인 3기 복합 운영 문제</t>
  </si>
  <si>
    <t>No.1(FWD SB): 고정 볼트 이완·나사산 손상 / No.2(AFT SB): 1기능만 사용 가능 / No.3(PORT FWD): 1기능만 사용 가능, 훅 래치 스프링 이완, 안전사고 발생</t>
  </si>
  <si>
    <t>2기능 동시 사용 위한 설정/펌프 압력 변경 기술 지원 및 출장</t>
  </si>
  <si>
    <t>Stbd Aft 25T Crane</t>
  </si>
  <si>
    <t>Parking Pin 고착</t>
  </si>
  <si>
    <t>파킹 핀 2번(52°) 중간 위치에서 고착. 부시 정렬 불량으로 인한 심한 스코어링 및 타원형 변형 확인</t>
  </si>
  <si>
    <t>출장 수리 지원 요청</t>
  </si>
  <si>
    <t>Techflower Crane Parking Pins</t>
  </si>
  <si>
    <t>Parking Pin 반복 불량</t>
  </si>
  <si>
    <t>납품 초기부터 핀 정렬 불량. 반복 고착으로 핀 스코어링·굽힘 발생. 1핀은 전기적 바이패스 조치로 운용 중</t>
  </si>
  <si>
    <t>즉각 수리/교체 및 정렬 조치. 1핀 운용 가능성 검토 요청</t>
  </si>
  <si>
    <t>Stbd Aft Aux Crane (332-MA-002 Telescopic)</t>
  </si>
  <si>
    <t>훅 속도 저하</t>
  </si>
  <si>
    <t>정격 12m/min 대비 하강 15.6m/min, 상승 10m/min으로 저하. CTV 화물 이적 시 안전 위협</t>
  </si>
  <si>
    <t>훅 속도 정상화</t>
  </si>
  <si>
    <t>Port Aux Crane</t>
  </si>
  <si>
    <t>오일 레벨 스위치 고장</t>
  </si>
  <si>
    <t>유면계 정상이나 저유위 경보 발생. 레벨 스위치(플로트) 단선 확인</t>
  </si>
  <si>
    <t>교체 부품 공급 요청 (P/N: H1KC-020100-HP/09)</t>
  </si>
  <si>
    <t>유압 호스 드럼 이탈 및 손상</t>
  </si>
  <si>
    <t>텔레스코픽 붐 수축 중 호스 드럼 이탈. 키퍼 바 부적합으로 호스 및 릴 피팅 손상</t>
  </si>
  <si>
    <t>신규 호스/피팅 교체 및 견고한 키퍼 바 재설치. 크레인 운용 중단 중</t>
  </si>
  <si>
    <t>—</t>
  </si>
  <si>
    <t>Stbd Fwd Aux Crane Boom Tip</t>
  </si>
  <si>
    <t>붐 선단 투광등 불량</t>
  </si>
  <si>
    <t>LED 드라이버 2개 모두 고장, 단자함 내 부식 확인</t>
  </si>
  <si>
    <t>적절한 IP 등급의 교체 투광등 공급 (Type: CF200M19-120N-918)</t>
  </si>
  <si>
    <t>Stbd Aft Techflower Crane</t>
  </si>
  <si>
    <t>크레인 캡 윈도우 프레임 부식</t>
  </si>
  <si>
    <t>인도 후 1년 미만 선박에서 프레임 부풀음·녹 발생. 창문 탈락 위험</t>
  </si>
  <si>
    <t>윈도우 프레임 교체 및 도장 사양 재검토</t>
  </si>
  <si>
    <t>Port Fwd Aux Crane</t>
  </si>
  <si>
    <t>Parking Pin 정렬 불량 및 부시·센서 손상</t>
  </si>
  <si>
    <t>파킹 위치 진입 중 핀 정렬 불량으로 부시 2개·근접 센서 2개 손상</t>
  </si>
  <si>
    <t>부시 2개, 근접 센서 2개 공급 및 파킹 핀 정렬 조정 출장</t>
  </si>
  <si>
    <t>20T Port Fwd / 25T Stbd Aft Crane</t>
  </si>
  <si>
    <t>로드셀 불량 및 Man-riding 오버로드 로직 문제</t>
  </si>
  <si>
    <t>LOLER 검사 불합격(로드셀 부정확). Man-riding 오버로드 시 크레인 완전 정지(하강 불가) — 안전 위협</t>
  </si>
  <si>
    <t>로드셀 조사/교정. Man-riding 오버로드 로직 수정(경보+권상 정지만, 완전 정지 불가)</t>
  </si>
  <si>
    <t>25T Stbd Aft Techflower Crane</t>
  </si>
  <si>
    <t>텔레스코프 기능 불량 및 인코더 고장</t>
  </si>
  <si>
    <t>리프팅 중 크레인 정지, 훅 높이 인코더 축 고착·커플링 파손. 텔레 기능 바이패스 모드에서만 작동</t>
  </si>
  <si>
    <t>긴급 OEM 출장 — 부품 공급 및 3기 크레인 안전 관련 문제 통합 조치</t>
  </si>
  <si>
    <t>20T Port Fwd (Deck Machinery)</t>
  </si>
  <si>
    <t>텔레스코픽 붐 램 마운트 균열</t>
  </si>
  <si>
    <t>2단계 텔레 붐 유압 램 마운트 용접부 주위 균열 발생</t>
  </si>
  <si>
    <t>구조 평가 및 승인된 수리 계획 제출</t>
  </si>
  <si>
    <t>Techflower Cranes (전체)</t>
  </si>
  <si>
    <t>볼트 체결 불량 및 낙하물 우려</t>
  </si>
  <si>
    <t>다수 볼트/유압 램 키퍼 플레이트 이완(록타이트 미적용). 풍속계 로터 탈락(2.5m 낙하) 발견</t>
  </si>
  <si>
    <t>전체 볼트 체결 검토 및 대안 풍속계 제공</t>
  </si>
  <si>
    <t>인도후</t>
    <phoneticPr fontId="2" type="noConversion"/>
  </si>
  <si>
    <t>묵호항</t>
    <phoneticPr fontId="2" type="noConversion"/>
  </si>
  <si>
    <t>SWN0284</t>
    <phoneticPr fontId="2" type="noConversion"/>
  </si>
  <si>
    <t>RB</t>
    <phoneticPr fontId="2" type="noConversion"/>
  </si>
  <si>
    <t>비상 HPU 오일탱크 용접부 쪽에서 누유 점검/수정, 명판 설치</t>
    <phoneticPr fontId="2" type="noConversion"/>
  </si>
  <si>
    <t>유압 실린더 파이프 교체</t>
    <phoneticPr fontId="2" type="noConversion"/>
  </si>
  <si>
    <t>0160</t>
    <phoneticPr fontId="2" type="noConversion"/>
  </si>
  <si>
    <t>무상</t>
    <phoneticPr fontId="2" type="noConversion"/>
  </si>
  <si>
    <t>인도전</t>
    <phoneticPr fontId="2" type="noConversion"/>
  </si>
  <si>
    <t>HHI</t>
    <phoneticPr fontId="2" type="noConversion"/>
  </si>
  <si>
    <t>P179</t>
    <phoneticPr fontId="2" type="noConversion"/>
  </si>
  <si>
    <t>0160</t>
    <phoneticPr fontId="2" type="noConversion"/>
  </si>
  <si>
    <t>초기작동</t>
    <phoneticPr fontId="2" type="noConversion"/>
  </si>
  <si>
    <t>전광진</t>
    <phoneticPr fontId="2" type="noConversion"/>
  </si>
  <si>
    <t>단자대 교체</t>
    <phoneticPr fontId="2" type="noConversion"/>
  </si>
  <si>
    <t xml:space="preserve">초기 작동 (스토퍼 16개) </t>
    <phoneticPr fontId="2" type="noConversion"/>
  </si>
  <si>
    <t>HIO(1)</t>
    <phoneticPr fontId="2" type="noConversion"/>
  </si>
  <si>
    <t>박해식</t>
    <phoneticPr fontId="2" type="noConversion"/>
  </si>
  <si>
    <t>이광형</t>
    <phoneticPr fontId="2" type="noConversion"/>
  </si>
  <si>
    <t>24주 추가</t>
    <phoneticPr fontId="2" type="noConversion"/>
  </si>
  <si>
    <t>검사 입회</t>
    <phoneticPr fontId="2" type="noConversion"/>
  </si>
  <si>
    <t>범양(1)</t>
    <phoneticPr fontId="2" type="noConversion"/>
  </si>
  <si>
    <t>박성용(사무실)</t>
    <phoneticPr fontId="2" type="noConversion"/>
  </si>
  <si>
    <t>릴 결선</t>
    <phoneticPr fontId="2" type="noConversion"/>
  </si>
  <si>
    <t>박성용</t>
    <phoneticPr fontId="2" type="noConversion"/>
  </si>
  <si>
    <t>A/S</t>
    <phoneticPr fontId="2" type="noConversion"/>
  </si>
  <si>
    <t>인도전</t>
    <phoneticPr fontId="2" type="noConversion"/>
  </si>
  <si>
    <t>HHI</t>
    <phoneticPr fontId="2" type="noConversion"/>
  </si>
  <si>
    <t>P174</t>
    <phoneticPr fontId="2" type="noConversion"/>
  </si>
  <si>
    <t>ML</t>
    <phoneticPr fontId="2" type="noConversion"/>
  </si>
  <si>
    <t>설치</t>
    <phoneticPr fontId="2" type="noConversion"/>
  </si>
  <si>
    <t>박해식</t>
    <phoneticPr fontId="2" type="noConversion"/>
  </si>
  <si>
    <t>HIO(2)</t>
    <phoneticPr fontId="2" type="noConversion"/>
  </si>
  <si>
    <t>무상</t>
    <phoneticPr fontId="2" type="noConversion"/>
  </si>
  <si>
    <t>0160</t>
    <phoneticPr fontId="2" type="noConversion"/>
  </si>
  <si>
    <t>RB</t>
    <phoneticPr fontId="2" type="noConversion"/>
  </si>
  <si>
    <t>판넬 접지 누락</t>
    <phoneticPr fontId="2" type="noConversion"/>
  </si>
  <si>
    <t>가야(1)</t>
    <phoneticPr fontId="2" type="noConversion"/>
  </si>
  <si>
    <t>박성용</t>
    <phoneticPr fontId="2" type="noConversion"/>
  </si>
  <si>
    <t>알람 작동 사전 확인 요함</t>
    <phoneticPr fontId="2" type="noConversion"/>
  </si>
  <si>
    <t>출발 전 도착시간 당직자에게 사전 연락요함</t>
    <phoneticPr fontId="2" type="noConversion"/>
  </si>
  <si>
    <t>독도함 폐자재 정리</t>
    <phoneticPr fontId="2" type="noConversion"/>
  </si>
  <si>
    <t>6/22 ~ 6/24</t>
    <phoneticPr fontId="2" type="noConversion"/>
  </si>
  <si>
    <t>PA55</t>
    <phoneticPr fontId="2" type="noConversion"/>
  </si>
  <si>
    <t>조립, 설치, 시운전, 자체테스트</t>
    <phoneticPr fontId="2" type="noConversion"/>
  </si>
  <si>
    <t>도장, 조립</t>
    <phoneticPr fontId="2" type="noConversion"/>
  </si>
  <si>
    <t>NO.1 NO.4 유압 실린더 파이프 교체</t>
    <phoneticPr fontId="2" type="noConversion"/>
  </si>
  <si>
    <t>와이어로프 꼬임 수정 / LOAD TEST &amp; 승조원 교육 (13:00 ~ 14:00)</t>
    <phoneticPr fontId="2" type="noConversion"/>
  </si>
  <si>
    <t>LOAD TEST (8:00 ~ 9:00) , 와이어 꼬임 수정</t>
    <phoneticPr fontId="2" type="noConversion"/>
  </si>
  <si>
    <t>2번 라싱아이 1개 공급 / Jib  rest  하부 패드 설치 / 케이블 타이 -&gt; 밴딩띠로 교체 요함 / 홀메공 / 와이퍼 점검 / 명판 펀칭 / 승조원교육</t>
    <phoneticPr fontId="2" type="noConversion"/>
  </si>
  <si>
    <t>이광형</t>
    <phoneticPr fontId="2" type="noConversion"/>
  </si>
  <si>
    <t>A/S</t>
    <phoneticPr fontId="2" type="noConversion"/>
  </si>
  <si>
    <t>인도전</t>
    <phoneticPr fontId="2" type="noConversion"/>
  </si>
  <si>
    <t>HHI</t>
    <phoneticPr fontId="2" type="noConversion"/>
  </si>
  <si>
    <t>P178</t>
    <phoneticPr fontId="2" type="noConversion"/>
  </si>
  <si>
    <t>PE</t>
    <phoneticPr fontId="2" type="noConversion"/>
  </si>
  <si>
    <t>범양(1), 우신(1)</t>
    <phoneticPr fontId="2" type="noConversion"/>
  </si>
  <si>
    <t>박성용</t>
    <phoneticPr fontId="2" type="noConversion"/>
  </si>
  <si>
    <t>설치 (크레인 9시)</t>
    <phoneticPr fontId="2" type="noConversion"/>
  </si>
  <si>
    <t>러핑 실린더 소음 수정</t>
    <phoneticPr fontId="2" type="noConversion"/>
  </si>
  <si>
    <t>HIO(1)</t>
    <phoneticPr fontId="2" type="noConversion"/>
  </si>
  <si>
    <t>0160</t>
    <phoneticPr fontId="2" type="noConversion"/>
  </si>
  <si>
    <t>천상욱</t>
    <phoneticPr fontId="2" type="noConversion"/>
  </si>
  <si>
    <t>오태호</t>
    <phoneticPr fontId="2" type="noConversion"/>
  </si>
  <si>
    <t>리미트 추? 가져와달라 함(삼원담당자)
김유신</t>
    <phoneticPr fontId="2" type="noConversion"/>
  </si>
  <si>
    <t>김유신</t>
    <phoneticPr fontId="2" type="noConversion"/>
  </si>
  <si>
    <t xml:space="preserve">진진(1) </t>
    <phoneticPr fontId="2" type="noConversion"/>
  </si>
  <si>
    <t>출발 전 도착시간 사전 연락요함
진진(2) -&gt; 진진(1)</t>
    <phoneticPr fontId="2" type="noConversion"/>
  </si>
  <si>
    <t>A/S</t>
    <phoneticPr fontId="2" type="noConversion"/>
  </si>
  <si>
    <t>P179</t>
    <phoneticPr fontId="2" type="noConversion"/>
  </si>
  <si>
    <t>KT, RB</t>
    <phoneticPr fontId="2" type="noConversion"/>
  </si>
  <si>
    <t>HHI</t>
    <phoneticPr fontId="2" type="noConversion"/>
  </si>
  <si>
    <t>승조원 교육 (실기만_오전/오후)</t>
    <phoneticPr fontId="2" type="noConversion"/>
  </si>
  <si>
    <t>무상</t>
    <phoneticPr fontId="2" type="noConversion"/>
  </si>
  <si>
    <t>우신(2)</t>
    <phoneticPr fontId="2" type="noConversion"/>
  </si>
  <si>
    <t>SKMT</t>
    <phoneticPr fontId="2" type="noConversion"/>
  </si>
  <si>
    <t>GNN0019</t>
    <phoneticPr fontId="2" type="noConversion"/>
  </si>
  <si>
    <t>HD, RCS</t>
    <phoneticPr fontId="2" type="noConversion"/>
  </si>
  <si>
    <t>설치 기술 지원</t>
    <phoneticPr fontId="2" type="noConversion"/>
  </si>
  <si>
    <t>범양(1), 디에스티(1)</t>
    <phoneticPr fontId="2" type="noConversion"/>
  </si>
  <si>
    <t>우신차량</t>
    <phoneticPr fontId="2" type="noConversion"/>
  </si>
  <si>
    <t>플렉시블 호스 연결 / 초기작동</t>
    <phoneticPr fontId="2" type="noConversion"/>
  </si>
  <si>
    <t>DST(1)</t>
    <phoneticPr fontId="2" type="noConversion"/>
  </si>
  <si>
    <t>무상</t>
    <phoneticPr fontId="2" type="noConversion"/>
  </si>
  <si>
    <t>0160</t>
    <phoneticPr fontId="2" type="noConversion"/>
  </si>
  <si>
    <t>김동명</t>
    <phoneticPr fontId="2" type="noConversion"/>
  </si>
  <si>
    <t>박성용(헬기)</t>
    <phoneticPr fontId="2" type="noConversion"/>
  </si>
  <si>
    <t>릴 결선 / 초기작동</t>
    <phoneticPr fontId="2" type="noConversion"/>
  </si>
  <si>
    <t>시운전 / 검사 준비</t>
    <phoneticPr fontId="2" type="noConversion"/>
  </si>
  <si>
    <t>GNN0018</t>
    <phoneticPr fontId="2" type="noConversion"/>
  </si>
  <si>
    <t>승조원 교육 (오후)</t>
    <phoneticPr fontId="2" type="noConversion"/>
  </si>
  <si>
    <t>Ramp &amp; Dam과 Stopper간 체결불량 2개소 현장 확인/ 조치방안 수립 (오전만 가능)</t>
    <phoneticPr fontId="2" type="noConversion"/>
  </si>
  <si>
    <t>박성용</t>
    <phoneticPr fontId="2" type="noConversion"/>
  </si>
  <si>
    <t>0160</t>
    <phoneticPr fontId="2" type="noConversion"/>
  </si>
  <si>
    <t>개인차량</t>
    <phoneticPr fontId="2" type="noConversion"/>
  </si>
  <si>
    <t>결선 작업, 빌지센서 결선, 케이블그랜드 위치이동</t>
    <phoneticPr fontId="2" type="noConversion"/>
  </si>
  <si>
    <t>동아(1)</t>
    <phoneticPr fontId="2" type="noConversion"/>
  </si>
  <si>
    <t>박주성, 김동명</t>
    <phoneticPr fontId="2" type="noConversion"/>
  </si>
  <si>
    <t>김용훈</t>
    <phoneticPr fontId="2" type="noConversion"/>
  </si>
  <si>
    <t>A/S</t>
    <phoneticPr fontId="2" type="noConversion"/>
  </si>
  <si>
    <t>인도후</t>
    <phoneticPr fontId="2" type="noConversion"/>
  </si>
  <si>
    <t>진해해군</t>
    <phoneticPr fontId="2" type="noConversion"/>
  </si>
  <si>
    <t>이순신함</t>
    <phoneticPr fontId="2" type="noConversion"/>
  </si>
  <si>
    <t>RB</t>
    <phoneticPr fontId="2" type="noConversion"/>
  </si>
  <si>
    <t>근접리미트 교체, 로드셀 반출</t>
    <phoneticPr fontId="2" type="noConversion"/>
  </si>
  <si>
    <t>김용진</t>
    <phoneticPr fontId="2" type="noConversion"/>
  </si>
  <si>
    <t>무상</t>
    <phoneticPr fontId="2" type="noConversion"/>
  </si>
  <si>
    <t>25주 추가</t>
    <phoneticPr fontId="2" type="noConversion"/>
  </si>
  <si>
    <t>SN2729</t>
    <phoneticPr fontId="2" type="noConversion"/>
  </si>
  <si>
    <t>P/D 포장</t>
    <phoneticPr fontId="2" type="noConversion"/>
  </si>
  <si>
    <t>러핑 실린더 소음 수정 / 검사준비</t>
    <phoneticPr fontId="2" type="noConversion"/>
  </si>
  <si>
    <t>6/29 ~ 7/01</t>
    <phoneticPr fontId="2" type="noConversion"/>
  </si>
  <si>
    <t>와이어 리깅, 시운전, 자체테스트</t>
    <phoneticPr fontId="2" type="noConversion"/>
  </si>
  <si>
    <t>6/29 ~ 7/03</t>
    <phoneticPr fontId="2" type="noConversion"/>
  </si>
  <si>
    <t>도장수정, 시운전, 자체테스트</t>
    <phoneticPr fontId="2" type="noConversion"/>
  </si>
  <si>
    <t>7/01 ~ 7/03</t>
    <phoneticPr fontId="2" type="noConversion"/>
  </si>
  <si>
    <t>HEH</t>
    <phoneticPr fontId="2" type="noConversion"/>
  </si>
  <si>
    <t>특수성능 JIG준비</t>
    <phoneticPr fontId="2" type="noConversion"/>
  </si>
  <si>
    <t>이시맥</t>
    <phoneticPr fontId="2" type="noConversion"/>
  </si>
  <si>
    <t>이시맥</t>
    <phoneticPr fontId="2" type="noConversion"/>
  </si>
  <si>
    <t xml:space="preserve">릴 결선 </t>
    <phoneticPr fontId="2" type="noConversion"/>
  </si>
  <si>
    <t>우신(2)</t>
    <phoneticPr fontId="2" type="noConversion"/>
  </si>
  <si>
    <t>31주</t>
    <phoneticPr fontId="2" type="noConversion"/>
  </si>
  <si>
    <t>32주</t>
    <phoneticPr fontId="2" type="noConversion"/>
  </si>
  <si>
    <t>33주</t>
    <phoneticPr fontId="2" type="noConversion"/>
  </si>
  <si>
    <t>34주</t>
    <phoneticPr fontId="2" type="noConversion"/>
  </si>
  <si>
    <t>35주</t>
    <phoneticPr fontId="2" type="noConversion"/>
  </si>
  <si>
    <t>헬기이송장치 설치 관련, 현장실사 및 견적 (9:30)</t>
    <phoneticPr fontId="2" type="noConversion"/>
  </si>
  <si>
    <t>오전만. 오후CNM. 교육교재 전달요함</t>
    <phoneticPr fontId="2" type="noConversion"/>
  </si>
  <si>
    <t>동아(2)</t>
    <phoneticPr fontId="2" type="noConversion"/>
  </si>
  <si>
    <t>A/S</t>
    <phoneticPr fontId="2" type="noConversion"/>
  </si>
  <si>
    <t>인도전</t>
    <phoneticPr fontId="2" type="noConversion"/>
  </si>
  <si>
    <t>SHI</t>
    <phoneticPr fontId="2" type="noConversion"/>
  </si>
  <si>
    <t>SN2661</t>
    <phoneticPr fontId="2" type="noConversion"/>
  </si>
  <si>
    <t>LAC</t>
    <phoneticPr fontId="2" type="noConversion"/>
  </si>
  <si>
    <t>6/30일 미완료시</t>
    <phoneticPr fontId="2" type="noConversion"/>
  </si>
  <si>
    <t>초기작동 / 시운전, 검사준비</t>
    <phoneticPr fontId="2" type="noConversion"/>
  </si>
  <si>
    <t>시운전, 검사준비</t>
    <phoneticPr fontId="2" type="noConversion"/>
  </si>
  <si>
    <t>인도전</t>
    <phoneticPr fontId="2" type="noConversion"/>
  </si>
  <si>
    <t>RB</t>
    <phoneticPr fontId="2" type="noConversion"/>
  </si>
  <si>
    <t>김용진</t>
    <phoneticPr fontId="2" type="noConversion"/>
  </si>
  <si>
    <t>HIO(1)</t>
    <phoneticPr fontId="2" type="noConversion"/>
  </si>
  <si>
    <t>무상</t>
    <phoneticPr fontId="2" type="noConversion"/>
  </si>
  <si>
    <t>JB#2(케이블 그랜드 교체), JB#3번 설치</t>
    <phoneticPr fontId="2" type="noConversion"/>
  </si>
  <si>
    <t>최재호, 유동현</t>
    <phoneticPr fontId="2" type="noConversion"/>
  </si>
  <si>
    <t>김용훈 OR 정지훈</t>
    <phoneticPr fontId="2" type="noConversion"/>
  </si>
  <si>
    <t>ML</t>
    <phoneticPr fontId="2" type="noConversion"/>
  </si>
  <si>
    <t>후크 교체</t>
    <phoneticPr fontId="2" type="noConversion"/>
  </si>
  <si>
    <t>박성용</t>
    <phoneticPr fontId="2" type="noConversion"/>
  </si>
  <si>
    <t>무상</t>
    <phoneticPr fontId="2" type="noConversion"/>
  </si>
  <si>
    <t>0160</t>
    <phoneticPr fontId="2" type="noConversion"/>
  </si>
  <si>
    <t>인도후</t>
    <phoneticPr fontId="2" type="noConversion"/>
  </si>
  <si>
    <t>평택2함대</t>
    <phoneticPr fontId="2" type="noConversion"/>
  </si>
  <si>
    <t>P168</t>
    <phoneticPr fontId="2" type="noConversion"/>
  </si>
  <si>
    <t>HD</t>
    <phoneticPr fontId="2" type="noConversion"/>
  </si>
  <si>
    <t>와이어로프 드럼 가이드 시브 작동불량 조치</t>
    <phoneticPr fontId="2" type="noConversion"/>
  </si>
  <si>
    <t>CNM(3)</t>
    <phoneticPr fontId="2" type="noConversion"/>
  </si>
  <si>
    <t>개인차량</t>
    <phoneticPr fontId="2" type="noConversion"/>
  </si>
  <si>
    <t>스토퍼 설치(8개) / 시운전, 검사 준비</t>
    <phoneticPr fontId="2" type="noConversion"/>
  </si>
  <si>
    <t>박주성, 김용진</t>
    <phoneticPr fontId="2" type="noConversion"/>
  </si>
  <si>
    <r>
      <t xml:space="preserve">HIO(1), </t>
    </r>
    <r>
      <rPr>
        <sz val="10"/>
        <color rgb="FFFF0000"/>
        <rFont val="맑은 고딕"/>
        <family val="3"/>
        <charset val="129"/>
        <scheme val="minor"/>
      </rPr>
      <t>우신(1)</t>
    </r>
    <phoneticPr fontId="2" type="noConversion"/>
  </si>
  <si>
    <t>김용진</t>
    <phoneticPr fontId="2" type="noConversion"/>
  </si>
  <si>
    <t>개인차량</t>
    <phoneticPr fontId="2" type="noConversion"/>
  </si>
  <si>
    <t>HOC</t>
    <phoneticPr fontId="2" type="noConversion"/>
  </si>
  <si>
    <t>H7062</t>
    <phoneticPr fontId="2" type="noConversion"/>
  </si>
  <si>
    <t>CNM(1)</t>
    <phoneticPr fontId="2" type="noConversion"/>
  </si>
  <si>
    <t>무상</t>
    <phoneticPr fontId="2" type="noConversion"/>
  </si>
  <si>
    <t>개인차량</t>
    <phoneticPr fontId="2" type="noConversion"/>
  </si>
  <si>
    <t>에이치아이오 엔지니어링</t>
    <phoneticPr fontId="2" type="noConversion"/>
  </si>
  <si>
    <t>에이치아이오 엔지니어링</t>
    <phoneticPr fontId="2" type="noConversion"/>
  </si>
  <si>
    <t>탑재 지원</t>
    <phoneticPr fontId="2" type="noConversion"/>
  </si>
  <si>
    <t>박해식</t>
    <phoneticPr fontId="2" type="noConversion"/>
  </si>
  <si>
    <t>김유신X</t>
    <phoneticPr fontId="2" type="noConversion"/>
  </si>
  <si>
    <t>이시맥</t>
    <phoneticPr fontId="2" type="noConversion"/>
  </si>
  <si>
    <t>박주성, 김용진, 김동명</t>
    <phoneticPr fontId="2" type="noConversion"/>
  </si>
  <si>
    <t>검사 입회</t>
    <phoneticPr fontId="2" type="noConversion"/>
  </si>
  <si>
    <t>코멘트 조치 및 검사 입회</t>
    <phoneticPr fontId="2" type="noConversion"/>
  </si>
  <si>
    <t>사전품의 완료
업체변경(진진-&gt;우신)</t>
    <phoneticPr fontId="2" type="noConversion"/>
  </si>
  <si>
    <t>진진산업</t>
    <phoneticPr fontId="2" type="noConversion"/>
  </si>
  <si>
    <t>범양마린엔지니어링</t>
    <phoneticPr fontId="2" type="noConversion"/>
  </si>
  <si>
    <t>CLAIM</t>
    <phoneticPr fontId="2" type="noConversion"/>
  </si>
  <si>
    <t>KT</t>
    <phoneticPr fontId="2" type="noConversion"/>
  </si>
  <si>
    <t>실린더 소음 관련 업무 협의</t>
    <phoneticPr fontId="2" type="noConversion"/>
  </si>
  <si>
    <t>RCS, HD</t>
    <phoneticPr fontId="2" type="noConversion"/>
  </si>
  <si>
    <t>빌지센서 설치지원 외</t>
    <phoneticPr fontId="2" type="noConversion"/>
  </si>
  <si>
    <t>실린더 베어링 교체</t>
    <phoneticPr fontId="2" type="noConversion"/>
  </si>
  <si>
    <t>박주성, 김용진, 박해식</t>
    <phoneticPr fontId="2" type="noConversion"/>
  </si>
  <si>
    <t>HIO(1)</t>
    <phoneticPr fontId="2" type="noConversion"/>
  </si>
  <si>
    <t>무상</t>
    <phoneticPr fontId="2" type="noConversion"/>
  </si>
  <si>
    <t>0160</t>
    <phoneticPr fontId="2" type="noConversion"/>
  </si>
  <si>
    <t>폴딩레일 시운전/세팅</t>
    <phoneticPr fontId="2" type="noConversion"/>
  </si>
  <si>
    <t>박주성</t>
    <phoneticPr fontId="2" type="noConversion"/>
  </si>
  <si>
    <t>범양(1)</t>
    <phoneticPr fontId="2" type="noConversion"/>
  </si>
  <si>
    <t>CLAIM</t>
    <phoneticPr fontId="2" type="noConversion"/>
  </si>
  <si>
    <t>인도후</t>
    <phoneticPr fontId="2" type="noConversion"/>
  </si>
  <si>
    <t>제주해군</t>
    <phoneticPr fontId="2" type="noConversion"/>
  </si>
  <si>
    <t>BR</t>
    <phoneticPr fontId="2" type="noConversion"/>
  </si>
  <si>
    <t>박주성, 임상섭</t>
    <phoneticPr fontId="2" type="noConversion"/>
  </si>
  <si>
    <t>현대MIT(2)</t>
    <phoneticPr fontId="2" type="noConversion"/>
  </si>
  <si>
    <t>개인차량</t>
    <phoneticPr fontId="2" type="noConversion"/>
  </si>
  <si>
    <t>김용진</t>
    <phoneticPr fontId="2" type="noConversion"/>
  </si>
  <si>
    <t>무상</t>
    <phoneticPr fontId="2" type="noConversion"/>
  </si>
  <si>
    <t>0160</t>
    <phoneticPr fontId="2" type="noConversion"/>
  </si>
  <si>
    <t>우신(1)</t>
    <phoneticPr fontId="2" type="noConversion"/>
  </si>
  <si>
    <t>HOC</t>
    <phoneticPr fontId="2" type="noConversion"/>
  </si>
  <si>
    <t>보강바 수정, STW</t>
    <phoneticPr fontId="2" type="noConversion"/>
  </si>
  <si>
    <t>우신(2)</t>
    <phoneticPr fontId="2" type="noConversion"/>
  </si>
  <si>
    <t>엔코더 진동 점검/조치, PULLEY STAND 변형 점검/조치방안 협의</t>
    <phoneticPr fontId="2" type="noConversion"/>
  </si>
  <si>
    <t>GNN0018</t>
    <phoneticPr fontId="2" type="noConversion"/>
  </si>
  <si>
    <t>HD</t>
    <phoneticPr fontId="2" type="noConversion"/>
  </si>
  <si>
    <t>등화관제 불량 수정/ 검사 준비</t>
    <phoneticPr fontId="2" type="noConversion"/>
  </si>
  <si>
    <t>SKMT</t>
    <phoneticPr fontId="2" type="noConversion"/>
  </si>
  <si>
    <t>ML</t>
    <phoneticPr fontId="2" type="noConversion"/>
  </si>
  <si>
    <t xml:space="preserve">로드셀, 인디게이터 설치, 케이블 포설, 밴딩 작업 </t>
    <phoneticPr fontId="2" type="noConversion"/>
  </si>
  <si>
    <t>A/S</t>
    <phoneticPr fontId="2" type="noConversion"/>
  </si>
  <si>
    <t>STW</t>
    <phoneticPr fontId="2" type="noConversion"/>
  </si>
  <si>
    <t>26주 추가</t>
    <phoneticPr fontId="2" type="noConversion"/>
  </si>
  <si>
    <t>사내작업</t>
    <phoneticPr fontId="2" type="noConversion"/>
  </si>
  <si>
    <t>납품전</t>
    <phoneticPr fontId="2" type="noConversion"/>
  </si>
  <si>
    <t>TF</t>
    <phoneticPr fontId="2" type="noConversion"/>
  </si>
  <si>
    <t>YN07</t>
    <phoneticPr fontId="2" type="noConversion"/>
  </si>
  <si>
    <t>PV, HH</t>
    <phoneticPr fontId="2" type="noConversion"/>
  </si>
  <si>
    <t>송영국</t>
    <phoneticPr fontId="2" type="noConversion"/>
  </si>
  <si>
    <t>우신(1)</t>
    <phoneticPr fontId="2" type="noConversion"/>
  </si>
  <si>
    <t>-</t>
    <phoneticPr fontId="2" type="noConversion"/>
  </si>
  <si>
    <t>소음 측정 시 크레인 운용 지원</t>
    <phoneticPr fontId="2" type="noConversion"/>
  </si>
  <si>
    <t>동아(1)</t>
    <phoneticPr fontId="2" type="noConversion"/>
  </si>
  <si>
    <t>결선, 초기작동</t>
    <phoneticPr fontId="2" type="noConversion"/>
  </si>
  <si>
    <t>긴급작업으로 사전품의 누락</t>
    <phoneticPr fontId="2" type="noConversion"/>
  </si>
  <si>
    <t>도면불량</t>
    <phoneticPr fontId="2" type="noConversion"/>
  </si>
  <si>
    <t>계약사항</t>
    <phoneticPr fontId="2" type="noConversion"/>
  </si>
  <si>
    <t>보증수리</t>
    <phoneticPr fontId="2" type="noConversion"/>
  </si>
  <si>
    <t>플렉시블 호스로 인한 배관 충돌 점검/조치</t>
    <phoneticPr fontId="2" type="noConversion"/>
  </si>
  <si>
    <t>PA55</t>
    <phoneticPr fontId="2" type="noConversion"/>
  </si>
  <si>
    <t>CS</t>
    <phoneticPr fontId="2" type="noConversion"/>
  </si>
  <si>
    <t>이시맥</t>
    <phoneticPr fontId="2" type="noConversion"/>
  </si>
  <si>
    <t>7/6 ~ 7/7</t>
    <phoneticPr fontId="2" type="noConversion"/>
  </si>
  <si>
    <t>범양(2)</t>
    <phoneticPr fontId="2" type="noConversion"/>
  </si>
  <si>
    <t>HT</t>
    <phoneticPr fontId="2" type="noConversion"/>
  </si>
  <si>
    <t>조립</t>
    <phoneticPr fontId="2" type="noConversion"/>
  </si>
  <si>
    <t>범양(3)</t>
    <phoneticPr fontId="2" type="noConversion"/>
  </si>
  <si>
    <t>SN2688</t>
    <phoneticPr fontId="2" type="noConversion"/>
  </si>
  <si>
    <t>PV</t>
    <phoneticPr fontId="2" type="noConversion"/>
  </si>
  <si>
    <t>설치, 시운전</t>
    <phoneticPr fontId="2" type="noConversion"/>
  </si>
  <si>
    <t>HIO(3)</t>
    <phoneticPr fontId="2" type="noConversion"/>
  </si>
  <si>
    <t>7/8 ~ 7/10</t>
    <phoneticPr fontId="2" type="noConversion"/>
  </si>
  <si>
    <t>HH,PV,ER</t>
    <phoneticPr fontId="2" type="noConversion"/>
  </si>
  <si>
    <t xml:space="preserve">포장 </t>
    <phoneticPr fontId="2" type="noConversion"/>
  </si>
  <si>
    <t>HIO(2)</t>
    <phoneticPr fontId="2" type="noConversion"/>
  </si>
  <si>
    <t>FAT, 해체</t>
    <phoneticPr fontId="2" type="noConversion"/>
  </si>
  <si>
    <t>포장</t>
    <phoneticPr fontId="2" type="noConversion"/>
  </si>
  <si>
    <t>SKMT</t>
    <phoneticPr fontId="2" type="noConversion"/>
  </si>
  <si>
    <t>GNN0019</t>
    <phoneticPr fontId="2" type="noConversion"/>
  </si>
  <si>
    <t>CNM(1)</t>
    <phoneticPr fontId="2" type="noConversion"/>
  </si>
  <si>
    <t>개인차량</t>
    <phoneticPr fontId="2" type="noConversion"/>
  </si>
  <si>
    <t>외주정비</t>
    <phoneticPr fontId="2" type="noConversion"/>
  </si>
  <si>
    <t>S400</t>
    <phoneticPr fontId="2" type="noConversion"/>
  </si>
  <si>
    <t>ER</t>
    <phoneticPr fontId="2" type="noConversion"/>
  </si>
  <si>
    <t>유상</t>
    <phoneticPr fontId="2" type="noConversion"/>
  </si>
  <si>
    <t>HHI</t>
    <phoneticPr fontId="2" type="noConversion"/>
  </si>
  <si>
    <t>P178</t>
    <phoneticPr fontId="2" type="noConversion"/>
  </si>
  <si>
    <t>우신(1)</t>
    <phoneticPr fontId="2" type="noConversion"/>
  </si>
  <si>
    <t>박성용</t>
    <phoneticPr fontId="2" type="noConversion"/>
  </si>
  <si>
    <t>P179</t>
    <phoneticPr fontId="2" type="noConversion"/>
  </si>
  <si>
    <t>RB</t>
    <phoneticPr fontId="2" type="noConversion"/>
  </si>
  <si>
    <t>간섭부 소음발생 수정(그라인더/터치업), 압력게이지 교체, 자체테스트 (차 주 수요일 검사 예정)</t>
    <phoneticPr fontId="2" type="noConversion"/>
  </si>
  <si>
    <t>토잉붐 수정</t>
    <phoneticPr fontId="2" type="noConversion"/>
  </si>
  <si>
    <t>인도전</t>
    <phoneticPr fontId="2" type="noConversion"/>
  </si>
  <si>
    <t>부산해경정비창</t>
    <phoneticPr fontId="2" type="noConversion"/>
  </si>
  <si>
    <t>FDC</t>
    <phoneticPr fontId="2" type="noConversion"/>
  </si>
  <si>
    <t>CNM(3)</t>
    <phoneticPr fontId="2" type="noConversion"/>
  </si>
  <si>
    <t>HIO(1)</t>
    <phoneticPr fontId="2" type="noConversion"/>
  </si>
  <si>
    <t>PE</t>
    <phoneticPr fontId="2" type="noConversion"/>
  </si>
  <si>
    <t>S&amp;C</t>
    <phoneticPr fontId="2" type="noConversion"/>
  </si>
  <si>
    <t>ML</t>
    <phoneticPr fontId="2" type="noConversion"/>
  </si>
  <si>
    <t>무상</t>
    <phoneticPr fontId="2" type="noConversion"/>
  </si>
  <si>
    <t>진진(1)</t>
    <phoneticPr fontId="2" type="noConversion"/>
  </si>
  <si>
    <t>RB</t>
    <phoneticPr fontId="2" type="noConversion"/>
  </si>
  <si>
    <t>GNN0019</t>
    <phoneticPr fontId="2" type="noConversion"/>
  </si>
  <si>
    <t>시운전 지적 사항 조치 (좌/우현 : 유압 라인 각도 조정, 돼지꼬리 시공, 덴소테이프 시공)</t>
    <phoneticPr fontId="2" type="noConversion"/>
  </si>
  <si>
    <t>시운전 지적 사항 조치 (레일 중간 회색 패드가 주행 간섭 됨,  브레이크 장력 조정 필요)</t>
    <phoneticPr fontId="2" type="noConversion"/>
  </si>
  <si>
    <t>박성용</t>
    <phoneticPr fontId="2" type="noConversion"/>
  </si>
  <si>
    <t>HD, RCS</t>
    <phoneticPr fontId="2" type="noConversion"/>
  </si>
  <si>
    <t>박주성, 이시맥,  김용진</t>
    <phoneticPr fontId="2" type="noConversion"/>
  </si>
  <si>
    <t>등화관제 불량 수정/ 포토센서 작동 불량 / 검사 준비</t>
    <phoneticPr fontId="2" type="noConversion"/>
  </si>
  <si>
    <t>STW</t>
    <phoneticPr fontId="2" type="noConversion"/>
  </si>
  <si>
    <t>가포신항</t>
    <phoneticPr fontId="2" type="noConversion"/>
  </si>
  <si>
    <t>김용진</t>
    <phoneticPr fontId="2" type="noConversion"/>
  </si>
  <si>
    <t>A/S</t>
    <phoneticPr fontId="2" type="noConversion"/>
  </si>
  <si>
    <t>H1197</t>
    <phoneticPr fontId="2" type="noConversion"/>
  </si>
  <si>
    <t>DC</t>
    <phoneticPr fontId="2" type="noConversion"/>
  </si>
  <si>
    <t>승조원 교육</t>
    <phoneticPr fontId="2" type="noConversion"/>
  </si>
  <si>
    <t>parking limit 수정 작업, 시운전</t>
    <phoneticPr fontId="2" type="noConversion"/>
  </si>
  <si>
    <t>복귀</t>
    <phoneticPr fontId="2" type="noConversion"/>
  </si>
  <si>
    <t>출국</t>
    <phoneticPr fontId="2" type="noConversion"/>
  </si>
  <si>
    <t>0160</t>
    <phoneticPr fontId="2" type="noConversion"/>
  </si>
  <si>
    <t>비상작동, 잔여작업 및 STW</t>
    <phoneticPr fontId="2" type="noConversion"/>
  </si>
  <si>
    <t>HHI</t>
    <phoneticPr fontId="2" type="noConversion"/>
  </si>
  <si>
    <t>이시맥</t>
    <phoneticPr fontId="2" type="noConversion"/>
  </si>
  <si>
    <t>0160</t>
    <phoneticPr fontId="2" type="noConversion"/>
  </si>
  <si>
    <t>우신(1)</t>
    <phoneticPr fontId="2" type="noConversion"/>
  </si>
  <si>
    <t>검사</t>
    <phoneticPr fontId="2" type="noConversion"/>
  </si>
  <si>
    <t>박해식</t>
    <phoneticPr fontId="2" type="noConversion"/>
  </si>
  <si>
    <t>이시맥</t>
    <phoneticPr fontId="2" type="noConversion"/>
  </si>
  <si>
    <t>잔여 작업 및 자체테스트</t>
    <phoneticPr fontId="2" type="noConversion"/>
  </si>
  <si>
    <t>HIO(2)</t>
    <phoneticPr fontId="2" type="noConversion"/>
  </si>
  <si>
    <t>Cable feeding 안됨 (모터는 잘 돌아감) 
09:30분까지 도착요함</t>
    <phoneticPr fontId="2" type="noConversion"/>
  </si>
  <si>
    <t>북항 마리나 입구에서 서귀원과장  010-8522-0253쪽으로 연락 바람</t>
    <phoneticPr fontId="2" type="noConversion"/>
  </si>
  <si>
    <t>김유신</t>
    <phoneticPr fontId="2" type="noConversion"/>
  </si>
  <si>
    <t>김유신</t>
    <phoneticPr fontId="2" type="noConversion"/>
  </si>
  <si>
    <t>여수엑스포부두</t>
    <phoneticPr fontId="2" type="noConversion"/>
  </si>
  <si>
    <t>로드셀 설치 / 시운전</t>
    <phoneticPr fontId="2" type="noConversion"/>
  </si>
  <si>
    <t>트레벌싱 모터 및 호이스트 조립 핀 상태 점검/ 교체 자재 품목 확인</t>
    <phoneticPr fontId="2" type="noConversion"/>
  </si>
  <si>
    <t>이시맥, 박해식</t>
    <phoneticPr fontId="2" type="noConversion"/>
  </si>
  <si>
    <t>27주 긴급지원</t>
    <phoneticPr fontId="2" type="noConversion"/>
  </si>
  <si>
    <t>사내작업</t>
    <phoneticPr fontId="2" type="noConversion"/>
  </si>
  <si>
    <t>TF</t>
    <phoneticPr fontId="2" type="noConversion"/>
  </si>
  <si>
    <t>포장</t>
    <phoneticPr fontId="2" type="noConversion"/>
  </si>
  <si>
    <t>HIO(1)</t>
    <phoneticPr fontId="2" type="noConversion"/>
  </si>
  <si>
    <t>-</t>
    <phoneticPr fontId="2" type="noConversion"/>
  </si>
  <si>
    <t>P180</t>
    <phoneticPr fontId="2" type="noConversion"/>
  </si>
  <si>
    <t>EH</t>
    <phoneticPr fontId="2" type="noConversion"/>
  </si>
  <si>
    <t>가이드롤러와 B 간섭 됨</t>
    <phoneticPr fontId="2" type="noConversion"/>
  </si>
  <si>
    <t>원인확인예정</t>
    <phoneticPr fontId="2" type="noConversion"/>
  </si>
  <si>
    <t>하계 휴가</t>
    <phoneticPr fontId="2" type="noConversion"/>
  </si>
  <si>
    <t>Harbor test</t>
    <phoneticPr fontId="2" type="noConversion"/>
  </si>
  <si>
    <t>0160</t>
    <phoneticPr fontId="2" type="noConversion"/>
  </si>
  <si>
    <t>검사 입회 (9시 30분)</t>
    <phoneticPr fontId="2" type="noConversion"/>
  </si>
  <si>
    <t>SKMT</t>
    <phoneticPr fontId="2" type="noConversion"/>
  </si>
  <si>
    <t>DST(1)</t>
    <phoneticPr fontId="2" type="noConversion"/>
  </si>
  <si>
    <t>제헌절</t>
    <phoneticPr fontId="2" type="noConversion"/>
  </si>
  <si>
    <t>인도전</t>
    <phoneticPr fontId="2" type="noConversion"/>
  </si>
  <si>
    <t>CS</t>
    <phoneticPr fontId="2" type="noConversion"/>
  </si>
  <si>
    <t>무상</t>
    <phoneticPr fontId="2" type="noConversion"/>
  </si>
  <si>
    <t>ER</t>
    <phoneticPr fontId="2" type="noConversion"/>
  </si>
  <si>
    <t>크레인 테스트</t>
    <phoneticPr fontId="2" type="noConversion"/>
  </si>
  <si>
    <t>자체테스트 / 검사 입회(13:30)</t>
    <phoneticPr fontId="2" type="noConversion"/>
  </si>
  <si>
    <t>이시맥</t>
    <phoneticPr fontId="2" type="noConversion"/>
  </si>
  <si>
    <t>무상</t>
    <phoneticPr fontId="2" type="noConversion"/>
  </si>
  <si>
    <t>STW, 검사 준비 (노즐 2개 간섭 : 노즐1개 파손, 나머지 1개는 해체(풀고) 후 작업 하면 된다 함)</t>
    <phoneticPr fontId="2" type="noConversion"/>
  </si>
  <si>
    <t>김용진, 박해식</t>
    <phoneticPr fontId="2" type="noConversion"/>
  </si>
  <si>
    <t>HIO(1)</t>
    <phoneticPr fontId="2" type="noConversion"/>
  </si>
  <si>
    <t>가이드롤러와 JB 간섭 됨 (간섭 원인 확인 요함_설계 변경 사항 시 설변 요청 필요)</t>
    <phoneticPr fontId="2" type="noConversion"/>
  </si>
  <si>
    <t>SR24002</t>
    <phoneticPr fontId="2" type="noConversion"/>
  </si>
  <si>
    <t>현대삼호</t>
    <phoneticPr fontId="2" type="noConversion"/>
  </si>
  <si>
    <t>김용진, 박해식</t>
    <phoneticPr fontId="2" type="noConversion"/>
  </si>
  <si>
    <t>무상</t>
    <phoneticPr fontId="2" type="noConversion"/>
  </si>
  <si>
    <t>7/13 ~ 7/16</t>
    <phoneticPr fontId="2" type="noConversion"/>
  </si>
  <si>
    <t>7/13 ~ 7/14</t>
    <phoneticPr fontId="2" type="noConversion"/>
  </si>
  <si>
    <t>진진(1), 우신(2)</t>
    <phoneticPr fontId="2" type="noConversion"/>
  </si>
  <si>
    <t>개인차량</t>
    <phoneticPr fontId="2" type="noConversion"/>
  </si>
  <si>
    <t>박재규, 김유신, 김현우</t>
    <phoneticPr fontId="2" type="noConversion"/>
  </si>
  <si>
    <t>오태호</t>
    <phoneticPr fontId="2" type="noConversion"/>
  </si>
  <si>
    <t>DST(1), 가야(1)</t>
    <phoneticPr fontId="2" type="noConversion"/>
  </si>
  <si>
    <t>신상훈, 김정웅</t>
    <phoneticPr fontId="2" type="noConversion"/>
  </si>
  <si>
    <t>STW</t>
    <phoneticPr fontId="2" type="noConversion"/>
  </si>
  <si>
    <t>김영민, 김용진</t>
    <phoneticPr fontId="2" type="noConversion"/>
  </si>
  <si>
    <t>가야(1)</t>
    <phoneticPr fontId="2" type="noConversion"/>
  </si>
  <si>
    <t>유상</t>
    <phoneticPr fontId="2" type="noConversion"/>
  </si>
  <si>
    <t>유상</t>
    <phoneticPr fontId="2" type="noConversion"/>
  </si>
  <si>
    <t>유상</t>
    <phoneticPr fontId="2" type="noConversion"/>
  </si>
  <si>
    <t>시동박스 커버 파손(크레인 회전시 간섭), 밸브 및 각종 씰 누유 점검, 와이어 마모도 검사 및 종합적인 안전 검사, 후크걸이 탈락</t>
    <phoneticPr fontId="2" type="noConversion"/>
  </si>
  <si>
    <t xml:space="preserve">자체 사전 점검 및 테스트 </t>
    <phoneticPr fontId="2" type="noConversion"/>
  </si>
  <si>
    <t>1박2일</t>
    <phoneticPr fontId="2" type="noConversion"/>
  </si>
  <si>
    <t xml:space="preserve">자체테스트  </t>
    <phoneticPr fontId="2" type="noConversion"/>
  </si>
  <si>
    <t>HD</t>
    <phoneticPr fontId="2" type="noConversion"/>
  </si>
  <si>
    <t>STW</t>
    <phoneticPr fontId="2" type="noConversion"/>
  </si>
  <si>
    <t>박주성</t>
    <phoneticPr fontId="2" type="noConversion"/>
  </si>
  <si>
    <t>미정</t>
    <phoneticPr fontId="2" type="noConversion"/>
  </si>
  <si>
    <t>플렉시블 호스로 인한 배관 충돌 점검/조치, 해수쿨러 누유 재발, 진동 심함 점검/방안 협의</t>
    <phoneticPr fontId="2" type="noConversion"/>
  </si>
  <si>
    <t>HHI</t>
    <phoneticPr fontId="2" type="noConversion"/>
  </si>
  <si>
    <t>WIRE ROPE 교체, 검사준비</t>
    <phoneticPr fontId="2" type="noConversion"/>
  </si>
  <si>
    <t>턴테이블 수정 외</t>
    <phoneticPr fontId="2" type="noConversion"/>
  </si>
  <si>
    <t>0160</t>
    <phoneticPr fontId="2" type="noConversion"/>
  </si>
  <si>
    <t>휴일</t>
    <phoneticPr fontId="2" type="noConversion"/>
  </si>
  <si>
    <t>야드 배관 누유, 업무 미팅</t>
    <phoneticPr fontId="2" type="noConversion"/>
  </si>
  <si>
    <t>박주성, 이시맥, 최용욱, 서한교</t>
    <phoneticPr fontId="2" type="noConversion"/>
  </si>
  <si>
    <t>권용연, 김유신</t>
    <phoneticPr fontId="2" type="noConversion"/>
  </si>
  <si>
    <t>박성용, 김동명</t>
    <phoneticPr fontId="2" type="noConversion"/>
  </si>
  <si>
    <t>랙기어 수정</t>
    <phoneticPr fontId="2" type="noConversion"/>
  </si>
  <si>
    <t>박성용</t>
    <phoneticPr fontId="2" type="noConversion"/>
  </si>
  <si>
    <t>그리스 라인 설치, 센서 확인 (8~9시 사이 작업 시작 요함_오전 중 마무리, 오후 족장 철거 함)</t>
    <phoneticPr fontId="2" type="noConversion"/>
  </si>
  <si>
    <t>개인차량</t>
    <phoneticPr fontId="2" type="noConversion"/>
  </si>
  <si>
    <t>토잉붐 수정 08:00시 ~</t>
    <phoneticPr fontId="2" type="noConversion"/>
  </si>
  <si>
    <t>미정(2)</t>
    <phoneticPr fontId="2" type="noConversion"/>
  </si>
  <si>
    <t>A/S</t>
    <phoneticPr fontId="2" type="noConversion"/>
  </si>
  <si>
    <t>진해해군</t>
    <phoneticPr fontId="2" type="noConversion"/>
  </si>
  <si>
    <t>아301(S204)</t>
    <phoneticPr fontId="2" type="noConversion"/>
  </si>
  <si>
    <t>BR</t>
    <phoneticPr fontId="2" type="noConversion"/>
  </si>
  <si>
    <t>무상</t>
    <phoneticPr fontId="2" type="noConversion"/>
  </si>
  <si>
    <t>인도전</t>
    <phoneticPr fontId="2" type="noConversion"/>
  </si>
  <si>
    <t>P179</t>
    <phoneticPr fontId="2" type="noConversion"/>
  </si>
  <si>
    <t>RB</t>
    <phoneticPr fontId="2" type="noConversion"/>
  </si>
  <si>
    <t>유압 밸브 교체 / 검사</t>
    <phoneticPr fontId="2" type="noConversion"/>
  </si>
  <si>
    <t>DST(1)</t>
    <phoneticPr fontId="2" type="noConversion"/>
  </si>
  <si>
    <t>무상</t>
    <phoneticPr fontId="2" type="noConversion"/>
  </si>
  <si>
    <t xml:space="preserve"> OVERLOAD 세팅 불가, LOW DOWN시에 MOTOR측 GEAR에 갈리는 듯한 소음 발생</t>
    <phoneticPr fontId="2" type="noConversion"/>
  </si>
  <si>
    <t>권용연, 김유신, 천상욱
김현우 : 안전교육</t>
    <phoneticPr fontId="2" type="noConversion"/>
  </si>
  <si>
    <t>선주 코멘트 조치 (용접 / 터치업) 09:00 ~</t>
    <phoneticPr fontId="2" type="noConversion"/>
  </si>
  <si>
    <t>검사 입회 (군산항 1부두 12번 선석, AM 09:00)</t>
    <phoneticPr fontId="2" type="noConversion"/>
  </si>
  <si>
    <t xml:space="preserve">7/20 ~ </t>
    <phoneticPr fontId="2" type="noConversion"/>
  </si>
  <si>
    <t>28주 긴급진행</t>
    <phoneticPr fontId="2" type="noConversion"/>
  </si>
  <si>
    <t>설치 / 시운전 / 자체 / FAT</t>
    <phoneticPr fontId="2" type="noConversion"/>
  </si>
  <si>
    <t>HIO(4)</t>
    <phoneticPr fontId="2" type="noConversion"/>
  </si>
  <si>
    <t>설치불량 (태백_구상권청구예정)</t>
    <phoneticPr fontId="2" type="noConversion"/>
  </si>
  <si>
    <t>선주코멘트</t>
    <phoneticPr fontId="2" type="noConversion"/>
  </si>
  <si>
    <t>보증수리</t>
    <phoneticPr fontId="2" type="noConversion"/>
  </si>
  <si>
    <t>선주코멘트</t>
    <phoneticPr fontId="2" type="noConversion"/>
  </si>
  <si>
    <t>보증수리</t>
    <phoneticPr fontId="2" type="noConversion"/>
  </si>
  <si>
    <t>계약사항</t>
    <phoneticPr fontId="2" type="noConversion"/>
  </si>
  <si>
    <t>계약사항</t>
    <phoneticPr fontId="2" type="noConversion"/>
  </si>
  <si>
    <t>유압 밸브 교체 / 검사 입회</t>
    <phoneticPr fontId="2" type="noConversion"/>
  </si>
  <si>
    <t>계약사항</t>
    <phoneticPr fontId="2" type="noConversion"/>
  </si>
  <si>
    <t>계약사항</t>
    <phoneticPr fontId="2" type="noConversion"/>
  </si>
  <si>
    <t>계약사항</t>
    <phoneticPr fontId="2" type="noConversion"/>
  </si>
  <si>
    <t>박성용</t>
    <phoneticPr fontId="2" type="noConversion"/>
  </si>
  <si>
    <t>박성용</t>
    <phoneticPr fontId="2" type="noConversion"/>
  </si>
  <si>
    <t>HIO(1)</t>
    <phoneticPr fontId="2" type="noConversion"/>
  </si>
  <si>
    <t xml:space="preserve">승조원 교육 (9명 참석) 잠수함공장 5층 소교육장 / 09:30 ~ </t>
    <phoneticPr fontId="2" type="noConversion"/>
  </si>
  <si>
    <t>갑판장 / 원사 염회제 / 010 - 4233 - 8625</t>
    <phoneticPr fontId="2" type="noConversion"/>
  </si>
  <si>
    <t>박성용, 이시맥</t>
    <phoneticPr fontId="2" type="noConversion"/>
  </si>
  <si>
    <t>0160</t>
    <phoneticPr fontId="2" type="noConversion"/>
  </si>
  <si>
    <t>전기 결선 점검, 자체테스트</t>
    <phoneticPr fontId="2" type="noConversion"/>
  </si>
  <si>
    <t>CNM(3)</t>
    <phoneticPr fontId="2" type="noConversion"/>
  </si>
  <si>
    <t>박주성</t>
    <phoneticPr fontId="2" type="noConversion"/>
  </si>
  <si>
    <t>최용욱</t>
    <phoneticPr fontId="2" type="noConversion"/>
  </si>
  <si>
    <t>무상</t>
    <phoneticPr fontId="2" type="noConversion"/>
  </si>
  <si>
    <t>동아(1)</t>
    <phoneticPr fontId="2" type="noConversion"/>
  </si>
  <si>
    <t>절연 경보등 점검</t>
    <phoneticPr fontId="2" type="noConversion"/>
  </si>
  <si>
    <t xml:space="preserve">자체테스트  </t>
    <phoneticPr fontId="2" type="noConversion"/>
  </si>
  <si>
    <t>우신(1)</t>
    <phoneticPr fontId="2" type="noConversion"/>
  </si>
  <si>
    <t>천상욱</t>
    <phoneticPr fontId="2" type="noConversion"/>
  </si>
  <si>
    <t>김유신, 김용훈</t>
    <phoneticPr fontId="2" type="noConversion"/>
  </si>
  <si>
    <t>미정</t>
    <phoneticPr fontId="2" type="noConversion"/>
  </si>
  <si>
    <t>미정</t>
    <phoneticPr fontId="2" type="noConversion"/>
  </si>
  <si>
    <t>PE</t>
    <phoneticPr fontId="2" type="noConversion"/>
  </si>
  <si>
    <t>RPB 전원 램프 점등 불량 (작동O)</t>
    <phoneticPr fontId="2" type="noConversion"/>
  </si>
  <si>
    <t>우신(1), DST(1)</t>
    <phoneticPr fontId="2" type="noConversion"/>
  </si>
  <si>
    <t>설치 기술 지원</t>
    <phoneticPr fontId="2" type="noConversion"/>
  </si>
  <si>
    <t>CNM(1)</t>
    <phoneticPr fontId="2" type="noConversion"/>
  </si>
  <si>
    <t>개인차량</t>
    <phoneticPr fontId="2" type="noConversion"/>
  </si>
  <si>
    <t>턴테이블 수정, STW</t>
    <phoneticPr fontId="2" type="noConversion"/>
  </si>
  <si>
    <t>검사 입회</t>
    <phoneticPr fontId="2" type="noConversion"/>
  </si>
  <si>
    <t>우신(1), 동아(1)</t>
    <phoneticPr fontId="2" type="noConversion"/>
  </si>
  <si>
    <t xml:space="preserve">박재규 </t>
    <phoneticPr fontId="2" type="noConversion"/>
  </si>
  <si>
    <t>윈치 작동 불량, 반출</t>
    <phoneticPr fontId="2" type="noConversion"/>
  </si>
  <si>
    <t>28주 긴급진행</t>
    <phoneticPr fontId="2" type="noConversion"/>
  </si>
  <si>
    <t>가야(1)</t>
    <phoneticPr fontId="2" type="noConversion"/>
  </si>
  <si>
    <t>7/30 ~ 7/31</t>
    <phoneticPr fontId="2" type="noConversion"/>
  </si>
  <si>
    <t>사내작업</t>
    <phoneticPr fontId="2" type="noConversion"/>
  </si>
  <si>
    <t>사내작업</t>
    <phoneticPr fontId="2" type="noConversion"/>
  </si>
  <si>
    <t>납품전</t>
    <phoneticPr fontId="2" type="noConversion"/>
  </si>
  <si>
    <t>TF</t>
    <phoneticPr fontId="2" type="noConversion"/>
  </si>
  <si>
    <t>TF</t>
    <phoneticPr fontId="2" type="noConversion"/>
  </si>
  <si>
    <t>포장</t>
    <phoneticPr fontId="2" type="noConversion"/>
  </si>
  <si>
    <t>그물망 작업</t>
    <phoneticPr fontId="2" type="noConversion"/>
  </si>
  <si>
    <t>송영국</t>
    <phoneticPr fontId="2" type="noConversion"/>
  </si>
  <si>
    <t>HIO(1)</t>
    <phoneticPr fontId="2" type="noConversion"/>
  </si>
  <si>
    <t>HIO(2)</t>
    <phoneticPr fontId="2" type="noConversion"/>
  </si>
  <si>
    <t>S186</t>
    <phoneticPr fontId="2" type="noConversion"/>
  </si>
  <si>
    <t>함미램프 완충 패드 균열 및 파손, 토글스위치 고착으로 작동 불량 점검 (교체 자재 확인)</t>
    <phoneticPr fontId="2" type="noConversion"/>
  </si>
  <si>
    <t>해군 내 이동 (아301 -&gt; S186)</t>
    <phoneticPr fontId="2" type="noConversion"/>
  </si>
  <si>
    <t>RB</t>
    <phoneticPr fontId="2" type="noConversion"/>
  </si>
  <si>
    <t>크레인 운전 지원</t>
    <phoneticPr fontId="2" type="noConversion"/>
  </si>
  <si>
    <t>우신(1)</t>
    <phoneticPr fontId="2" type="noConversion"/>
  </si>
  <si>
    <t>개인차량</t>
    <phoneticPr fontId="2" type="noConversion"/>
  </si>
  <si>
    <t>김유신</t>
    <phoneticPr fontId="2" type="noConversion"/>
  </si>
  <si>
    <t>사전품의추가</t>
    <phoneticPr fontId="2" type="noConversion"/>
  </si>
  <si>
    <t>램프 세팅, 카운터 밸브 덴소&amp;검정 테이프 마감 처리</t>
    <phoneticPr fontId="2" type="noConversion"/>
  </si>
  <si>
    <t>P0294</t>
    <phoneticPr fontId="2" type="noConversion"/>
  </si>
  <si>
    <t>GNN0018</t>
    <phoneticPr fontId="2" type="noConversion"/>
  </si>
  <si>
    <t>HIO(1)</t>
    <phoneticPr fontId="2" type="noConversion"/>
  </si>
  <si>
    <t>ML</t>
    <phoneticPr fontId="2" type="noConversion"/>
  </si>
  <si>
    <t xml:space="preserve"> 잔여작업 (레일 수정), 작동 시험 준비</t>
    <phoneticPr fontId="2" type="noConversion"/>
  </si>
  <si>
    <t>인도전</t>
    <phoneticPr fontId="2" type="noConversion"/>
  </si>
  <si>
    <t>PE</t>
    <phoneticPr fontId="2" type="noConversion"/>
  </si>
  <si>
    <t>HHI</t>
    <phoneticPr fontId="2" type="noConversion"/>
  </si>
  <si>
    <t>P178</t>
    <phoneticPr fontId="2" type="noConversion"/>
  </si>
  <si>
    <t>HOC</t>
    <phoneticPr fontId="2" type="noConversion"/>
  </si>
  <si>
    <t>작동 시험 (13:30)</t>
    <phoneticPr fontId="2" type="noConversion"/>
  </si>
  <si>
    <t>ML</t>
    <phoneticPr fontId="2" type="noConversion"/>
  </si>
  <si>
    <t>A/S</t>
    <phoneticPr fontId="2" type="noConversion"/>
  </si>
  <si>
    <t>인도전</t>
    <phoneticPr fontId="2" type="noConversion"/>
  </si>
  <si>
    <t>GNN0019</t>
    <phoneticPr fontId="2" type="noConversion"/>
  </si>
  <si>
    <t>HD</t>
    <phoneticPr fontId="2" type="noConversion"/>
  </si>
  <si>
    <t>군산항1부두</t>
    <phoneticPr fontId="2" type="noConversion"/>
  </si>
  <si>
    <t>모터 교체, STW</t>
    <phoneticPr fontId="2" type="noConversion"/>
  </si>
  <si>
    <t>이시맥</t>
    <phoneticPr fontId="2" type="noConversion"/>
  </si>
  <si>
    <t>진진(1)</t>
    <phoneticPr fontId="2" type="noConversion"/>
  </si>
  <si>
    <t>무상</t>
    <phoneticPr fontId="2" type="noConversion"/>
  </si>
  <si>
    <t>0160</t>
    <phoneticPr fontId="2" type="noConversion"/>
  </si>
  <si>
    <t>우신(1)</t>
    <phoneticPr fontId="2" type="noConversion"/>
  </si>
  <si>
    <t>폴딩 레일 작동 불량 점검/ 크레인 검사</t>
    <phoneticPr fontId="2" type="noConversion"/>
  </si>
  <si>
    <t>개인차량</t>
    <phoneticPr fontId="2" type="noConversion"/>
  </si>
  <si>
    <t>개인차량</t>
    <phoneticPr fontId="2" type="noConversion"/>
  </si>
  <si>
    <t>우신(1), DST(1)</t>
    <phoneticPr fontId="2" type="noConversion"/>
  </si>
  <si>
    <t>군산항2부두</t>
    <phoneticPr fontId="2" type="noConversion"/>
  </si>
  <si>
    <t>무상</t>
    <phoneticPr fontId="2" type="noConversion"/>
  </si>
  <si>
    <t>공식 시운전 (오전 7시 30분까지 승선 - 오전 8시 출항)</t>
    <phoneticPr fontId="2" type="noConversion"/>
  </si>
  <si>
    <t>특수성능검사</t>
    <phoneticPr fontId="2" type="noConversion"/>
  </si>
  <si>
    <t>사내</t>
    <phoneticPr fontId="2" type="noConversion"/>
  </si>
  <si>
    <t>납품전</t>
    <phoneticPr fontId="2" type="noConversion"/>
  </si>
  <si>
    <t>코메리</t>
    <phoneticPr fontId="2" type="noConversion"/>
  </si>
  <si>
    <t>HT</t>
    <phoneticPr fontId="2" type="noConversion"/>
  </si>
  <si>
    <t>김용진</t>
    <phoneticPr fontId="2" type="noConversion"/>
  </si>
  <si>
    <t>0160</t>
    <phoneticPr fontId="2" type="noConversion"/>
  </si>
  <si>
    <t>TF</t>
    <phoneticPr fontId="2" type="noConversion"/>
  </si>
  <si>
    <t>HT</t>
    <phoneticPr fontId="2" type="noConversion"/>
  </si>
  <si>
    <t>특수성능 준비</t>
    <phoneticPr fontId="2" type="noConversion"/>
  </si>
  <si>
    <t>박성용, 이시맥</t>
    <phoneticPr fontId="2" type="noConversion"/>
  </si>
  <si>
    <t>공식 시운전</t>
    <phoneticPr fontId="2" type="noConversion"/>
  </si>
  <si>
    <t>진진(1)</t>
    <phoneticPr fontId="2" type="noConversion"/>
  </si>
  <si>
    <t>8/3 ~ 8/5</t>
    <phoneticPr fontId="2" type="noConversion"/>
  </si>
  <si>
    <t>해상시운전</t>
    <phoneticPr fontId="2" type="noConversion"/>
  </si>
  <si>
    <t>30주 긴급지원</t>
    <phoneticPr fontId="2" type="noConversion"/>
  </si>
  <si>
    <t>RB</t>
    <phoneticPr fontId="2" type="noConversion"/>
  </si>
  <si>
    <t>인도후</t>
    <phoneticPr fontId="2" type="noConversion"/>
  </si>
  <si>
    <t>A/S</t>
    <phoneticPr fontId="2" type="noConversion"/>
  </si>
  <si>
    <t>DST(1)</t>
    <phoneticPr fontId="2" type="noConversion"/>
  </si>
  <si>
    <t>개인차량</t>
    <phoneticPr fontId="2" type="noConversion"/>
  </si>
  <si>
    <t>자성대부두</t>
    <phoneticPr fontId="2" type="noConversion"/>
  </si>
  <si>
    <t>박주성, 김용진</t>
    <phoneticPr fontId="2" type="noConversion"/>
  </si>
  <si>
    <t>CNM일정불가</t>
    <phoneticPr fontId="2" type="noConversion"/>
  </si>
  <si>
    <t>이시맥</t>
    <phoneticPr fontId="2" type="noConversion"/>
  </si>
  <si>
    <t>-</t>
    <phoneticPr fontId="2" type="noConversion"/>
  </si>
  <si>
    <t>개인차량</t>
    <phoneticPr fontId="2" type="noConversion"/>
  </si>
  <si>
    <t>무상</t>
    <phoneticPr fontId="2" type="noConversion"/>
  </si>
  <si>
    <t>개인차량</t>
    <phoneticPr fontId="2" type="noConversion"/>
  </si>
  <si>
    <t>이시맥</t>
    <phoneticPr fontId="2" type="noConversion"/>
  </si>
  <si>
    <t>하자보증수리 (1.좌현 고속단정 데비트 고정 바 변형, 데비트(우현) 알람(유압유 LOW) 점검/조치</t>
    <phoneticPr fontId="2" type="noConversion"/>
  </si>
  <si>
    <t>업체변경 우신 -&gt; HIO</t>
    <phoneticPr fontId="2" type="noConversion"/>
  </si>
  <si>
    <t>로드셀 설치 / 시운전 (10시 해군의집)</t>
    <phoneticPr fontId="2" type="noConversion"/>
  </si>
  <si>
    <t>개인차량</t>
    <phoneticPr fontId="2" type="noConversion"/>
  </si>
  <si>
    <t>시운전 이후 재수립</t>
    <phoneticPr fontId="2" type="noConversion"/>
  </si>
  <si>
    <t>미조치</t>
    <phoneticPr fontId="2" type="noConversion"/>
  </si>
  <si>
    <t>CNM(1)</t>
    <phoneticPr fontId="2" type="noConversion"/>
  </si>
  <si>
    <t>개인차량</t>
    <phoneticPr fontId="2" type="noConversion"/>
  </si>
  <si>
    <t>무상</t>
    <phoneticPr fontId="2" type="noConversion"/>
  </si>
  <si>
    <t>P169(다산정약용함)</t>
    <phoneticPr fontId="2" type="noConversion"/>
  </si>
  <si>
    <t>MRS114</t>
    <phoneticPr fontId="2" type="noConversion"/>
  </si>
  <si>
    <t>KT</t>
    <phoneticPr fontId="2" type="noConversion"/>
  </si>
  <si>
    <t>RPB 보관함 교체</t>
    <phoneticPr fontId="2" type="noConversion"/>
  </si>
  <si>
    <t>인도후</t>
    <phoneticPr fontId="2" type="noConversion"/>
  </si>
  <si>
    <t>여수엑스포부두</t>
    <phoneticPr fontId="2" type="noConversion"/>
  </si>
  <si>
    <t>작동 시험 (13:30)</t>
    <phoneticPr fontId="2" type="noConversion"/>
  </si>
  <si>
    <t>PE</t>
    <phoneticPr fontId="2" type="noConversion"/>
  </si>
  <si>
    <t>자체테스트 및 작동 시험 준비, 절연 알람 반대로 되어 있음(야드 기판에 에러 발생)</t>
    <phoneticPr fontId="2" type="noConversion"/>
  </si>
  <si>
    <t>박성용(헬기)</t>
    <phoneticPr fontId="2" type="noConversion"/>
  </si>
  <si>
    <t>우신(1)</t>
    <phoneticPr fontId="2" type="noConversion"/>
  </si>
  <si>
    <t>무상</t>
    <phoneticPr fontId="2" type="noConversion"/>
  </si>
  <si>
    <t>0160</t>
    <phoneticPr fontId="2" type="noConversion"/>
  </si>
  <si>
    <t>무상</t>
    <phoneticPr fontId="2" type="noConversion"/>
  </si>
  <si>
    <t>무상</t>
    <phoneticPr fontId="2" type="noConversion"/>
  </si>
  <si>
    <t>개인차량</t>
    <phoneticPr fontId="2" type="noConversion"/>
  </si>
  <si>
    <t>우신(1)</t>
    <phoneticPr fontId="2" type="noConversion"/>
  </si>
  <si>
    <t>광복절 대체휴무</t>
    <phoneticPr fontId="2" type="noConversion"/>
  </si>
  <si>
    <t>36주</t>
    <phoneticPr fontId="2" type="noConversion"/>
  </si>
  <si>
    <t>37주</t>
    <phoneticPr fontId="2" type="noConversion"/>
  </si>
  <si>
    <t>38주</t>
    <phoneticPr fontId="2" type="noConversion"/>
  </si>
  <si>
    <t>2688호선 PD 전로포설일정 문의 10월초 예상 : 김낙영 프로님 (선실전장)  +82-10-7297-0712</t>
    <phoneticPr fontId="2" type="noConversion"/>
  </si>
  <si>
    <t>JB#2(케이블 그랜드 교체), JB#3번 설치</t>
    <phoneticPr fontId="2" type="noConversion"/>
  </si>
  <si>
    <t>케이블 철거, 신규 포설, 밴딩</t>
    <phoneticPr fontId="2" type="noConversion"/>
  </si>
  <si>
    <t>무상</t>
    <phoneticPr fontId="2" type="noConversion"/>
  </si>
  <si>
    <t>개인차량</t>
    <phoneticPr fontId="2" type="noConversion"/>
  </si>
  <si>
    <t>0160</t>
    <phoneticPr fontId="2" type="noConversion"/>
  </si>
  <si>
    <t>우신(2)</t>
    <phoneticPr fontId="2" type="noConversion"/>
  </si>
  <si>
    <t>개인차량</t>
    <phoneticPr fontId="2" type="noConversion"/>
  </si>
  <si>
    <t>SWN0282</t>
    <phoneticPr fontId="2" type="noConversion"/>
  </si>
  <si>
    <t>인도전</t>
    <phoneticPr fontId="2" type="noConversion"/>
  </si>
  <si>
    <t>GNN0019</t>
    <phoneticPr fontId="2" type="noConversion"/>
  </si>
  <si>
    <t>RCS</t>
    <phoneticPr fontId="2" type="noConversion"/>
  </si>
  <si>
    <t>동아(1)</t>
    <phoneticPr fontId="2" type="noConversion"/>
  </si>
  <si>
    <t>무상</t>
    <phoneticPr fontId="2" type="noConversion"/>
  </si>
  <si>
    <t>ML</t>
    <phoneticPr fontId="2" type="noConversion"/>
  </si>
  <si>
    <t>윈치 설치, 자체테스트</t>
    <phoneticPr fontId="2" type="noConversion"/>
  </si>
  <si>
    <t>무상</t>
    <phoneticPr fontId="2" type="noConversion"/>
  </si>
  <si>
    <t>진진(1)</t>
    <phoneticPr fontId="2" type="noConversion"/>
  </si>
  <si>
    <t>LOAD TEST (10시), 승조원 교육 (13:00)</t>
    <phoneticPr fontId="2" type="noConversion"/>
  </si>
  <si>
    <t>와이어링 기술 지원 (9시)</t>
    <phoneticPr fontId="2" type="noConversion"/>
  </si>
  <si>
    <t>정지훈</t>
    <phoneticPr fontId="2" type="noConversion"/>
  </si>
  <si>
    <t>오태호</t>
    <phoneticPr fontId="2" type="noConversion"/>
  </si>
  <si>
    <t>오태호</t>
    <phoneticPr fontId="2" type="noConversion"/>
  </si>
  <si>
    <t>권용연</t>
    <phoneticPr fontId="2" type="noConversion"/>
  </si>
  <si>
    <t>박재규</t>
    <phoneticPr fontId="2" type="noConversion"/>
  </si>
  <si>
    <t>7/02 ~ 7/03</t>
    <phoneticPr fontId="2" type="noConversion"/>
  </si>
  <si>
    <t>범양마린엔지니어링</t>
    <phoneticPr fontId="2" type="noConversion"/>
  </si>
  <si>
    <t>범양마린엔지니어링</t>
    <phoneticPr fontId="2" type="noConversion"/>
  </si>
  <si>
    <t>자체테스트 및 작동 시험 준비, 도장 수정</t>
    <phoneticPr fontId="2" type="noConversion"/>
  </si>
  <si>
    <t>우신테크</t>
    <phoneticPr fontId="2" type="noConversion"/>
  </si>
  <si>
    <t>진진산업</t>
    <phoneticPr fontId="2" type="noConversion"/>
  </si>
  <si>
    <t>ER</t>
    <phoneticPr fontId="2" type="noConversion"/>
  </si>
  <si>
    <t>진진산업</t>
    <phoneticPr fontId="2" type="noConversion"/>
  </si>
  <si>
    <t>사전품의 완료 (업체변경 우신-&gt;HIO)</t>
    <phoneticPr fontId="2" type="noConversion"/>
  </si>
  <si>
    <t>에이치아이오엔지니어링</t>
    <phoneticPr fontId="2" type="noConversion"/>
  </si>
  <si>
    <t>이시맥. 박해식, 송영국</t>
    <phoneticPr fontId="2" type="noConversion"/>
  </si>
  <si>
    <t>이시맥, 송영국</t>
    <phoneticPr fontId="2" type="noConversion"/>
  </si>
  <si>
    <t>이시맥</t>
    <phoneticPr fontId="2" type="noConversion"/>
  </si>
  <si>
    <t>HIO(1), 동아(1)</t>
    <phoneticPr fontId="2" type="noConversion"/>
  </si>
  <si>
    <t>자체테스트 및 작동 시험 준비, RPB 파워 램프 점등 불량(작동은 됨)</t>
    <phoneticPr fontId="2" type="noConversion"/>
  </si>
  <si>
    <t>RB</t>
    <phoneticPr fontId="2" type="noConversion"/>
  </si>
  <si>
    <t>MRS114 보관함 입고예정</t>
    <phoneticPr fontId="2" type="noConversion"/>
  </si>
  <si>
    <t>HIO(1), 우신(1)</t>
    <phoneticPr fontId="2" type="noConversion"/>
  </si>
  <si>
    <t>우신차량</t>
    <phoneticPr fontId="2" type="noConversion"/>
  </si>
  <si>
    <t>와이어 교체, 시브 개선, 자체테스트 후 검사, 승조원교육 동영상 촬영(갑판장 010-3583-5878)</t>
    <phoneticPr fontId="2" type="noConversion"/>
  </si>
  <si>
    <t>HHI</t>
    <phoneticPr fontId="2" type="noConversion"/>
  </si>
  <si>
    <t>P179</t>
    <phoneticPr fontId="2" type="noConversion"/>
  </si>
  <si>
    <t>이시맥</t>
    <phoneticPr fontId="2" type="noConversion"/>
  </si>
  <si>
    <t>코멘트조치(자재 전달, 명판 설치, 그리스니플추가(화기))</t>
    <phoneticPr fontId="2" type="noConversion"/>
  </si>
  <si>
    <t>8/10 ~ 8/14</t>
    <phoneticPr fontId="2" type="noConversion"/>
  </si>
  <si>
    <t>S210</t>
    <phoneticPr fontId="2" type="noConversion"/>
  </si>
  <si>
    <t>조립</t>
    <phoneticPr fontId="2" type="noConversion"/>
  </si>
  <si>
    <t>-</t>
    <phoneticPr fontId="2" type="noConversion"/>
  </si>
  <si>
    <t>HH</t>
    <phoneticPr fontId="2" type="noConversion"/>
  </si>
  <si>
    <t>HT</t>
    <phoneticPr fontId="2" type="noConversion"/>
  </si>
  <si>
    <t>8/10 ~ 8/11</t>
    <phoneticPr fontId="2" type="noConversion"/>
  </si>
  <si>
    <t>8/12 ~ 8/14</t>
    <phoneticPr fontId="2" type="noConversion"/>
  </si>
  <si>
    <t>포장</t>
    <phoneticPr fontId="2" type="noConversion"/>
  </si>
  <si>
    <t>대차 수정 (용접, 도장보수)</t>
    <phoneticPr fontId="2" type="noConversion"/>
  </si>
  <si>
    <t>송영국</t>
    <phoneticPr fontId="2" type="noConversion"/>
  </si>
  <si>
    <t>LOAD TEST (10시)</t>
    <phoneticPr fontId="2" type="noConversion"/>
  </si>
  <si>
    <t>승조원 교육 (13:00)</t>
    <phoneticPr fontId="2" type="noConversion"/>
  </si>
  <si>
    <t>8/10 ~ 8/12</t>
    <phoneticPr fontId="2" type="noConversion"/>
  </si>
  <si>
    <t>더미 조립</t>
    <phoneticPr fontId="2" type="noConversion"/>
  </si>
  <si>
    <t>HIO(3)</t>
    <phoneticPr fontId="2" type="noConversion"/>
  </si>
  <si>
    <t>고장 이상 램프 작동 불량, YARD 전장팀과 결선 확인/점검/조치 (10시), STW 검사준비</t>
    <phoneticPr fontId="2" type="noConversion"/>
  </si>
  <si>
    <t>코멘트조치(HPU 밸브 &amp; 모터 명판 부착, 가이드로프 8개, 샤클 2개 공급, 그리스니플추가(화기))</t>
    <phoneticPr fontId="2" type="noConversion"/>
  </si>
  <si>
    <t>이시맥</t>
    <phoneticPr fontId="2" type="noConversion"/>
  </si>
  <si>
    <t>HIO(1)</t>
    <phoneticPr fontId="2" type="noConversion"/>
  </si>
  <si>
    <t>플루드 라이트 설치 후 시운전 (김제환책임 확인 필수), 작동시험 준비</t>
    <phoneticPr fontId="2" type="noConversion"/>
  </si>
  <si>
    <t>TPS(2)</t>
    <phoneticPr fontId="2" type="noConversion"/>
  </si>
  <si>
    <t>사전 점검 (군산항 2부두 23번 선석) / 호스실측 및 배관설치 / 모든 유압라인 덴소테이핑 요청</t>
    <phoneticPr fontId="2" type="noConversion"/>
  </si>
  <si>
    <t>현정원, 고태용</t>
    <phoneticPr fontId="2" type="noConversion"/>
  </si>
  <si>
    <t>범양(1), HIO(1), 동아(2)</t>
    <phoneticPr fontId="2" type="noConversion"/>
  </si>
  <si>
    <t>PE, ML, HOC</t>
    <phoneticPr fontId="2" type="noConversion"/>
  </si>
  <si>
    <t>작동 시험 준비</t>
    <phoneticPr fontId="2" type="noConversion"/>
  </si>
  <si>
    <t>박성용, 김용진</t>
    <phoneticPr fontId="2" type="noConversion"/>
  </si>
  <si>
    <t>J/B #4 결선, 인디게이터 및 Load cell 교체 / 결선</t>
    <phoneticPr fontId="2" type="noConversion"/>
  </si>
  <si>
    <t>SKMT</t>
    <phoneticPr fontId="2" type="noConversion"/>
  </si>
  <si>
    <t>윈치 설치, 자체테스트</t>
    <phoneticPr fontId="2" type="noConversion"/>
  </si>
  <si>
    <t>우신차량</t>
    <phoneticPr fontId="2" type="noConversion"/>
  </si>
  <si>
    <t>신종욱, 오태호, 최재호, 유동현</t>
    <phoneticPr fontId="2" type="noConversion"/>
  </si>
  <si>
    <t>김유신, 천상욱</t>
    <phoneticPr fontId="2" type="noConversion"/>
  </si>
  <si>
    <t>김유신</t>
    <phoneticPr fontId="2" type="noConversion"/>
  </si>
  <si>
    <t>천상욱</t>
    <phoneticPr fontId="2" type="noConversion"/>
  </si>
  <si>
    <t>NO.1 NO.2 교차 중간 밸브 누유 발생, 교차 작동 불량 점검/조치</t>
    <phoneticPr fontId="2" type="noConversion"/>
  </si>
  <si>
    <t>고장 이상 램프 작동 불량, YARD 전장팀과 결선 확인/점검/조치 (10시30분), STW</t>
    <phoneticPr fontId="2" type="noConversion"/>
  </si>
  <si>
    <t>STW</t>
    <phoneticPr fontId="2" type="noConversion"/>
  </si>
  <si>
    <t>박해식</t>
    <phoneticPr fontId="2" type="noConversion"/>
  </si>
  <si>
    <t>우신차량</t>
    <phoneticPr fontId="2" type="noConversion"/>
  </si>
  <si>
    <t>김용진</t>
    <phoneticPr fontId="2" type="noConversion"/>
  </si>
  <si>
    <t>HIO(1), 동아(2)</t>
    <phoneticPr fontId="2" type="noConversion"/>
  </si>
  <si>
    <t>이광형</t>
    <phoneticPr fontId="2" type="noConversion"/>
  </si>
  <si>
    <t>오태호, 최재호, 유동현</t>
    <phoneticPr fontId="2" type="noConversion"/>
  </si>
  <si>
    <t>고태용or김인관, 최재호
에스지엘티 중앙창고 박진상 라인장(010-3439-7803)</t>
    <phoneticPr fontId="2" type="noConversion"/>
  </si>
  <si>
    <t>RB</t>
    <phoneticPr fontId="2" type="noConversion"/>
  </si>
  <si>
    <t>우신(2), 동아(1)</t>
    <phoneticPr fontId="2" type="noConversion"/>
  </si>
  <si>
    <t>김유신, 천상욱, 김용훈</t>
    <phoneticPr fontId="2" type="noConversion"/>
  </si>
  <si>
    <t>보트 탑재, 발바닥 용접/설치, 자체테스트</t>
    <phoneticPr fontId="2" type="noConversion"/>
  </si>
  <si>
    <t>박해식</t>
    <phoneticPr fontId="2" type="noConversion"/>
  </si>
  <si>
    <t>J/B #4, 인디게이터 및 Load cell 설치</t>
    <phoneticPr fontId="2" type="noConversion"/>
  </si>
  <si>
    <t>완충패드 교체 (자재는 본선 보관 중)</t>
    <phoneticPr fontId="2" type="noConversion"/>
  </si>
  <si>
    <t>검사, 승조원교육</t>
    <phoneticPr fontId="2" type="noConversion"/>
  </si>
  <si>
    <t>J/B #4, 인디게이터 및 Load cell 결선, STW</t>
    <phoneticPr fontId="2" type="noConversion"/>
  </si>
  <si>
    <t>TPS(1), 우신(2)</t>
    <phoneticPr fontId="2" type="noConversion"/>
  </si>
  <si>
    <t>서한교</t>
    <phoneticPr fontId="2" type="noConversion"/>
  </si>
  <si>
    <t>우신차량</t>
    <phoneticPr fontId="2" type="noConversion"/>
  </si>
  <si>
    <t>0160</t>
    <phoneticPr fontId="2" type="noConversion"/>
  </si>
  <si>
    <t>A/S</t>
    <phoneticPr fontId="2" type="noConversion"/>
  </si>
  <si>
    <t>진해해군</t>
    <phoneticPr fontId="2" type="noConversion"/>
  </si>
  <si>
    <t>S189</t>
    <phoneticPr fontId="2" type="noConversion"/>
  </si>
  <si>
    <t>BR</t>
    <phoneticPr fontId="2" type="noConversion"/>
  </si>
  <si>
    <t>락킹 리미트 고착</t>
    <phoneticPr fontId="2" type="noConversion"/>
  </si>
  <si>
    <t>박주성</t>
    <phoneticPr fontId="2" type="noConversion"/>
  </si>
  <si>
    <t>범얌(1)</t>
    <phoneticPr fontId="2" type="noConversion"/>
  </si>
  <si>
    <t>무상</t>
    <phoneticPr fontId="2" type="noConversion"/>
  </si>
  <si>
    <t>개인차량</t>
    <phoneticPr fontId="2" type="noConversion"/>
  </si>
  <si>
    <t>호스 설치, 전로 설치, 시운전</t>
    <phoneticPr fontId="2" type="noConversion"/>
  </si>
  <si>
    <t>HIO(1), TPS(2), 동아(2)</t>
    <phoneticPr fontId="2" type="noConversion"/>
  </si>
  <si>
    <t>보트 시트 설치</t>
  </si>
  <si>
    <t>화순항</t>
    <phoneticPr fontId="2" type="noConversion"/>
  </si>
  <si>
    <t>Wire rigging / 시운전 / PUNH조치, 도장 수정(터치업)</t>
    <phoneticPr fontId="2" type="noConversion"/>
  </si>
  <si>
    <t>8/24 ~ 8/28</t>
    <phoneticPr fontId="2" type="noConversion"/>
  </si>
  <si>
    <t>MW</t>
    <phoneticPr fontId="2" type="noConversion"/>
  </si>
  <si>
    <t>코멘트 처리</t>
    <phoneticPr fontId="2" type="noConversion"/>
  </si>
  <si>
    <t>8/26 ~ 8/28</t>
    <phoneticPr fontId="2" type="noConversion"/>
  </si>
  <si>
    <t>8/25 ~ 8/28</t>
    <phoneticPr fontId="2" type="noConversion"/>
  </si>
  <si>
    <t>W308</t>
  </si>
  <si>
    <t>W308</t>
    <phoneticPr fontId="2" type="noConversion"/>
  </si>
  <si>
    <t>DKT</t>
    <phoneticPr fontId="2" type="noConversion"/>
  </si>
  <si>
    <t>시운전</t>
    <phoneticPr fontId="2" type="noConversion"/>
  </si>
  <si>
    <t>박성용, 김동명</t>
    <phoneticPr fontId="2" type="noConversion"/>
  </si>
  <si>
    <t>-</t>
    <phoneticPr fontId="2" type="noConversion"/>
  </si>
  <si>
    <t>박성용</t>
    <phoneticPr fontId="2" type="noConversion"/>
  </si>
  <si>
    <t>이광형</t>
    <phoneticPr fontId="2" type="noConversion"/>
  </si>
  <si>
    <t>이광형</t>
    <phoneticPr fontId="2" type="noConversion"/>
  </si>
  <si>
    <t>8/18 ~ 8/21</t>
  </si>
  <si>
    <t>OC</t>
  </si>
  <si>
    <t>모터 시트 용접, 조립</t>
  </si>
  <si>
    <t>8/20 ~ 8/21</t>
  </si>
  <si>
    <t>대차 도장 보수</t>
  </si>
  <si>
    <t>8/18 ~ 8/19</t>
  </si>
  <si>
    <t>HH, PV</t>
  </si>
  <si>
    <t>8/18(화)</t>
  </si>
  <si>
    <t>작동 시험 (13:30)</t>
  </si>
  <si>
    <t>케이블 철거, 신규 포설, 밴딩</t>
  </si>
  <si>
    <t>범양(1), HIO(1), 동아(2)</t>
  </si>
  <si>
    <t>8/19(수)</t>
  </si>
  <si>
    <t>J/B #4 결선, 인디게이터 및 Load cell 교체 / 결선</t>
  </si>
  <si>
    <t>HOC</t>
  </si>
  <si>
    <t>8/20(목)</t>
  </si>
  <si>
    <t>HIO(1), 우신(1)</t>
  </si>
  <si>
    <t>8/21(금)</t>
  </si>
  <si>
    <t>상태점검, 시그널 확인, 초기기동, 전장PUNCH조치</t>
  </si>
  <si>
    <t>HIO(1), TPS(1), 동아(1)</t>
  </si>
  <si>
    <t>보트탑재 지연으로 복귀 (8/27)</t>
    <phoneticPr fontId="2" type="noConversion"/>
  </si>
  <si>
    <t>GNN0017</t>
    <phoneticPr fontId="2" type="noConversion"/>
  </si>
  <si>
    <t>HHD</t>
    <phoneticPr fontId="2" type="noConversion"/>
  </si>
  <si>
    <t>도어 슬립 점검</t>
    <phoneticPr fontId="2" type="noConversion"/>
  </si>
  <si>
    <t>CNM(1),동아(1)</t>
    <phoneticPr fontId="2" type="noConversion"/>
  </si>
  <si>
    <t>13시</t>
    <phoneticPr fontId="2" type="noConversion"/>
  </si>
  <si>
    <t>한진</t>
    <phoneticPr fontId="2" type="noConversion"/>
  </si>
  <si>
    <t>독도함</t>
    <phoneticPr fontId="2" type="noConversion"/>
  </si>
  <si>
    <t>WC, ER</t>
    <phoneticPr fontId="2" type="noConversion"/>
  </si>
  <si>
    <t>파워케이블 결선, 중량 표시 점검</t>
    <phoneticPr fontId="2" type="noConversion"/>
  </si>
  <si>
    <t>범양(1),동아(1)</t>
    <phoneticPr fontId="2" type="noConversion"/>
  </si>
  <si>
    <t>박주성</t>
    <phoneticPr fontId="2" type="noConversion"/>
  </si>
  <si>
    <t>외주정비</t>
    <phoneticPr fontId="2" type="noConversion"/>
  </si>
  <si>
    <t>인도후</t>
    <phoneticPr fontId="2" type="noConversion"/>
  </si>
  <si>
    <t>진해해군</t>
    <phoneticPr fontId="2" type="noConversion"/>
  </si>
  <si>
    <t>P110</t>
    <phoneticPr fontId="2" type="noConversion"/>
  </si>
  <si>
    <t>RCS</t>
    <phoneticPr fontId="2" type="noConversion"/>
  </si>
  <si>
    <t>개인차</t>
    <phoneticPr fontId="2" type="noConversion"/>
  </si>
  <si>
    <t>무상</t>
    <phoneticPr fontId="2" type="noConversion"/>
  </si>
  <si>
    <t>영업,구매,CNM,품질</t>
    <phoneticPr fontId="2" type="noConversion"/>
  </si>
  <si>
    <t>세중대왕함 RCS 외주정비 사업회의</t>
    <phoneticPr fontId="2" type="noConversion"/>
  </si>
  <si>
    <t>평택</t>
    <phoneticPr fontId="2" type="noConversion"/>
  </si>
  <si>
    <t>NA0247</t>
    <phoneticPr fontId="2" type="noConversion"/>
  </si>
  <si>
    <t>FC</t>
    <phoneticPr fontId="2" type="noConversion"/>
  </si>
  <si>
    <t>Balance Weight 재정렬 킥오프 미팅</t>
    <phoneticPr fontId="2" type="noConversion"/>
  </si>
  <si>
    <t>영업</t>
    <phoneticPr fontId="2" type="noConversion"/>
  </si>
  <si>
    <t>반차: 박주성(오후)</t>
    <phoneticPr fontId="2" type="noConversion"/>
  </si>
  <si>
    <t>A/S</t>
    <phoneticPr fontId="2" type="noConversion"/>
  </si>
  <si>
    <t>평가 코멘트 조치</t>
    <phoneticPr fontId="2" type="noConversion"/>
  </si>
  <si>
    <t>군산5부두</t>
    <phoneticPr fontId="2" type="noConversion"/>
  </si>
  <si>
    <t>RAMP
GATE</t>
    <phoneticPr fontId="2" type="noConversion"/>
  </si>
  <si>
    <t>sheave stand 보강, bearing 교체, 
엔코더케이스 교체 외</t>
    <phoneticPr fontId="2" type="noConversion"/>
  </si>
  <si>
    <t>진진(4)</t>
    <phoneticPr fontId="2" type="noConversion"/>
  </si>
  <si>
    <t>개인차량</t>
    <phoneticPr fontId="2" type="noConversion"/>
  </si>
  <si>
    <t>HIO(2), 동아(2)</t>
    <phoneticPr fontId="2" type="noConversion"/>
  </si>
  <si>
    <t>시운전 / PUNH조치, 도장 수정(터치업)</t>
    <phoneticPr fontId="2" type="noConversion"/>
  </si>
  <si>
    <t>Wire rigging / 결선작업</t>
    <phoneticPr fontId="2" type="noConversion"/>
  </si>
  <si>
    <t>STW, P/D 내부 케이블 점검, 쇼트 확인/조치, 에어밴트 수정, 지브레스트 안착불량 점검/조치</t>
    <phoneticPr fontId="2" type="noConversion"/>
  </si>
  <si>
    <t>0160</t>
    <phoneticPr fontId="2" type="noConversion"/>
  </si>
  <si>
    <t>진진(1)</t>
    <phoneticPr fontId="2" type="noConversion"/>
  </si>
  <si>
    <t>자재확인 : 김선호책임 010-3547-0898</t>
    <phoneticPr fontId="2" type="noConversion"/>
  </si>
  <si>
    <t>외주정비</t>
    <phoneticPr fontId="2" type="noConversion"/>
  </si>
  <si>
    <t>인도후</t>
    <phoneticPr fontId="2" type="noConversion"/>
  </si>
  <si>
    <t>HHI</t>
    <phoneticPr fontId="2" type="noConversion"/>
  </si>
  <si>
    <t>P141</t>
    <phoneticPr fontId="2" type="noConversion"/>
  </si>
  <si>
    <t>HC</t>
    <phoneticPr fontId="2" type="noConversion"/>
  </si>
  <si>
    <t>유상</t>
    <phoneticPr fontId="2" type="noConversion"/>
  </si>
  <si>
    <t>박해식</t>
    <phoneticPr fontId="2" type="noConversion"/>
  </si>
  <si>
    <t>CLAIM</t>
    <phoneticPr fontId="2" type="noConversion"/>
  </si>
  <si>
    <t>용접 크랙 수정</t>
    <phoneticPr fontId="2" type="noConversion"/>
  </si>
  <si>
    <t>김영민, 김동명</t>
    <phoneticPr fontId="2" type="noConversion"/>
  </si>
  <si>
    <t>개인차량</t>
    <phoneticPr fontId="2" type="noConversion"/>
  </si>
  <si>
    <t>용접 크랙 수정</t>
    <phoneticPr fontId="2" type="noConversion"/>
  </si>
  <si>
    <t>용접 크랙 수정 (귀국)</t>
    <phoneticPr fontId="2" type="noConversion"/>
  </si>
  <si>
    <t>용접 크랙 수정 (출발)</t>
    <phoneticPr fontId="2" type="noConversion"/>
  </si>
  <si>
    <t>용접 크랙 수정 (대기)</t>
    <phoneticPr fontId="2" type="noConversion"/>
  </si>
  <si>
    <t>용접 크랙 수정 (승선, 작업시작)</t>
    <phoneticPr fontId="2" type="noConversion"/>
  </si>
  <si>
    <t>용접 크랙 수정 (마무리)</t>
    <phoneticPr fontId="2" type="noConversion"/>
  </si>
  <si>
    <t>HOC</t>
    <phoneticPr fontId="2" type="noConversion"/>
  </si>
  <si>
    <t>PE</t>
    <phoneticPr fontId="2" type="noConversion"/>
  </si>
  <si>
    <t>STW</t>
    <phoneticPr fontId="2" type="noConversion"/>
  </si>
  <si>
    <t>이시맥</t>
    <phoneticPr fontId="2" type="noConversion"/>
  </si>
  <si>
    <t>무상</t>
    <phoneticPr fontId="2" type="noConversion"/>
  </si>
  <si>
    <t>인도전</t>
    <phoneticPr fontId="2" type="noConversion"/>
  </si>
  <si>
    <t>SKMT</t>
    <phoneticPr fontId="2" type="noConversion"/>
  </si>
  <si>
    <t>GNN0019</t>
    <phoneticPr fontId="2" type="noConversion"/>
  </si>
  <si>
    <t>씨앤엠(1)</t>
    <phoneticPr fontId="2" type="noConversion"/>
  </si>
  <si>
    <t>검사 입회 10시</t>
    <phoneticPr fontId="2" type="noConversion"/>
  </si>
  <si>
    <t>HIO(1)</t>
    <phoneticPr fontId="2" type="noConversion"/>
  </si>
  <si>
    <t>RPB 보관함 교체, 간섭부 해소</t>
    <phoneticPr fontId="2" type="noConversion"/>
  </si>
  <si>
    <t>인도후</t>
    <phoneticPr fontId="2" type="noConversion"/>
  </si>
  <si>
    <t>목포해경</t>
    <phoneticPr fontId="2" type="noConversion"/>
  </si>
  <si>
    <t>RB</t>
    <phoneticPr fontId="2" type="noConversion"/>
  </si>
  <si>
    <t>ROLLER 작동(회전)이 되지않음 : 회전상태 CHECK  및 정비또는 교체요구 - 베어링교체 9~10시</t>
    <phoneticPr fontId="2" type="noConversion"/>
  </si>
  <si>
    <t>222003 (3020함)</t>
    <phoneticPr fontId="2" type="noConversion"/>
  </si>
  <si>
    <t>이시맥</t>
    <phoneticPr fontId="2" type="noConversion"/>
  </si>
  <si>
    <t>천상욱, 김현우</t>
    <phoneticPr fontId="2" type="noConversion"/>
  </si>
  <si>
    <t>우신(2), 동아(1)</t>
    <phoneticPr fontId="2" type="noConversion"/>
  </si>
  <si>
    <t>천상욱, 김현우, 김용훈</t>
    <phoneticPr fontId="2" type="noConversion"/>
  </si>
  <si>
    <t>이시맥</t>
    <phoneticPr fontId="2" type="noConversion"/>
  </si>
  <si>
    <t>크레들 탈거. 코멘트 확인/조치
안전교육 이수(이시맥)</t>
    <phoneticPr fontId="2" type="noConversion"/>
  </si>
  <si>
    <t>김유신</t>
    <phoneticPr fontId="2" type="noConversion"/>
  </si>
  <si>
    <t>sheave stand 보강, bearing 교체, 
엔코더케이스 교체 외</t>
    <phoneticPr fontId="2" type="noConversion"/>
  </si>
  <si>
    <t>해체</t>
    <phoneticPr fontId="2" type="noConversion"/>
  </si>
  <si>
    <t>박성용</t>
    <phoneticPr fontId="2" type="noConversion"/>
  </si>
  <si>
    <t>-</t>
    <phoneticPr fontId="2" type="noConversion"/>
  </si>
  <si>
    <t>KT</t>
    <phoneticPr fontId="2" type="noConversion"/>
  </si>
  <si>
    <t>와이어 교체, 시브 개선, 자체테스트</t>
    <phoneticPr fontId="2" type="noConversion"/>
  </si>
  <si>
    <t>P179</t>
    <phoneticPr fontId="2" type="noConversion"/>
  </si>
  <si>
    <t>인도전</t>
    <phoneticPr fontId="2" type="noConversion"/>
  </si>
  <si>
    <t>박해식</t>
    <phoneticPr fontId="2" type="noConversion"/>
  </si>
  <si>
    <t>무상</t>
    <phoneticPr fontId="2" type="noConversion"/>
  </si>
  <si>
    <t>HIO(1), TPS(1), 동아(2), 림스코(1)</t>
    <phoneticPr fontId="2" type="noConversion"/>
  </si>
  <si>
    <t>유승민</t>
    <phoneticPr fontId="2" type="noConversion"/>
  </si>
  <si>
    <t>오태호, 천상욱</t>
    <phoneticPr fontId="2" type="noConversion"/>
  </si>
  <si>
    <t>범양(1),우신(2)</t>
    <phoneticPr fontId="2" type="noConversion"/>
  </si>
  <si>
    <t>8/31 ~ 9/4</t>
    <phoneticPr fontId="2" type="noConversion"/>
  </si>
  <si>
    <t>PC</t>
    <phoneticPr fontId="2" type="noConversion"/>
  </si>
  <si>
    <t>범양(최기추)</t>
    <phoneticPr fontId="2" type="noConversion"/>
  </si>
  <si>
    <t>34주 긴급지원</t>
    <phoneticPr fontId="2" type="noConversion"/>
  </si>
  <si>
    <t>9/1 ~ 9/2</t>
    <phoneticPr fontId="2" type="noConversion"/>
  </si>
  <si>
    <t>9/3 ~ 9/4</t>
    <phoneticPr fontId="2" type="noConversion"/>
  </si>
  <si>
    <t>개선사항</t>
    <phoneticPr fontId="2" type="noConversion"/>
  </si>
  <si>
    <t>검사 입회(1:30) &amp; 승조원교육(3시), 리모컨 작동 불량 수정/조치</t>
    <phoneticPr fontId="2" type="noConversion"/>
  </si>
  <si>
    <t>왜건 락킹핀 작동불량 (선체 CUP과 위치오류 발생 추정) / PLC 작동 불량 - 9:30분 해군의집</t>
    <phoneticPr fontId="2" type="noConversion"/>
  </si>
  <si>
    <t>P168 RCS 보증수리 (충남함 갑판장) 일정 협의 필요</t>
    <phoneticPr fontId="2" type="noConversion"/>
  </si>
  <si>
    <t>HIO(1), 동아(1)</t>
    <phoneticPr fontId="2" type="noConversion"/>
  </si>
  <si>
    <t>1060</t>
    <phoneticPr fontId="2" type="noConversion"/>
  </si>
  <si>
    <t>군산3부두</t>
    <phoneticPr fontId="2" type="noConversion"/>
  </si>
  <si>
    <t>BR</t>
    <phoneticPr fontId="2" type="noConversion"/>
  </si>
  <si>
    <t>사전 미팅</t>
    <phoneticPr fontId="2" type="noConversion"/>
  </si>
  <si>
    <t>개인차량</t>
    <phoneticPr fontId="2" type="noConversion"/>
  </si>
  <si>
    <t>이시맥, 김용진</t>
    <phoneticPr fontId="2" type="noConversion"/>
  </si>
  <si>
    <t>로드셀 세팅, 인디게이터 커버 설치 외 잔여작업 조치</t>
    <phoneticPr fontId="2" type="noConversion"/>
  </si>
  <si>
    <t>개인차량</t>
    <phoneticPr fontId="2" type="noConversion"/>
  </si>
  <si>
    <t>천상욱, 김현우</t>
    <phoneticPr fontId="2" type="noConversion"/>
  </si>
  <si>
    <t>김용진</t>
    <phoneticPr fontId="2" type="noConversion"/>
  </si>
  <si>
    <t>로드셀 세팅, 인디게이터 커버 설치 외 잔여작업 조치, STW</t>
    <phoneticPr fontId="2" type="noConversion"/>
  </si>
  <si>
    <t>자체테스트</t>
    <phoneticPr fontId="2" type="noConversion"/>
  </si>
  <si>
    <t xml:space="preserve">이시맥 </t>
    <phoneticPr fontId="2" type="noConversion"/>
  </si>
  <si>
    <t>HIO(1), 동아(1), 림스코(1), TPS(1)</t>
    <phoneticPr fontId="2" type="noConversion"/>
  </si>
  <si>
    <t>유압 재세팅 &amp; 시운전, 우현 검사 입회(1시) &amp; 승조원교육(3시)</t>
    <phoneticPr fontId="2" type="noConversion"/>
  </si>
  <si>
    <t xml:space="preserve">TPS(1) </t>
    <phoneticPr fontId="2" type="noConversion"/>
  </si>
  <si>
    <t>PE</t>
    <phoneticPr fontId="2" type="noConversion"/>
  </si>
  <si>
    <t>빌지센서 검사 지원 (10:30)</t>
    <phoneticPr fontId="2" type="noConversion"/>
  </si>
  <si>
    <t>플러드 라이트 고정상태 검사</t>
    <phoneticPr fontId="2" type="noConversion"/>
  </si>
  <si>
    <t>천상욱</t>
    <phoneticPr fontId="2" type="noConversion"/>
  </si>
  <si>
    <t>A/S</t>
    <phoneticPr fontId="2" type="noConversion"/>
  </si>
  <si>
    <t>인도전</t>
    <phoneticPr fontId="2" type="noConversion"/>
  </si>
  <si>
    <t>P179</t>
    <phoneticPr fontId="2" type="noConversion"/>
  </si>
  <si>
    <t>HD</t>
    <phoneticPr fontId="2" type="noConversion"/>
  </si>
  <si>
    <t>씨앤엠(1)</t>
    <phoneticPr fontId="2" type="noConversion"/>
  </si>
  <si>
    <t>무상</t>
    <phoneticPr fontId="2" type="noConversion"/>
  </si>
  <si>
    <t>개인차량</t>
    <phoneticPr fontId="2" type="noConversion"/>
  </si>
  <si>
    <t>HOC</t>
    <phoneticPr fontId="2" type="noConversion"/>
  </si>
  <si>
    <t>외주정비</t>
    <phoneticPr fontId="2" type="noConversion"/>
  </si>
  <si>
    <t>동해어업관리단</t>
    <phoneticPr fontId="2" type="noConversion"/>
  </si>
  <si>
    <t>무궁화1호</t>
    <phoneticPr fontId="2" type="noConversion"/>
  </si>
  <si>
    <t>RB</t>
    <phoneticPr fontId="2" type="noConversion"/>
  </si>
  <si>
    <t>좌현 펜둘레이션 실린더 1개 교체</t>
    <phoneticPr fontId="2" type="noConversion"/>
  </si>
  <si>
    <t>우신(2)</t>
    <phoneticPr fontId="2" type="noConversion"/>
  </si>
  <si>
    <t>유상</t>
    <phoneticPr fontId="2" type="noConversion"/>
  </si>
  <si>
    <t>우신차량</t>
    <phoneticPr fontId="2" type="noConversion"/>
  </si>
  <si>
    <t>김유신, 김현우</t>
    <phoneticPr fontId="2" type="noConversion"/>
  </si>
  <si>
    <t>우신(1)</t>
    <phoneticPr fontId="2" type="noConversion"/>
  </si>
  <si>
    <t>박성용</t>
    <phoneticPr fontId="2" type="noConversion"/>
  </si>
  <si>
    <t>우신(1)</t>
    <phoneticPr fontId="2" type="noConversion"/>
  </si>
  <si>
    <t>천상욱</t>
    <phoneticPr fontId="2" type="noConversion"/>
  </si>
  <si>
    <t>천상욱</t>
    <phoneticPr fontId="2" type="noConversion"/>
  </si>
  <si>
    <t>박주성, 이시맥, 김용진</t>
    <phoneticPr fontId="2" type="noConversion"/>
  </si>
  <si>
    <t>보트 시트 설치</t>
    <phoneticPr fontId="2" type="noConversion"/>
  </si>
  <si>
    <t>평가 검사</t>
    <phoneticPr fontId="2" type="noConversion"/>
  </si>
  <si>
    <t>화요일 진행 사항 보고 결정</t>
    <phoneticPr fontId="2" type="noConversion"/>
  </si>
  <si>
    <t>0160</t>
    <phoneticPr fontId="2" type="noConversion"/>
  </si>
  <si>
    <t>우신차량</t>
    <phoneticPr fontId="2" type="noConversion"/>
  </si>
  <si>
    <t>크레들 수정. 리모컨 고정</t>
    <phoneticPr fontId="2" type="noConversion"/>
  </si>
  <si>
    <t>35주 추가
도면불량/선주코멘트</t>
    <phoneticPr fontId="2" type="noConversion"/>
  </si>
  <si>
    <t>계약사항</t>
    <phoneticPr fontId="2" type="noConversion"/>
  </si>
  <si>
    <t>9/7 ~ 9/9</t>
    <phoneticPr fontId="2" type="noConversion"/>
  </si>
  <si>
    <t>SN2729</t>
    <phoneticPr fontId="2" type="noConversion"/>
  </si>
  <si>
    <t>CMR</t>
    <phoneticPr fontId="2" type="noConversion"/>
  </si>
  <si>
    <t>9/10 ~ 9/11</t>
    <phoneticPr fontId="2" type="noConversion"/>
  </si>
  <si>
    <t>범양(최기추2)</t>
    <phoneticPr fontId="2" type="noConversion"/>
  </si>
  <si>
    <t>9/7 ~ 9/8</t>
    <phoneticPr fontId="2" type="noConversion"/>
  </si>
  <si>
    <t>9/9 ~ 9/11</t>
    <phoneticPr fontId="2" type="noConversion"/>
  </si>
  <si>
    <t>범양(최기추3)</t>
    <phoneticPr fontId="2" type="noConversion"/>
  </si>
  <si>
    <t>PV</t>
    <phoneticPr fontId="2" type="noConversion"/>
  </si>
  <si>
    <t>코멘트 조치</t>
    <phoneticPr fontId="2" type="noConversion"/>
  </si>
  <si>
    <t>9/7 ~ 9/11</t>
    <phoneticPr fontId="2" type="noConversion"/>
  </si>
  <si>
    <t>35주 긴급지원</t>
    <phoneticPr fontId="2" type="noConversion"/>
  </si>
  <si>
    <t>박해식(오후)</t>
    <phoneticPr fontId="2" type="noConversion"/>
  </si>
  <si>
    <t>유상신</t>
    <phoneticPr fontId="2" type="noConversion"/>
  </si>
  <si>
    <t>에이치아이오엔지니어링</t>
    <phoneticPr fontId="2" type="noConversion"/>
  </si>
  <si>
    <t>에이치아이오엔지니어링</t>
    <phoneticPr fontId="2" type="noConversion"/>
  </si>
  <si>
    <t>범양마린엔지니어링</t>
    <phoneticPr fontId="2" type="noConversion"/>
  </si>
  <si>
    <t>우신테크</t>
    <phoneticPr fontId="2" type="noConversion"/>
  </si>
  <si>
    <t>진진산업</t>
    <phoneticPr fontId="2" type="noConversion"/>
  </si>
  <si>
    <t>sheave stand 보강, bearing 교체, 
엔코더케이스 교체 외</t>
    <phoneticPr fontId="2" type="noConversion"/>
  </si>
  <si>
    <t>HD</t>
    <phoneticPr fontId="2" type="noConversion"/>
  </si>
  <si>
    <t>승조원 운용교육 영상 촬영(11시) / 교육서명 및 교육사진 촬영_제출</t>
    <phoneticPr fontId="2" type="noConversion"/>
  </si>
  <si>
    <t>갑판장 010-3583-5878</t>
    <phoneticPr fontId="2" type="noConversion"/>
  </si>
  <si>
    <t>플러드 라이트 고정상태 검사 / 빌지센서 검사 지원 (1:30)</t>
    <phoneticPr fontId="2" type="noConversion"/>
  </si>
  <si>
    <t>자체테스트</t>
    <phoneticPr fontId="2" type="noConversion"/>
  </si>
  <si>
    <t>체인 소리 심함, 커버 간섭, 락/언락 작동 불량, 체인 구동부 텐션 부족</t>
    <phoneticPr fontId="2" type="noConversion"/>
  </si>
  <si>
    <t>박성용</t>
    <phoneticPr fontId="2" type="noConversion"/>
  </si>
  <si>
    <t>우신(1)</t>
    <phoneticPr fontId="2" type="noConversion"/>
  </si>
  <si>
    <t>무상</t>
    <phoneticPr fontId="2" type="noConversion"/>
  </si>
  <si>
    <t>우신차량</t>
    <phoneticPr fontId="2" type="noConversion"/>
  </si>
  <si>
    <t>검사 준비 / 자체테스트</t>
    <phoneticPr fontId="2" type="noConversion"/>
  </si>
  <si>
    <t>박성용</t>
    <phoneticPr fontId="2" type="noConversion"/>
  </si>
  <si>
    <t>우신(1)</t>
    <phoneticPr fontId="2" type="noConversion"/>
  </si>
  <si>
    <t>송영국</t>
    <phoneticPr fontId="2" type="noConversion"/>
  </si>
  <si>
    <t>김유신</t>
    <phoneticPr fontId="2" type="noConversion"/>
  </si>
  <si>
    <t>인디게이터 반출</t>
    <phoneticPr fontId="2" type="noConversion"/>
  </si>
  <si>
    <t>이시맥</t>
    <phoneticPr fontId="2" type="noConversion"/>
  </si>
  <si>
    <t>무상</t>
    <phoneticPr fontId="2" type="noConversion"/>
  </si>
  <si>
    <t>0160</t>
    <phoneticPr fontId="2" type="noConversion"/>
  </si>
  <si>
    <t>이시맥</t>
    <phoneticPr fontId="2" type="noConversion"/>
  </si>
  <si>
    <t>이시맥(오후)</t>
    <phoneticPr fontId="2" type="noConversion"/>
  </si>
  <si>
    <t>사내</t>
    <phoneticPr fontId="2" type="noConversion"/>
  </si>
  <si>
    <t>납품전</t>
    <phoneticPr fontId="2" type="noConversion"/>
  </si>
  <si>
    <t>HT</t>
    <phoneticPr fontId="2" type="noConversion"/>
  </si>
  <si>
    <t>W308</t>
    <phoneticPr fontId="2" type="noConversion"/>
  </si>
  <si>
    <t>TF</t>
    <phoneticPr fontId="2" type="noConversion"/>
  </si>
  <si>
    <t>HTS 와이어 로프 와이어 드럼에 권선</t>
    <phoneticPr fontId="2" type="noConversion"/>
  </si>
  <si>
    <t>-</t>
    <phoneticPr fontId="2" type="noConversion"/>
  </si>
  <si>
    <t>검사 입회 (9:30)</t>
    <phoneticPr fontId="2" type="noConversion"/>
  </si>
  <si>
    <t>CNM(1)</t>
    <phoneticPr fontId="2" type="noConversion"/>
  </si>
  <si>
    <t>개인차량</t>
    <phoneticPr fontId="2" type="noConversion"/>
  </si>
  <si>
    <t>DST(1)</t>
    <phoneticPr fontId="2" type="noConversion"/>
  </si>
  <si>
    <t>0160</t>
    <phoneticPr fontId="2" type="noConversion"/>
  </si>
  <si>
    <t>박성용</t>
    <phoneticPr fontId="2" type="noConversion"/>
  </si>
  <si>
    <t>검사 입회 (9:30분)</t>
    <phoneticPr fontId="2" type="noConversion"/>
  </si>
  <si>
    <t>0160</t>
    <phoneticPr fontId="2" type="noConversion"/>
  </si>
  <si>
    <t>김용진(오후)</t>
    <phoneticPr fontId="2" type="noConversion"/>
  </si>
  <si>
    <t>A/S</t>
    <phoneticPr fontId="2" type="noConversion"/>
  </si>
  <si>
    <t>인도전</t>
    <phoneticPr fontId="2" type="noConversion"/>
  </si>
  <si>
    <t>군산항</t>
    <phoneticPr fontId="2" type="noConversion"/>
  </si>
  <si>
    <t>TNG026</t>
    <phoneticPr fontId="2" type="noConversion"/>
  </si>
  <si>
    <t>RB</t>
    <phoneticPr fontId="2" type="noConversion"/>
  </si>
  <si>
    <t>무상</t>
    <phoneticPr fontId="2" type="noConversion"/>
  </si>
  <si>
    <t>추석 연휴</t>
    <phoneticPr fontId="2" type="noConversion"/>
  </si>
  <si>
    <t>추석 연휴</t>
    <phoneticPr fontId="2" type="noConversion"/>
  </si>
  <si>
    <t>인도후</t>
    <phoneticPr fontId="2" type="noConversion"/>
  </si>
  <si>
    <t>진해해군</t>
    <phoneticPr fontId="2" type="noConversion"/>
  </si>
  <si>
    <t>ROV</t>
    <phoneticPr fontId="2" type="noConversion"/>
  </si>
  <si>
    <t>작동 점검/조치</t>
    <phoneticPr fontId="2" type="noConversion"/>
  </si>
  <si>
    <t>김용진</t>
    <phoneticPr fontId="2" type="noConversion"/>
  </si>
  <si>
    <t>진진(1)</t>
    <phoneticPr fontId="2" type="noConversion"/>
  </si>
  <si>
    <t>박재규</t>
    <phoneticPr fontId="2" type="noConversion"/>
  </si>
  <si>
    <t>김유신</t>
    <phoneticPr fontId="2" type="noConversion"/>
  </si>
  <si>
    <t>P178</t>
    <phoneticPr fontId="2" type="noConversion"/>
  </si>
  <si>
    <t>HD</t>
    <phoneticPr fontId="2" type="noConversion"/>
  </si>
  <si>
    <t>등화관제 및 코멘트 조치</t>
    <phoneticPr fontId="2" type="noConversion"/>
  </si>
  <si>
    <t>씨앤엠(4)</t>
    <phoneticPr fontId="2" type="noConversion"/>
  </si>
  <si>
    <t>무상</t>
    <phoneticPr fontId="2" type="noConversion"/>
  </si>
  <si>
    <t>개인차량</t>
    <phoneticPr fontId="2" type="noConversion"/>
  </si>
  <si>
    <t>진진(2)</t>
    <phoneticPr fontId="2" type="noConversion"/>
  </si>
  <si>
    <t>코멘트 검사</t>
    <phoneticPr fontId="2" type="noConversion"/>
  </si>
  <si>
    <t>크레들 수정, 보트 시트 측정, 윈치 슬립현상 확인, 보트 안착 불량 코멘트 조치</t>
    <phoneticPr fontId="2" type="noConversion"/>
  </si>
  <si>
    <t>검사 코멘트 확인/ 조치</t>
    <phoneticPr fontId="2" type="noConversion"/>
  </si>
  <si>
    <t>권용연, 최병경, 김현우, 천상욱</t>
    <phoneticPr fontId="2" type="noConversion"/>
  </si>
  <si>
    <t>박재규, 박용웅</t>
    <phoneticPr fontId="2" type="noConversion"/>
  </si>
  <si>
    <t>개인차량</t>
    <phoneticPr fontId="2" type="noConversion"/>
  </si>
  <si>
    <t>P169</t>
    <phoneticPr fontId="2" type="noConversion"/>
  </si>
  <si>
    <t>박주성</t>
    <phoneticPr fontId="2" type="noConversion"/>
  </si>
  <si>
    <t>씨앤엠(1)</t>
    <phoneticPr fontId="2" type="noConversion"/>
  </si>
  <si>
    <t>신상훈</t>
    <phoneticPr fontId="2" type="noConversion"/>
  </si>
  <si>
    <t>9/14 ~ 9/15</t>
    <phoneticPr fontId="2" type="noConversion"/>
  </si>
  <si>
    <t>36주 긴급지원</t>
    <phoneticPr fontId="2" type="noConversion"/>
  </si>
  <si>
    <t>9/14 ~ 9/16</t>
    <phoneticPr fontId="2" type="noConversion"/>
  </si>
  <si>
    <t>9/17 ~ 9/18</t>
    <phoneticPr fontId="2" type="noConversion"/>
  </si>
  <si>
    <t>9/14 ~ 9/18</t>
    <phoneticPr fontId="2" type="noConversion"/>
  </si>
  <si>
    <t>조립/ 설치</t>
    <phoneticPr fontId="2" type="noConversion"/>
  </si>
  <si>
    <t>HJSC</t>
    <phoneticPr fontId="2" type="noConversion"/>
  </si>
  <si>
    <t>독도함</t>
    <phoneticPr fontId="2" type="noConversion"/>
  </si>
  <si>
    <t>CS, ER</t>
    <phoneticPr fontId="2" type="noConversion"/>
  </si>
  <si>
    <t>박주성</t>
    <phoneticPr fontId="2" type="noConversion"/>
  </si>
  <si>
    <t>무상</t>
    <phoneticPr fontId="2" type="noConversion"/>
  </si>
  <si>
    <t>박해식(오후)</t>
    <phoneticPr fontId="2" type="noConversion"/>
  </si>
  <si>
    <t>시운전 재평가 (10시)</t>
    <phoneticPr fontId="2" type="noConversion"/>
  </si>
  <si>
    <t>블록스탑 검사 입회</t>
    <phoneticPr fontId="2" type="noConversion"/>
  </si>
  <si>
    <t>검사 입회 (9:30분) / 선주코멘트 (도장보수, 그리스도포 외)</t>
    <phoneticPr fontId="2" type="noConversion"/>
  </si>
  <si>
    <t>DST(1), 우신(1)</t>
    <phoneticPr fontId="2" type="noConversion"/>
  </si>
  <si>
    <t>김유신&lt;사전품의추가&gt;</t>
    <phoneticPr fontId="2" type="noConversion"/>
  </si>
  <si>
    <t>인디게이터 설치, 로드셀 세팅</t>
    <phoneticPr fontId="2" type="noConversion"/>
  </si>
  <si>
    <t>김용진</t>
    <phoneticPr fontId="2" type="noConversion"/>
  </si>
  <si>
    <t>동아(2)</t>
    <phoneticPr fontId="2" type="noConversion"/>
  </si>
  <si>
    <t>무상</t>
    <phoneticPr fontId="2" type="noConversion"/>
  </si>
  <si>
    <t>0160</t>
    <phoneticPr fontId="2" type="noConversion"/>
  </si>
  <si>
    <t>실린더 &amp; 펌프 검사 (사내)</t>
    <phoneticPr fontId="2" type="noConversion"/>
  </si>
  <si>
    <t>-</t>
    <phoneticPr fontId="2" type="noConversion"/>
  </si>
  <si>
    <t>개인차량</t>
    <phoneticPr fontId="2" type="noConversion"/>
  </si>
  <si>
    <t>이시맥, 김용진</t>
    <phoneticPr fontId="2" type="noConversion"/>
  </si>
  <si>
    <t>0160</t>
    <phoneticPr fontId="2" type="noConversion"/>
  </si>
  <si>
    <t>-</t>
    <phoneticPr fontId="2" type="noConversion"/>
  </si>
  <si>
    <t>박성용</t>
    <phoneticPr fontId="2" type="noConversion"/>
  </si>
  <si>
    <t>-</t>
    <phoneticPr fontId="2" type="noConversion"/>
  </si>
  <si>
    <t>박성용, 김용진</t>
    <phoneticPr fontId="2" type="noConversion"/>
  </si>
  <si>
    <t>크래들 수정, 보트 시트 설치</t>
    <phoneticPr fontId="2" type="noConversion"/>
  </si>
  <si>
    <t>CLAIM</t>
    <phoneticPr fontId="2" type="noConversion"/>
  </si>
  <si>
    <t>인도후</t>
    <phoneticPr fontId="2" type="noConversion"/>
  </si>
  <si>
    <t>대만</t>
    <phoneticPr fontId="2" type="noConversion"/>
  </si>
  <si>
    <t>OJC</t>
    <phoneticPr fontId="2" type="noConversion"/>
  </si>
  <si>
    <t>NO.1/2/3 CRANE CLAIM 점검/조치</t>
    <phoneticPr fontId="2" type="noConversion"/>
  </si>
  <si>
    <t>이시맥, 김영민, 김동명</t>
    <phoneticPr fontId="2" type="noConversion"/>
  </si>
  <si>
    <t>우신(1)</t>
    <phoneticPr fontId="2" type="noConversion"/>
  </si>
  <si>
    <t>개인차량</t>
    <phoneticPr fontId="2" type="noConversion"/>
  </si>
  <si>
    <t>0160</t>
    <phoneticPr fontId="2" type="noConversion"/>
  </si>
  <si>
    <t>박성용, 김용진</t>
    <phoneticPr fontId="2" type="noConversion"/>
  </si>
  <si>
    <t>-</t>
    <phoneticPr fontId="2" type="noConversion"/>
  </si>
  <si>
    <t>씨앤엠(3)</t>
    <phoneticPr fontId="2" type="noConversion"/>
  </si>
  <si>
    <t>STW (모터 샤프트 손상 수정 후 설치)</t>
    <phoneticPr fontId="2" type="noConversion"/>
  </si>
  <si>
    <t>STW</t>
    <phoneticPr fontId="2" type="noConversion"/>
  </si>
  <si>
    <t>박재규, 박용웅
권택언주무관 : 010-4748-9869</t>
    <phoneticPr fontId="2" type="noConversion"/>
  </si>
  <si>
    <t>김용휸, 최재호</t>
    <phoneticPr fontId="2" type="noConversion"/>
  </si>
  <si>
    <t>권용연 외</t>
    <phoneticPr fontId="2" type="noConversion"/>
  </si>
  <si>
    <t>37주 긴급지원</t>
    <phoneticPr fontId="2" type="noConversion"/>
  </si>
  <si>
    <t>37주 긴급지원</t>
    <phoneticPr fontId="2" type="noConversion"/>
  </si>
  <si>
    <t>HIO(2)</t>
    <phoneticPr fontId="2" type="noConversion"/>
  </si>
  <si>
    <t>PC</t>
    <phoneticPr fontId="2" type="noConversion"/>
  </si>
  <si>
    <t>사상, 도장 수정 작업</t>
    <phoneticPr fontId="2" type="noConversion"/>
  </si>
  <si>
    <t>SN2729</t>
    <phoneticPr fontId="2" type="noConversion"/>
  </si>
  <si>
    <t>UP 조립</t>
    <phoneticPr fontId="2" type="noConversion"/>
  </si>
  <si>
    <t>사내</t>
    <phoneticPr fontId="2" type="noConversion"/>
  </si>
  <si>
    <t>납품전</t>
    <phoneticPr fontId="2" type="noConversion"/>
  </si>
  <si>
    <t>TF</t>
    <phoneticPr fontId="2" type="noConversion"/>
  </si>
  <si>
    <t>범양(3)</t>
    <phoneticPr fontId="2" type="noConversion"/>
  </si>
  <si>
    <t>-</t>
    <phoneticPr fontId="2" type="noConversion"/>
  </si>
  <si>
    <t>9/21 ~ 9/23</t>
    <phoneticPr fontId="2" type="noConversion"/>
  </si>
  <si>
    <t>조립</t>
    <phoneticPr fontId="2" type="noConversion"/>
  </si>
  <si>
    <t>HIO(3)</t>
    <phoneticPr fontId="2" type="noConversion"/>
  </si>
  <si>
    <t>진진(2)</t>
    <phoneticPr fontId="2" type="noConversion"/>
  </si>
  <si>
    <t>박재규, 박용웅</t>
    <phoneticPr fontId="2" type="noConversion"/>
  </si>
  <si>
    <t>계약사항</t>
    <phoneticPr fontId="2" type="noConversion"/>
  </si>
  <si>
    <t>STW</t>
    <phoneticPr fontId="2" type="noConversion"/>
  </si>
  <si>
    <t>동아(2)</t>
    <phoneticPr fontId="2" type="noConversion"/>
  </si>
  <si>
    <t>인디게이터 결선/점검, STW</t>
    <phoneticPr fontId="2" type="noConversion"/>
  </si>
  <si>
    <t>김용훈, 최재호</t>
    <phoneticPr fontId="2" type="noConversion"/>
  </si>
  <si>
    <t>HMD</t>
    <phoneticPr fontId="2" type="noConversion"/>
  </si>
  <si>
    <t>H8448</t>
    <phoneticPr fontId="2" type="noConversion"/>
  </si>
  <si>
    <t>HH</t>
    <phoneticPr fontId="2" type="noConversion"/>
  </si>
  <si>
    <t>야드 대조립관련 미팅</t>
    <phoneticPr fontId="2" type="noConversion"/>
  </si>
  <si>
    <t>박주성</t>
    <phoneticPr fontId="2" type="noConversion"/>
  </si>
  <si>
    <t>-</t>
    <phoneticPr fontId="2" type="noConversion"/>
  </si>
  <si>
    <t>0160</t>
    <phoneticPr fontId="2" type="noConversion"/>
  </si>
  <si>
    <t>A/S</t>
    <phoneticPr fontId="2" type="noConversion"/>
  </si>
  <si>
    <t>인도전</t>
    <phoneticPr fontId="2" type="noConversion"/>
  </si>
  <si>
    <t>HOC</t>
    <phoneticPr fontId="2" type="noConversion"/>
  </si>
  <si>
    <t>ML</t>
    <phoneticPr fontId="2" type="noConversion"/>
  </si>
  <si>
    <t>설치</t>
    <phoneticPr fontId="2" type="noConversion"/>
  </si>
  <si>
    <t>우신(3)</t>
    <phoneticPr fontId="2" type="noConversion"/>
  </si>
  <si>
    <t>우신(3)</t>
    <phoneticPr fontId="2" type="noConversion"/>
  </si>
  <si>
    <t xml:space="preserve">센서 시트 용접/설치, 사전준비 </t>
    <phoneticPr fontId="2" type="noConversion"/>
  </si>
  <si>
    <t>우신차량</t>
    <phoneticPr fontId="2" type="noConversion"/>
  </si>
  <si>
    <t>우신차량</t>
    <phoneticPr fontId="2" type="noConversion"/>
  </si>
  <si>
    <t>대체공휴일</t>
    <phoneticPr fontId="2" type="noConversion"/>
  </si>
  <si>
    <t>한글날</t>
    <phoneticPr fontId="2" type="noConversion"/>
  </si>
  <si>
    <t>그리스 라인 설치, STW</t>
    <phoneticPr fontId="2" type="noConversion"/>
  </si>
  <si>
    <t>서영진</t>
    <phoneticPr fontId="2" type="noConversion"/>
  </si>
  <si>
    <t>서영진</t>
    <phoneticPr fontId="2" type="noConversion"/>
  </si>
  <si>
    <t>설치 (크레인 9시)</t>
    <phoneticPr fontId="2" type="noConversion"/>
  </si>
  <si>
    <t>39주</t>
    <phoneticPr fontId="2" type="noConversion"/>
  </si>
  <si>
    <t>40주</t>
    <phoneticPr fontId="2" type="noConversion"/>
  </si>
  <si>
    <t>41주</t>
    <phoneticPr fontId="2" type="noConversion"/>
  </si>
  <si>
    <t>42주</t>
    <phoneticPr fontId="2" type="noConversion"/>
  </si>
  <si>
    <t>납품 / 설치 (크레인 9시)</t>
    <phoneticPr fontId="2" type="noConversion"/>
  </si>
  <si>
    <t>9/28 ~ 10/2</t>
    <phoneticPr fontId="2" type="noConversion"/>
  </si>
  <si>
    <t>범양(최기추5)</t>
    <phoneticPr fontId="2" type="noConversion"/>
  </si>
  <si>
    <t>9/28 ~ 9/30</t>
    <phoneticPr fontId="2" type="noConversion"/>
  </si>
  <si>
    <t>10/1 ~ 10/2</t>
    <phoneticPr fontId="2" type="noConversion"/>
  </si>
  <si>
    <t>시운전, 초크테스트</t>
    <phoneticPr fontId="2" type="noConversion"/>
  </si>
  <si>
    <t>인디게이터 설치, PUNCH 조치</t>
    <phoneticPr fontId="2" type="noConversion"/>
  </si>
  <si>
    <t>인도후</t>
    <phoneticPr fontId="2" type="noConversion"/>
  </si>
  <si>
    <t>P168</t>
    <phoneticPr fontId="2" type="noConversion"/>
  </si>
  <si>
    <t>HD, RCS</t>
    <phoneticPr fontId="2" type="noConversion"/>
  </si>
  <si>
    <t>무상</t>
    <phoneticPr fontId="2" type="noConversion"/>
  </si>
  <si>
    <t>우신차량</t>
    <phoneticPr fontId="2" type="noConversion"/>
  </si>
  <si>
    <t>한라IMS(영도)</t>
    <phoneticPr fontId="2" type="noConversion"/>
  </si>
  <si>
    <t>승조원 교육 (9시0분 / 인원수 : 약 9명)
HD 현대중공업 함정사업본부(구 특수선사업부) 함정 경영본관 1층 접견실내 회의실</t>
    <phoneticPr fontId="2" type="noConversion"/>
  </si>
  <si>
    <t>갑판장 / 원사 염회제 / 연락처 : 010 - 4233 - 8625</t>
    <phoneticPr fontId="2" type="noConversion"/>
  </si>
  <si>
    <t>TPS(2)</t>
    <phoneticPr fontId="2" type="noConversion"/>
  </si>
  <si>
    <t>무상</t>
    <phoneticPr fontId="2" type="noConversion"/>
  </si>
  <si>
    <t>0160</t>
    <phoneticPr fontId="2" type="noConversion"/>
  </si>
  <si>
    <t>안전 교육 오전 8시 / 보증수리 (10시)
실물신분증 및 출입서류 지참</t>
    <phoneticPr fontId="2" type="noConversion"/>
  </si>
  <si>
    <t>범양마린엔지니어링</t>
    <phoneticPr fontId="2" type="noConversion"/>
  </si>
  <si>
    <t>범양마린엔지니어링</t>
    <phoneticPr fontId="2" type="noConversion"/>
  </si>
  <si>
    <t>9/1 ~ 9/4</t>
    <phoneticPr fontId="2" type="noConversion"/>
  </si>
  <si>
    <t>9/28 ~ 9/30</t>
    <phoneticPr fontId="2" type="noConversion"/>
  </si>
  <si>
    <t>A/S</t>
    <phoneticPr fontId="2" type="noConversion"/>
  </si>
  <si>
    <t>인도전</t>
    <phoneticPr fontId="2" type="noConversion"/>
  </si>
  <si>
    <t>SKMT</t>
    <phoneticPr fontId="2" type="noConversion"/>
  </si>
  <si>
    <t>GNN0018</t>
    <phoneticPr fontId="2" type="noConversion"/>
  </si>
  <si>
    <t>HD</t>
    <phoneticPr fontId="2" type="noConversion"/>
  </si>
  <si>
    <t>무상</t>
    <phoneticPr fontId="2" type="noConversion"/>
  </si>
  <si>
    <t>개인차량</t>
    <phoneticPr fontId="2" type="noConversion"/>
  </si>
  <si>
    <t>메쉬망 설치 기술 지원</t>
    <phoneticPr fontId="2" type="noConversion"/>
  </si>
  <si>
    <t>우신(1), 씨앤엠(1)</t>
    <phoneticPr fontId="2" type="noConversion"/>
  </si>
  <si>
    <t>인도전</t>
    <phoneticPr fontId="2" type="noConversion"/>
  </si>
  <si>
    <t>HHI</t>
    <phoneticPr fontId="2" type="noConversion"/>
  </si>
  <si>
    <t>P169</t>
    <phoneticPr fontId="2" type="noConversion"/>
  </si>
  <si>
    <t xml:space="preserve">  Blocstop 해체 / 도어 해체</t>
    <phoneticPr fontId="2" type="noConversion"/>
  </si>
  <si>
    <t>윈치 소음 점검/조치</t>
    <phoneticPr fontId="2" type="noConversion"/>
  </si>
  <si>
    <t>이시맥, 김용진</t>
    <phoneticPr fontId="2" type="noConversion"/>
  </si>
  <si>
    <t>페루</t>
    <phoneticPr fontId="2" type="noConversion"/>
  </si>
  <si>
    <t>PA56/57</t>
    <phoneticPr fontId="2" type="noConversion"/>
  </si>
  <si>
    <t>BR</t>
    <phoneticPr fontId="2" type="noConversion"/>
  </si>
  <si>
    <t>STW / 승조원교육 - 이동</t>
    <phoneticPr fontId="2" type="noConversion"/>
  </si>
  <si>
    <t xml:space="preserve">범양(1), HIO(1) </t>
    <phoneticPr fontId="2" type="noConversion"/>
  </si>
  <si>
    <t>유상</t>
    <phoneticPr fontId="2" type="noConversion"/>
  </si>
  <si>
    <t>-</t>
    <phoneticPr fontId="2" type="noConversion"/>
  </si>
  <si>
    <t>STW</t>
    <phoneticPr fontId="2" type="noConversion"/>
  </si>
  <si>
    <t>PA57</t>
    <phoneticPr fontId="2" type="noConversion"/>
  </si>
  <si>
    <t>STW / 승조원교육 - 대기</t>
    <phoneticPr fontId="2" type="noConversion"/>
  </si>
  <si>
    <t>승조원교육</t>
    <phoneticPr fontId="2" type="noConversion"/>
  </si>
  <si>
    <t>STW / 승조원교육 - 출발</t>
    <phoneticPr fontId="2" type="noConversion"/>
  </si>
  <si>
    <t>씨앤엠</t>
    <phoneticPr fontId="2" type="noConversion"/>
  </si>
  <si>
    <t>개인차량</t>
    <phoneticPr fontId="2" type="noConversion"/>
  </si>
  <si>
    <t>43주</t>
    <phoneticPr fontId="2" type="noConversion"/>
  </si>
  <si>
    <t>44주</t>
    <phoneticPr fontId="2" type="noConversion"/>
  </si>
  <si>
    <t>45주</t>
    <phoneticPr fontId="2" type="noConversion"/>
  </si>
  <si>
    <t>46주</t>
    <phoneticPr fontId="2" type="noConversion"/>
  </si>
  <si>
    <t>47주</t>
    <phoneticPr fontId="2" type="noConversion"/>
  </si>
  <si>
    <t>48주</t>
    <phoneticPr fontId="2" type="noConversion"/>
  </si>
  <si>
    <t>49주</t>
    <phoneticPr fontId="2" type="noConversion"/>
  </si>
  <si>
    <t>50주</t>
    <phoneticPr fontId="2" type="noConversion"/>
  </si>
  <si>
    <t>51주</t>
    <phoneticPr fontId="2" type="noConversion"/>
  </si>
  <si>
    <t>52주</t>
    <phoneticPr fontId="2" type="noConversion"/>
  </si>
  <si>
    <t>도어 판넬 설치</t>
    <phoneticPr fontId="2" type="noConversion"/>
  </si>
  <si>
    <t>해체 (휴일 특근)</t>
    <phoneticPr fontId="2" type="noConversion"/>
  </si>
  <si>
    <t>포장 (휴일 특근)</t>
    <phoneticPr fontId="2" type="noConversion"/>
  </si>
  <si>
    <t>39주 긴급추가</t>
    <phoneticPr fontId="2" type="noConversion"/>
  </si>
  <si>
    <t>10/6 ~ 10/8</t>
    <phoneticPr fontId="2" type="noConversion"/>
  </si>
  <si>
    <t>전처리 (쇼트)</t>
    <phoneticPr fontId="2" type="noConversion"/>
  </si>
  <si>
    <t>10/7 ~ 10/8</t>
    <phoneticPr fontId="2" type="noConversion"/>
  </si>
  <si>
    <t>안전 교육 오전 8시 / 보증수리 (10시)</t>
    <phoneticPr fontId="2" type="noConversion"/>
  </si>
  <si>
    <t>범양_최기추(3)</t>
    <phoneticPr fontId="2" type="noConversion"/>
  </si>
  <si>
    <t>포장 / 선적</t>
    <phoneticPr fontId="2" type="noConversion"/>
  </si>
  <si>
    <t>HH, PV</t>
    <phoneticPr fontId="2" type="noConversion"/>
  </si>
  <si>
    <t>크래들 교체, 보트 시트 설치</t>
    <phoneticPr fontId="2" type="noConversion"/>
  </si>
  <si>
    <t>RD</t>
    <phoneticPr fontId="2" type="noConversion"/>
  </si>
  <si>
    <t>우신(1)</t>
    <phoneticPr fontId="2" type="noConversion"/>
  </si>
  <si>
    <t>시운전 지적사항 조치 
(1) 리모컨 벨크로 고정 2) 크레들 불필요한 HOLE 메공  3) 레벨게이지 볼트 교체 4) 유압 호스 케이블타이 -&gt; 밴딩띠 변경)</t>
    <phoneticPr fontId="2" type="noConversion"/>
  </si>
  <si>
    <t xml:space="preserve"> 헬기 격납고 인입식 작동 코멘트 조치 - 씨앤엠 조치 사항 확인</t>
    <phoneticPr fontId="2" type="noConversion"/>
  </si>
  <si>
    <r>
      <t xml:space="preserve">DST(1), </t>
    </r>
    <r>
      <rPr>
        <sz val="10"/>
        <color rgb="FFFF0000"/>
        <rFont val="맑은 고딕"/>
        <family val="3"/>
        <charset val="129"/>
        <scheme val="minor"/>
      </rPr>
      <t>우신(1)</t>
    </r>
    <phoneticPr fontId="2" type="noConversion"/>
  </si>
  <si>
    <r>
      <t>범양(1),우</t>
    </r>
    <r>
      <rPr>
        <sz val="10"/>
        <color rgb="FFFF0000"/>
        <rFont val="맑은 고딕"/>
        <family val="3"/>
        <charset val="129"/>
        <scheme val="minor"/>
      </rPr>
      <t>신(2)</t>
    </r>
    <phoneticPr fontId="2" type="noConversion"/>
  </si>
  <si>
    <t>우신테크</t>
    <phoneticPr fontId="2" type="noConversion"/>
  </si>
  <si>
    <r>
      <rPr>
        <sz val="10"/>
        <color rgb="FF0000FF"/>
        <rFont val="맑은 고딕"/>
        <family val="3"/>
        <charset val="129"/>
        <scheme val="minor"/>
      </rPr>
      <t>HIO(1</t>
    </r>
    <r>
      <rPr>
        <sz val="10"/>
        <color theme="1"/>
        <rFont val="맑은 고딕"/>
        <family val="3"/>
        <charset val="129"/>
        <scheme val="minor"/>
      </rPr>
      <t xml:space="preserve">), </t>
    </r>
    <r>
      <rPr>
        <sz val="10"/>
        <color rgb="FFFF0000"/>
        <rFont val="맑은 고딕"/>
        <family val="3"/>
        <charset val="129"/>
        <scheme val="minor"/>
      </rPr>
      <t>우신(1)</t>
    </r>
    <phoneticPr fontId="2" type="noConversion"/>
  </si>
  <si>
    <t>사전품의 완료
업체변경(우신-&gt;HIO)</t>
    <phoneticPr fontId="2" type="noConversion"/>
  </si>
  <si>
    <t>에이치아이오 엔지니어링</t>
    <phoneticPr fontId="2" type="noConversion"/>
  </si>
  <si>
    <t>송영국</t>
    <phoneticPr fontId="2" type="noConversion"/>
  </si>
  <si>
    <t>송영국</t>
    <phoneticPr fontId="2" type="noConversion"/>
  </si>
  <si>
    <t>STW</t>
    <phoneticPr fontId="2" type="noConversion"/>
  </si>
  <si>
    <t>림스코(1), 동아(1)</t>
    <phoneticPr fontId="2" type="noConversion"/>
  </si>
  <si>
    <t>0160</t>
    <phoneticPr fontId="2" type="noConversion"/>
  </si>
  <si>
    <t>박해식(오후)</t>
    <phoneticPr fontId="2" type="noConversion"/>
  </si>
  <si>
    <t>외주정비</t>
    <phoneticPr fontId="2" type="noConversion"/>
  </si>
  <si>
    <t>HHI</t>
    <phoneticPr fontId="2" type="noConversion"/>
  </si>
  <si>
    <t>P141</t>
    <phoneticPr fontId="2" type="noConversion"/>
  </si>
  <si>
    <t>실린더 &amp; 펌프 설치</t>
    <phoneticPr fontId="2" type="noConversion"/>
  </si>
  <si>
    <t>박성용</t>
    <phoneticPr fontId="2" type="noConversion"/>
  </si>
  <si>
    <t>진진(1)</t>
    <phoneticPr fontId="2" type="noConversion"/>
  </si>
  <si>
    <t>유상</t>
    <phoneticPr fontId="2" type="noConversion"/>
  </si>
  <si>
    <t>인도전</t>
    <phoneticPr fontId="2" type="noConversion"/>
  </si>
  <si>
    <t>삼원중공업</t>
    <phoneticPr fontId="2" type="noConversion"/>
  </si>
  <si>
    <t>SWN0288</t>
    <phoneticPr fontId="2" type="noConversion"/>
  </si>
  <si>
    <t>설치 기술 지원</t>
    <phoneticPr fontId="2" type="noConversion"/>
  </si>
  <si>
    <t>진진(1)</t>
    <phoneticPr fontId="2" type="noConversion"/>
  </si>
  <si>
    <t>무상</t>
    <phoneticPr fontId="2" type="noConversion"/>
  </si>
  <si>
    <t>용접사시험 : 김용진, 우신(김유신), 순천(2)</t>
    <phoneticPr fontId="2" type="noConversion"/>
  </si>
  <si>
    <t>SKMT</t>
    <phoneticPr fontId="2" type="noConversion"/>
  </si>
  <si>
    <t>승조원 교육</t>
    <phoneticPr fontId="2" type="noConversion"/>
  </si>
  <si>
    <t>씨앤엠(1)</t>
    <phoneticPr fontId="2" type="noConversion"/>
  </si>
  <si>
    <t>무상</t>
    <phoneticPr fontId="2" type="noConversion"/>
  </si>
  <si>
    <t>한상준</t>
    <phoneticPr fontId="2" type="noConversion"/>
  </si>
  <si>
    <t>HLG / HHD</t>
    <phoneticPr fontId="2" type="noConversion"/>
  </si>
  <si>
    <t>CLAIM</t>
    <phoneticPr fontId="2" type="noConversion"/>
  </si>
  <si>
    <t>인도후</t>
    <phoneticPr fontId="2" type="noConversion"/>
  </si>
  <si>
    <t>덴마크</t>
    <phoneticPr fontId="2" type="noConversion"/>
  </si>
  <si>
    <t>OJC</t>
    <phoneticPr fontId="2" type="noConversion"/>
  </si>
  <si>
    <t>김영민</t>
    <phoneticPr fontId="2" type="noConversion"/>
  </si>
  <si>
    <t>우신(1), 순천(2)</t>
    <phoneticPr fontId="2" type="noConversion"/>
  </si>
  <si>
    <t>무상</t>
    <phoneticPr fontId="2" type="noConversion"/>
  </si>
  <si>
    <t>인도후</t>
    <phoneticPr fontId="2" type="noConversion"/>
  </si>
  <si>
    <t>HJSC</t>
    <phoneticPr fontId="2" type="noConversion"/>
  </si>
  <si>
    <t>S204</t>
    <phoneticPr fontId="2" type="noConversion"/>
  </si>
  <si>
    <t>무상</t>
    <phoneticPr fontId="2" type="noConversion"/>
  </si>
  <si>
    <t>개인차량</t>
    <phoneticPr fontId="2" type="noConversion"/>
  </si>
  <si>
    <t>서해어업관리단</t>
    <phoneticPr fontId="2" type="noConversion"/>
  </si>
  <si>
    <t>RB</t>
    <phoneticPr fontId="2" type="noConversion"/>
  </si>
  <si>
    <t>HPU 누유, 작업등 수분 유입</t>
    <phoneticPr fontId="2" type="noConversion"/>
  </si>
  <si>
    <t>씨앤엠(2)</t>
    <phoneticPr fontId="2" type="noConversion"/>
  </si>
  <si>
    <t>씨앤엠(2)</t>
    <phoneticPr fontId="2" type="noConversion"/>
  </si>
  <si>
    <t>이시맥</t>
    <phoneticPr fontId="2" type="noConversion"/>
  </si>
  <si>
    <t>동아(1)</t>
    <phoneticPr fontId="2" type="noConversion"/>
  </si>
  <si>
    <t>전기 결선 점검, 리미트&amp;로드셀 세팅</t>
    <phoneticPr fontId="2" type="noConversion"/>
  </si>
  <si>
    <t>개인차량</t>
    <phoneticPr fontId="2" type="noConversion"/>
  </si>
  <si>
    <t>STW / 승조원교육</t>
    <phoneticPr fontId="2" type="noConversion"/>
  </si>
  <si>
    <t>STW</t>
    <phoneticPr fontId="2" type="noConversion"/>
  </si>
  <si>
    <t>STW - 이동</t>
    <phoneticPr fontId="2" type="noConversion"/>
  </si>
  <si>
    <t>A/S</t>
    <phoneticPr fontId="2" type="noConversion"/>
  </si>
  <si>
    <t>S198</t>
    <phoneticPr fontId="2" type="noConversion"/>
  </si>
  <si>
    <t>작동 불량 점검/조치</t>
    <phoneticPr fontId="2" type="noConversion"/>
  </si>
  <si>
    <t>박성용</t>
    <phoneticPr fontId="2" type="noConversion"/>
  </si>
  <si>
    <t>동아(1)</t>
    <phoneticPr fontId="2" type="noConversion"/>
  </si>
  <si>
    <t>0160</t>
    <phoneticPr fontId="2" type="noConversion"/>
  </si>
  <si>
    <t>최재호</t>
    <phoneticPr fontId="2" type="noConversion"/>
  </si>
  <si>
    <t>천상욱</t>
    <phoneticPr fontId="2" type="noConversion"/>
  </si>
  <si>
    <t>천상욱</t>
    <phoneticPr fontId="2" type="noConversion"/>
  </si>
  <si>
    <t>외주정비</t>
    <phoneticPr fontId="2" type="noConversion"/>
  </si>
  <si>
    <t>진해해군</t>
    <phoneticPr fontId="2" type="noConversion"/>
  </si>
  <si>
    <t>RCS</t>
    <phoneticPr fontId="2" type="noConversion"/>
  </si>
  <si>
    <t>해체</t>
    <phoneticPr fontId="2" type="noConversion"/>
  </si>
  <si>
    <t>박주성</t>
    <phoneticPr fontId="2" type="noConversion"/>
  </si>
  <si>
    <t>진진(5)</t>
    <phoneticPr fontId="2" type="noConversion"/>
  </si>
  <si>
    <t>유상</t>
    <phoneticPr fontId="2" type="noConversion"/>
  </si>
  <si>
    <t>김용진, 박성용</t>
    <phoneticPr fontId="2" type="noConversion"/>
  </si>
  <si>
    <t>0160</t>
    <phoneticPr fontId="2" type="noConversion"/>
  </si>
  <si>
    <t>김용진</t>
    <phoneticPr fontId="2" type="noConversion"/>
  </si>
  <si>
    <t>김용진</t>
    <phoneticPr fontId="2" type="noConversion"/>
  </si>
  <si>
    <t>지적사항 조치, 명판 교체</t>
    <phoneticPr fontId="2" type="noConversion"/>
  </si>
  <si>
    <t>HHI</t>
    <phoneticPr fontId="2" type="noConversion"/>
  </si>
  <si>
    <t>P175</t>
    <phoneticPr fontId="2" type="noConversion"/>
  </si>
  <si>
    <t>ML</t>
    <phoneticPr fontId="2" type="noConversion"/>
  </si>
  <si>
    <t>우신(1), HIO(1)</t>
    <phoneticPr fontId="2" type="noConversion"/>
  </si>
  <si>
    <t>박성용, 서영진</t>
    <phoneticPr fontId="2" type="noConversion"/>
  </si>
  <si>
    <t>A/S</t>
    <phoneticPr fontId="2" type="noConversion"/>
  </si>
  <si>
    <t>인도전</t>
    <phoneticPr fontId="2" type="noConversion"/>
  </si>
  <si>
    <t>HHI</t>
    <phoneticPr fontId="2" type="noConversion"/>
  </si>
  <si>
    <t>P179</t>
    <phoneticPr fontId="2" type="noConversion"/>
  </si>
  <si>
    <t>RB, KT</t>
    <phoneticPr fontId="2" type="noConversion"/>
  </si>
  <si>
    <t>씨앤엠(6)</t>
    <phoneticPr fontId="2" type="noConversion"/>
  </si>
  <si>
    <t>박주성</t>
    <phoneticPr fontId="2" type="noConversion"/>
  </si>
  <si>
    <t>우신(1)</t>
    <phoneticPr fontId="2" type="noConversion"/>
  </si>
  <si>
    <t>턴테이블 수정 점검/조치 (DETENT BLOCK 교체)</t>
    <phoneticPr fontId="2" type="noConversion"/>
  </si>
  <si>
    <t>CLAIM</t>
    <phoneticPr fontId="2" type="noConversion"/>
  </si>
  <si>
    <t>인도전</t>
    <phoneticPr fontId="2" type="noConversion"/>
  </si>
  <si>
    <t>ER</t>
    <phoneticPr fontId="2" type="noConversion"/>
  </si>
  <si>
    <t>동아(1)</t>
    <phoneticPr fontId="2" type="noConversion"/>
  </si>
  <si>
    <t>특수성능 &amp; 테스트 설치</t>
    <phoneticPr fontId="2" type="noConversion"/>
  </si>
  <si>
    <t>이시맥, 김용진</t>
    <phoneticPr fontId="2" type="noConversion"/>
  </si>
  <si>
    <t>김유신출장불가</t>
    <phoneticPr fontId="2" type="noConversion"/>
  </si>
  <si>
    <t>박성용, 김용진</t>
    <phoneticPr fontId="2" type="noConversion"/>
  </si>
  <si>
    <t>SWN0289</t>
    <phoneticPr fontId="2" type="noConversion"/>
  </si>
  <si>
    <t>A/S</t>
    <phoneticPr fontId="2" type="noConversion"/>
  </si>
  <si>
    <t>인도전</t>
    <phoneticPr fontId="2" type="noConversion"/>
  </si>
  <si>
    <t>실린더 점검 (정기보증수리) - 8시 안전교육 이수</t>
    <phoneticPr fontId="2" type="noConversion"/>
  </si>
  <si>
    <t>인도전</t>
    <phoneticPr fontId="2" type="noConversion"/>
  </si>
  <si>
    <t>베트남</t>
    <phoneticPr fontId="2" type="noConversion"/>
  </si>
  <si>
    <t>YN07</t>
    <phoneticPr fontId="2" type="noConversion"/>
  </si>
  <si>
    <t>HH</t>
    <phoneticPr fontId="2" type="noConversion"/>
  </si>
  <si>
    <t>장비 점검</t>
    <phoneticPr fontId="2" type="noConversion"/>
  </si>
  <si>
    <t>범양(1)</t>
    <phoneticPr fontId="2" type="noConversion"/>
  </si>
  <si>
    <t>-</t>
    <phoneticPr fontId="2" type="noConversion"/>
  </si>
  <si>
    <t>AF, BR</t>
    <phoneticPr fontId="2" type="noConversion"/>
  </si>
  <si>
    <t>크리트 추가 여부 협의 / 유압 라인 (실린더/펌프) 점검 : 현상태 이상없으나 인도전 유압 실린더 지지대 및 호스 파손 이력에 따른 점검요청</t>
    <phoneticPr fontId="2" type="noConversion"/>
  </si>
  <si>
    <t>우신(3)</t>
    <phoneticPr fontId="2" type="noConversion"/>
  </si>
  <si>
    <t>S210</t>
  </si>
  <si>
    <t>PC</t>
  </si>
  <si>
    <t>10/10(토)</t>
  </si>
  <si>
    <t>사내</t>
  </si>
  <si>
    <t>포장 / 상차</t>
  </si>
  <si>
    <t>40주 긴급추가</t>
  </si>
  <si>
    <t>특수성능</t>
  </si>
  <si>
    <t>김용진</t>
  </si>
  <si>
    <t>10/12(월)</t>
  </si>
  <si>
    <t>김동명　</t>
  </si>
  <si>
    <t>범양_최기추(1)</t>
  </si>
  <si>
    <t>10/13~10/14</t>
  </si>
  <si>
    <t>범양_최기추(4)</t>
  </si>
  <si>
    <t>10/12~10/14</t>
  </si>
  <si>
    <t>박해식　</t>
  </si>
  <si>
    <t>SN2729</t>
  </si>
  <si>
    <t>포장 / 덴소 </t>
  </si>
  <si>
    <t>우신(3), 더베솔(6)</t>
  </si>
  <si>
    <t>10/12~10/13</t>
  </si>
  <si>
    <t>10/6(화)</t>
  </si>
  <si>
    <t>삼원중공업</t>
  </si>
  <si>
    <t>10/7(수)</t>
  </si>
  <si>
    <t>시운전 지적사항 조치 </t>
  </si>
  <si>
    <t>10/13(화)</t>
  </si>
  <si>
    <t>메쉬망 설치 기술 지원</t>
  </si>
  <si>
    <t>우신(1), 씨앤엠(1)</t>
  </si>
  <si>
    <t>10/14(수)</t>
  </si>
  <si>
    <t>센서 시트 용접/설치, 사전준비 </t>
  </si>
  <si>
    <t>A/S</t>
    <phoneticPr fontId="2" type="noConversion"/>
  </si>
  <si>
    <t>인도전</t>
    <phoneticPr fontId="2" type="noConversion"/>
  </si>
  <si>
    <t>GNN0018</t>
    <phoneticPr fontId="2" type="noConversion"/>
  </si>
  <si>
    <t>RB</t>
    <phoneticPr fontId="2" type="noConversion"/>
  </si>
  <si>
    <t>승조원교육</t>
    <phoneticPr fontId="2" type="noConversion"/>
  </si>
  <si>
    <t>박성용</t>
    <phoneticPr fontId="2" type="noConversion"/>
  </si>
  <si>
    <t>무상</t>
    <phoneticPr fontId="2" type="noConversion"/>
  </si>
  <si>
    <t>0160</t>
    <phoneticPr fontId="2" type="noConversion"/>
  </si>
  <si>
    <t>설치 (크레인 9시30분)</t>
    <phoneticPr fontId="2" type="noConversion"/>
  </si>
  <si>
    <t>오태호, 천상욱</t>
    <phoneticPr fontId="2" type="noConversion"/>
  </si>
  <si>
    <t>용접 크랙 수정 (복귀)</t>
    <phoneticPr fontId="2" type="noConversion"/>
  </si>
  <si>
    <t>SHI</t>
    <phoneticPr fontId="2" type="noConversion"/>
  </si>
  <si>
    <t>작동 불량 점검/조치</t>
    <phoneticPr fontId="2" type="noConversion"/>
  </si>
  <si>
    <t>박주성, 이시맥, 김용진</t>
    <phoneticPr fontId="2" type="noConversion"/>
  </si>
  <si>
    <t>동아, 림스코, TPS</t>
    <phoneticPr fontId="2" type="noConversion"/>
  </si>
  <si>
    <t>자재 입고 확인</t>
    <phoneticPr fontId="2" type="noConversion"/>
  </si>
  <si>
    <t>본선일정 : 10/27일, 11/10 ~ 11/12일 가능</t>
    <phoneticPr fontId="2" type="noConversion"/>
  </si>
  <si>
    <t>비상작동 운용 교육, 로우레벨 타이머 설정 문의/설명/현장 조치, DAVIT 비상파워팩 펌프 흡인 밸브 누유 확인 / KT 마감테이프 보수 - 10시까지</t>
    <phoneticPr fontId="2" type="noConversion"/>
  </si>
  <si>
    <t>0160</t>
    <phoneticPr fontId="2" type="noConversion"/>
  </si>
  <si>
    <t>턴테이블 수정</t>
    <phoneticPr fontId="2" type="noConversion"/>
  </si>
  <si>
    <t>무상</t>
    <phoneticPr fontId="2" type="noConversion"/>
  </si>
  <si>
    <t>KT</t>
    <phoneticPr fontId="2" type="noConversion"/>
  </si>
  <si>
    <t>HJSC</t>
    <phoneticPr fontId="2" type="noConversion"/>
  </si>
  <si>
    <t>우신(1), 진진(1)</t>
    <phoneticPr fontId="2" type="noConversion"/>
  </si>
  <si>
    <t>박용웅, 천상욱</t>
    <phoneticPr fontId="2" type="noConversion"/>
  </si>
  <si>
    <t>우신(2)</t>
    <phoneticPr fontId="2" type="noConversion"/>
  </si>
  <si>
    <t>설치</t>
    <phoneticPr fontId="2" type="noConversion"/>
  </si>
  <si>
    <t>HD</t>
    <phoneticPr fontId="2" type="noConversion"/>
  </si>
  <si>
    <t>HD</t>
    <phoneticPr fontId="2" type="noConversion"/>
  </si>
  <si>
    <t>PE</t>
    <phoneticPr fontId="2" type="noConversion"/>
  </si>
  <si>
    <t>평가</t>
    <phoneticPr fontId="2" type="noConversion"/>
  </si>
  <si>
    <t>평가</t>
    <phoneticPr fontId="2" type="noConversion"/>
  </si>
  <si>
    <t>코멘트 조치</t>
    <phoneticPr fontId="2" type="noConversion"/>
  </si>
  <si>
    <t>특수성능</t>
    <phoneticPr fontId="2" type="noConversion"/>
  </si>
  <si>
    <t>박성용</t>
    <phoneticPr fontId="2" type="noConversion"/>
  </si>
  <si>
    <t>이시맥, 김용진</t>
    <phoneticPr fontId="2" type="noConversion"/>
  </si>
  <si>
    <t>A/S</t>
    <phoneticPr fontId="2" type="noConversion"/>
  </si>
  <si>
    <t>인도후</t>
    <phoneticPr fontId="2" type="noConversion"/>
  </si>
  <si>
    <t>진해해군</t>
    <phoneticPr fontId="2" type="noConversion"/>
  </si>
  <si>
    <t>S187/88</t>
    <phoneticPr fontId="2" type="noConversion"/>
  </si>
  <si>
    <t>BR</t>
    <phoneticPr fontId="2" type="noConversion"/>
  </si>
  <si>
    <t>함수, 미 램프 완충패드 5개소 갈라짐 파손 / 램프 작동시 조종실 오버헤드 콘솔 LOCK상태에서 작동램프 점등 외</t>
    <phoneticPr fontId="2" type="noConversion"/>
  </si>
  <si>
    <t>무상</t>
    <phoneticPr fontId="2" type="noConversion"/>
  </si>
  <si>
    <t>0160</t>
    <phoneticPr fontId="2" type="noConversion"/>
  </si>
  <si>
    <t>보증수리 (점검/ 보트시트 교체 / 볼트 교체)</t>
    <phoneticPr fontId="2" type="noConversion"/>
  </si>
  <si>
    <t>10/17(토)</t>
  </si>
  <si>
    <t>PD</t>
  </si>
  <si>
    <t>P/D 포장</t>
  </si>
  <si>
    <t>41주 긴급추가</t>
  </si>
  <si>
    <t>10/19~10/23</t>
  </si>
  <si>
    <t>조립 / 설치</t>
  </si>
  <si>
    <t>김동명</t>
  </si>
  <si>
    <t>범양_최기추(5)</t>
  </si>
  <si>
    <t>10/19~10/21</t>
  </si>
  <si>
    <t>10/22~10/23</t>
  </si>
  <si>
    <t>10/20~10/21</t>
  </si>
  <si>
    <t>P175</t>
  </si>
  <si>
    <t>10/20(화)</t>
  </si>
  <si>
    <t>턴테이블 수정 점검/조치 (DETENT BLOCK 교체)</t>
  </si>
  <si>
    <t>10/22(목)</t>
  </si>
  <si>
    <t>박성용, 서영진</t>
  </si>
  <si>
    <t>우신(1), HIO(1)</t>
  </si>
  <si>
    <t>10/23(금)</t>
  </si>
  <si>
    <t>42주 긴급추가</t>
    <phoneticPr fontId="2" type="noConversion"/>
  </si>
  <si>
    <t>10/26~10/28</t>
    <phoneticPr fontId="2" type="noConversion"/>
  </si>
  <si>
    <t>10/29~10/30</t>
    <phoneticPr fontId="2" type="noConversion"/>
  </si>
  <si>
    <t>쇼트</t>
    <phoneticPr fontId="2" type="noConversion"/>
  </si>
  <si>
    <t>LRD</t>
    <phoneticPr fontId="2" type="noConversion"/>
  </si>
  <si>
    <t>P54</t>
    <phoneticPr fontId="2" type="noConversion"/>
  </si>
  <si>
    <t>AH</t>
    <phoneticPr fontId="2" type="noConversion"/>
  </si>
  <si>
    <t>10/26~10/30</t>
    <phoneticPr fontId="2" type="noConversion"/>
  </si>
  <si>
    <t>범양_최기추(5)</t>
    <phoneticPr fontId="2" type="noConversion"/>
  </si>
  <si>
    <t>OC</t>
    <phoneticPr fontId="2" type="noConversion"/>
  </si>
  <si>
    <t>CLAIM</t>
    <phoneticPr fontId="2" type="noConversion"/>
  </si>
  <si>
    <t>인도후</t>
    <phoneticPr fontId="2" type="noConversion"/>
  </si>
  <si>
    <t>진해해군</t>
    <phoneticPr fontId="2" type="noConversion"/>
  </si>
  <si>
    <t>P167</t>
    <phoneticPr fontId="2" type="noConversion"/>
  </si>
  <si>
    <t>HD</t>
    <phoneticPr fontId="2" type="noConversion"/>
  </si>
  <si>
    <t>보증수리 (판넬 교체 외)</t>
    <phoneticPr fontId="2" type="noConversion"/>
  </si>
  <si>
    <t>* 정박기간: 12/7~1/15 
* 정박위치: 진해해군</t>
    <phoneticPr fontId="2" type="noConversion"/>
  </si>
  <si>
    <t>정지훈, 김경원 (6556)</t>
    <phoneticPr fontId="2" type="noConversion"/>
  </si>
  <si>
    <t>연차</t>
    <phoneticPr fontId="2" type="noConversion"/>
  </si>
  <si>
    <t>박성용기장</t>
    <phoneticPr fontId="2" type="noConversion"/>
  </si>
  <si>
    <t>2026.10.29 - 2026.10.30</t>
    <phoneticPr fontId="2" type="noConversion"/>
  </si>
  <si>
    <t xml:space="preserve">THERMAL RELAY 사양 변경 (도면불량) </t>
    <phoneticPr fontId="2" type="noConversion"/>
  </si>
  <si>
    <t>자재 준비 (보강자재 개선 작업)</t>
    <phoneticPr fontId="2" type="noConversion"/>
  </si>
  <si>
    <t>OJC</t>
    <phoneticPr fontId="2" type="noConversion"/>
  </si>
  <si>
    <t>인도후</t>
    <phoneticPr fontId="2" type="noConversion"/>
  </si>
  <si>
    <t>사내</t>
    <phoneticPr fontId="2" type="noConversion"/>
  </si>
  <si>
    <t>우신(2)</t>
    <phoneticPr fontId="2" type="noConversion"/>
  </si>
  <si>
    <t>-</t>
    <phoneticPr fontId="2" type="noConversion"/>
  </si>
  <si>
    <t>이시맥, 김용진</t>
    <phoneticPr fontId="2" type="noConversion"/>
  </si>
  <si>
    <t>P176</t>
    <phoneticPr fontId="2" type="noConversion"/>
  </si>
  <si>
    <t>ML</t>
    <phoneticPr fontId="2" type="noConversion"/>
  </si>
  <si>
    <t>자체테스트</t>
    <phoneticPr fontId="2" type="noConversion"/>
  </si>
  <si>
    <t>박성용</t>
    <phoneticPr fontId="2" type="noConversion"/>
  </si>
  <si>
    <t>-</t>
    <phoneticPr fontId="2" type="noConversion"/>
  </si>
  <si>
    <t>-</t>
    <phoneticPr fontId="2" type="noConversion"/>
  </si>
  <si>
    <t>A/S</t>
    <phoneticPr fontId="2" type="noConversion"/>
  </si>
  <si>
    <t>인도전</t>
    <phoneticPr fontId="2" type="noConversion"/>
  </si>
  <si>
    <t>SKMT</t>
    <phoneticPr fontId="2" type="noConversion"/>
  </si>
  <si>
    <t>GNN0019</t>
    <phoneticPr fontId="2" type="noConversion"/>
  </si>
  <si>
    <t>RCS, RB</t>
    <phoneticPr fontId="2" type="noConversion"/>
  </si>
  <si>
    <t>평가 입회 (RCS 진행 후 RB 진행) 09:30분</t>
    <phoneticPr fontId="2" type="noConversion"/>
  </si>
  <si>
    <t>0160</t>
    <phoneticPr fontId="2" type="noConversion"/>
  </si>
  <si>
    <t>김용진</t>
    <phoneticPr fontId="2" type="noConversion"/>
  </si>
  <si>
    <t>SKMT</t>
    <phoneticPr fontId="2" type="noConversion"/>
  </si>
  <si>
    <t>GNN0018</t>
    <phoneticPr fontId="2" type="noConversion"/>
  </si>
  <si>
    <t>HD</t>
    <phoneticPr fontId="2" type="noConversion"/>
  </si>
  <si>
    <t>등화관제 검사 입회 (13:30)</t>
    <phoneticPr fontId="2" type="noConversion"/>
  </si>
  <si>
    <t>무상</t>
    <phoneticPr fontId="2" type="noConversion"/>
  </si>
  <si>
    <t>진진(1)</t>
    <phoneticPr fontId="2" type="noConversion"/>
  </si>
  <si>
    <t>박주성(반차)</t>
    <phoneticPr fontId="2" type="noConversion"/>
  </si>
  <si>
    <t>김은영(오후반차)</t>
    <phoneticPr fontId="2" type="noConversion"/>
  </si>
  <si>
    <t>자체테스트</t>
    <phoneticPr fontId="2" type="noConversion"/>
  </si>
  <si>
    <t>이시맥</t>
    <phoneticPr fontId="2" type="noConversion"/>
  </si>
  <si>
    <t>우신(1)</t>
    <phoneticPr fontId="2" type="noConversion"/>
  </si>
  <si>
    <t>김용진</t>
    <phoneticPr fontId="2" type="noConversion"/>
  </si>
  <si>
    <t>박재규</t>
    <phoneticPr fontId="2" type="noConversion"/>
  </si>
  <si>
    <t>김유신</t>
    <phoneticPr fontId="2" type="noConversion"/>
  </si>
  <si>
    <t>핸들 설치 / 평가</t>
    <phoneticPr fontId="2" type="noConversion"/>
  </si>
  <si>
    <t>P168(충남함)</t>
    <phoneticPr fontId="2" type="noConversion"/>
  </si>
  <si>
    <t>RCS</t>
    <phoneticPr fontId="2" type="noConversion"/>
  </si>
  <si>
    <t>에어그리스로 그리스주입 / RCS 소음 발생 점검 (씨앤엠의견 : 장기간 미동작 및 구리스 미주입으로 도그 회전부 고착에 의한 소음)</t>
    <phoneticPr fontId="2" type="noConversion"/>
  </si>
  <si>
    <t>박성용</t>
    <phoneticPr fontId="2" type="noConversion"/>
  </si>
  <si>
    <t>우신(1), 동아(1)</t>
    <phoneticPr fontId="2" type="noConversion"/>
  </si>
  <si>
    <t>HPU의 전기모터 설치 / 결선</t>
    <phoneticPr fontId="2" type="noConversion"/>
  </si>
  <si>
    <t>우신(1)</t>
    <phoneticPr fontId="2" type="noConversion"/>
  </si>
  <si>
    <t>인도전</t>
    <phoneticPr fontId="2" type="noConversion"/>
  </si>
  <si>
    <t>SHI</t>
    <phoneticPr fontId="2" type="noConversion"/>
  </si>
  <si>
    <t>SN2688</t>
    <phoneticPr fontId="2" type="noConversion"/>
  </si>
  <si>
    <t>PUNCH 조치</t>
    <phoneticPr fontId="2" type="noConversion"/>
  </si>
  <si>
    <t>김용진</t>
    <phoneticPr fontId="2" type="noConversion"/>
  </si>
  <si>
    <t>인도전</t>
    <phoneticPr fontId="2" type="noConversion"/>
  </si>
  <si>
    <t>RCS</t>
    <phoneticPr fontId="2" type="noConversion"/>
  </si>
  <si>
    <t>체인 텐션 조정</t>
    <phoneticPr fontId="2" type="noConversion"/>
  </si>
  <si>
    <t>우신(2)</t>
    <phoneticPr fontId="2" type="noConversion"/>
  </si>
  <si>
    <t>우신차량</t>
    <phoneticPr fontId="2" type="noConversion"/>
  </si>
  <si>
    <t>미정 - 씨앤엠 협의필요</t>
    <phoneticPr fontId="2" type="noConversion"/>
  </si>
  <si>
    <t>44주</t>
    <phoneticPr fontId="2" type="noConversion"/>
  </si>
  <si>
    <t>긴급 43주 추가 (계약사항)</t>
    <phoneticPr fontId="2" type="noConversion"/>
  </si>
  <si>
    <t>정기보증수리</t>
    <phoneticPr fontId="2" type="noConversion"/>
  </si>
  <si>
    <t>박성용, 김용진</t>
    <phoneticPr fontId="2" type="noConversion"/>
  </si>
  <si>
    <t>계약사항(본선설치)</t>
    <phoneticPr fontId="2" type="noConversion"/>
  </si>
  <si>
    <t>사내</t>
    <phoneticPr fontId="2" type="noConversion"/>
  </si>
  <si>
    <t>납품전</t>
    <phoneticPr fontId="2" type="noConversion"/>
  </si>
  <si>
    <t>TF</t>
    <phoneticPr fontId="2" type="noConversion"/>
  </si>
  <si>
    <t>SN2729</t>
    <phoneticPr fontId="2" type="noConversion"/>
  </si>
  <si>
    <t>CMR</t>
    <phoneticPr fontId="2" type="noConversion"/>
  </si>
  <si>
    <t>포장</t>
    <phoneticPr fontId="2" type="noConversion"/>
  </si>
  <si>
    <t>송영국</t>
    <phoneticPr fontId="2" type="noConversion"/>
  </si>
  <si>
    <t>-</t>
    <phoneticPr fontId="2" type="noConversion"/>
  </si>
  <si>
    <t>HIO(4)</t>
    <phoneticPr fontId="2" type="noConversion"/>
  </si>
  <si>
    <t>HIO(1)</t>
    <phoneticPr fontId="2" type="noConversion"/>
  </si>
  <si>
    <t>KT</t>
    <phoneticPr fontId="2" type="noConversion"/>
  </si>
  <si>
    <t>S210</t>
    <phoneticPr fontId="2" type="noConversion"/>
  </si>
  <si>
    <t>11/2~11/5</t>
    <phoneticPr fontId="2" type="noConversion"/>
  </si>
  <si>
    <t>P180</t>
    <phoneticPr fontId="2" type="noConversion"/>
  </si>
  <si>
    <t>LRD</t>
    <phoneticPr fontId="2" type="noConversion"/>
  </si>
  <si>
    <t>조립</t>
    <phoneticPr fontId="2" type="noConversion"/>
  </si>
  <si>
    <t>박해식</t>
    <phoneticPr fontId="2" type="noConversion"/>
  </si>
  <si>
    <t>OC</t>
    <phoneticPr fontId="2" type="noConversion"/>
  </si>
  <si>
    <t>설치</t>
    <phoneticPr fontId="2" type="noConversion"/>
  </si>
  <si>
    <t>이광현</t>
    <phoneticPr fontId="2" type="noConversion"/>
  </si>
  <si>
    <t>11/2~11/6</t>
    <phoneticPr fontId="2" type="noConversion"/>
  </si>
  <si>
    <t>SN2729</t>
    <phoneticPr fontId="2" type="noConversion"/>
  </si>
  <si>
    <t>HH</t>
    <phoneticPr fontId="2" type="noConversion"/>
  </si>
  <si>
    <t>조립 / 설치 / 시운전</t>
    <phoneticPr fontId="2" type="noConversion"/>
  </si>
  <si>
    <t>김동명</t>
    <phoneticPr fontId="2" type="noConversion"/>
  </si>
  <si>
    <t>범양_최기추(5)</t>
    <phoneticPr fontId="2" type="noConversion"/>
  </si>
  <si>
    <t>44주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</si>
</sst>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m&quot;/&quot;d;@"/>
    <numFmt numFmtId="177" formatCode="m\/d\(aaa\)"/>
    <numFmt numFmtId="178" formatCode="mm&quot;월&quot;\ dd&quot;일&quot;"/>
  </numFmts>
  <fonts count="14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indexed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color rgb="FFFFFFFF"/>
      <name val="돋움"/>
      <family val="3"/>
      <charset val="129"/>
    </font>
    <font>
      <b/>
      <sz val="10"/>
      <color rgb="FFFFFFFF"/>
      <name val="Arial"/>
      <family val="2"/>
    </font>
    <font>
      <b/>
      <sz val="22"/>
      <color theme="0" tint="-0.14999847407452621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trike/>
      <sz val="10"/>
      <name val="맑은 고딕"/>
      <family val="3"/>
      <charset val="129"/>
    </font>
    <font>
      <strike/>
      <sz val="10"/>
      <color theme="1"/>
      <name val="맑은 고딕"/>
      <family val="3"/>
      <charset val="129"/>
    </font>
    <font>
      <strike/>
      <sz val="10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10"/>
      <name val="Arial"/>
      <family val="2"/>
    </font>
    <font>
      <sz val="10"/>
      <color rgb="FF000000"/>
      <name val="Arial"/>
      <family val="2"/>
    </font>
    <font>
      <sz val="10"/>
      <name val="돋움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0"/>
      <color rgb="FFFF0000"/>
      <name val="맑은 고딕"/>
      <family val="3"/>
      <charset val="129"/>
    </font>
    <font>
      <sz val="10"/>
      <color theme="8"/>
      <name val="Arial"/>
      <family val="2"/>
    </font>
    <font>
      <sz val="10"/>
      <color theme="8"/>
      <name val="맑은 고딕"/>
      <family val="3"/>
      <charset val="129"/>
    </font>
    <font>
      <b/>
      <sz val="10"/>
      <name val="맑은 고딕"/>
      <family val="3"/>
      <charset val="129"/>
      <scheme val="major"/>
    </font>
    <font>
      <sz val="10"/>
      <color rgb="FF0070C0"/>
      <name val="맑은 고딕"/>
      <family val="3"/>
      <charset val="129"/>
    </font>
    <font>
      <sz val="10"/>
      <color rgb="FF7030A0"/>
      <name val="맑은 고딕"/>
      <family val="3"/>
      <charset val="129"/>
    </font>
    <font>
      <b/>
      <sz val="10"/>
      <name val="돋움"/>
      <family val="3"/>
      <charset val="129"/>
    </font>
    <font>
      <b/>
      <sz val="10"/>
      <name val="Arial"/>
      <family val="2"/>
    </font>
    <font>
      <sz val="10"/>
      <color rgb="FFFF0000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inor"/>
    </font>
    <font>
      <sz val="10"/>
      <color theme="5" tint="0.39997558519241921"/>
      <name val="Arial"/>
      <family val="2"/>
    </font>
    <font>
      <sz val="10"/>
      <color theme="5" tint="0.39997558519241921"/>
      <name val="맑은 고딕"/>
      <family val="3"/>
      <charset val="129"/>
    </font>
    <font>
      <sz val="10"/>
      <color rgb="FF0070C0"/>
      <name val="맑은 고딕"/>
      <family val="3"/>
      <charset val="129"/>
      <scheme val="minor"/>
    </font>
    <font>
      <sz val="10"/>
      <color rgb="FF0070C0"/>
      <name val="Arial"/>
      <family val="2"/>
    </font>
    <font>
      <strike/>
      <sz val="9"/>
      <color theme="1"/>
      <name val="맑은 고딕"/>
      <family val="3"/>
      <charset val="129"/>
      <scheme val="minor"/>
    </font>
    <font>
      <sz val="10"/>
      <color rgb="FF00B050"/>
      <name val="Arial"/>
      <family val="2"/>
    </font>
    <font>
      <sz val="10"/>
      <color rgb="FF00B050"/>
      <name val="맑은 고딕"/>
      <family val="2"/>
      <charset val="129"/>
    </font>
    <font>
      <sz val="10"/>
      <color theme="1"/>
      <name val="Arial"/>
      <family val="2"/>
    </font>
    <font>
      <sz val="10"/>
      <color rgb="FF00CCFF"/>
      <name val="Arial"/>
      <family val="2"/>
    </font>
    <font>
      <sz val="10"/>
      <color rgb="FF00CCFF"/>
      <name val="맑은 고딕"/>
      <family val="3"/>
      <charset val="129"/>
    </font>
    <font>
      <sz val="10"/>
      <color rgb="FFFF0000"/>
      <name val="Arial"/>
      <family val="2"/>
    </font>
    <font>
      <sz val="14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ajor"/>
    </font>
    <font>
      <sz val="9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rgb="FF000000"/>
      <name val="Arial"/>
      <family val="2"/>
    </font>
    <font>
      <sz val="9"/>
      <name val="맑은 고딕"/>
      <family val="3"/>
      <charset val="129"/>
    </font>
    <font>
      <strike/>
      <sz val="1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sz val="8"/>
      <name val="Arial"/>
      <family val="2"/>
    </font>
    <font>
      <sz val="10"/>
      <color rgb="FF0000FF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3"/>
      <charset val="129"/>
    </font>
    <font>
      <sz val="10"/>
      <color rgb="FF0000FF"/>
      <name val="Arial"/>
      <family val="2"/>
    </font>
    <font>
      <sz val="11"/>
      <color rgb="FF000000"/>
      <name val="돋움"/>
      <family val="3"/>
      <charset val="129"/>
    </font>
    <font>
      <sz val="6"/>
      <color rgb="FF000000"/>
      <name val="Arial"/>
      <family val="2"/>
    </font>
    <font>
      <sz val="10"/>
      <color rgb="FF000000"/>
      <name val="맑은 고딕"/>
      <family val="3"/>
      <charset val="129"/>
    </font>
    <font>
      <b/>
      <sz val="9"/>
      <color rgb="FF000000"/>
      <name val="Arial"/>
      <family val="2"/>
    </font>
    <font>
      <b/>
      <sz val="9"/>
      <color rgb="FF000000"/>
      <name val="돋움"/>
      <family val="3"/>
      <charset val="129"/>
    </font>
    <font>
      <sz val="8"/>
      <color rgb="FF0000FF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sz val="8"/>
      <name val="맑은 고딕"/>
      <family val="3"/>
      <charset val="129"/>
      <scheme val="minor"/>
    </font>
    <font>
      <b/>
      <strike/>
      <sz val="10"/>
      <color theme="1"/>
      <name val="맑은 고딕"/>
      <family val="3"/>
      <charset val="129"/>
      <scheme val="minor"/>
    </font>
    <font>
      <strike/>
      <sz val="9"/>
      <color rgb="FF0000CC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000000"/>
      <name val="Arial"/>
      <family val="2"/>
    </font>
    <font>
      <strike/>
      <sz val="9"/>
      <color rgb="FF0000FF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trike/>
      <sz val="8"/>
      <color theme="1"/>
      <name val="맑은 고딕"/>
      <family val="3"/>
      <charset val="129"/>
      <scheme val="minor"/>
    </font>
    <font>
      <strike/>
      <sz val="8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8"/>
      <color rgb="FF0000FF"/>
      <name val="맑은 고딕"/>
      <family val="3"/>
      <charset val="129"/>
      <scheme val="minor"/>
    </font>
    <font>
      <sz val="9"/>
      <color rgb="FF0000CC"/>
      <name val="맑은 고딕"/>
      <family val="3"/>
      <charset val="129"/>
      <scheme val="minor"/>
    </font>
    <font>
      <sz val="8"/>
      <color rgb="FF0000CC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sz val="8"/>
      <color rgb="FF000000"/>
      <name val="Arial"/>
      <family val="2"/>
    </font>
    <font>
      <sz val="7"/>
      <color rgb="FF000000"/>
      <name val="Arial"/>
      <family val="2"/>
    </font>
    <font>
      <sz val="9"/>
      <name val="Arial"/>
      <family val="2"/>
    </font>
    <font>
      <sz val="9"/>
      <color theme="0"/>
      <name val="돋움"/>
      <family val="3"/>
      <charset val="129"/>
    </font>
    <font>
      <sz val="9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b/>
      <sz val="9"/>
      <name val="Arial"/>
      <family val="2"/>
    </font>
    <font>
      <b/>
      <sz val="14"/>
      <color rgb="FF365F9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ajor"/>
    </font>
    <font>
      <sz val="9"/>
      <color rgb="FFFF0000"/>
      <name val="Arial"/>
      <family val="2"/>
    </font>
    <font>
      <sz val="9"/>
      <color rgb="FF0000FF"/>
      <name val="돋움"/>
      <family val="3"/>
      <charset val="129"/>
    </font>
    <font>
      <sz val="9"/>
      <color rgb="FF0000FF"/>
      <name val="Arial"/>
      <family val="2"/>
    </font>
    <font>
      <sz val="9"/>
      <color theme="0"/>
      <name val="굴림"/>
      <family val="3"/>
      <charset val="129"/>
    </font>
    <font>
      <sz val="11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sz val="9"/>
      <name val="굴림"/>
      <family val="3"/>
      <charset val="129"/>
    </font>
    <font>
      <sz val="9"/>
      <color rgb="FF000000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color rgb="FF000000"/>
      <name val="굴림"/>
      <family val="3"/>
      <charset val="129"/>
    </font>
    <font>
      <sz val="10"/>
      <name val="굴림"/>
      <family val="3"/>
      <charset val="129"/>
    </font>
    <font>
      <sz val="8"/>
      <color rgb="FF000000"/>
      <name val="굴림"/>
      <family val="3"/>
      <charset val="129"/>
    </font>
    <font>
      <b/>
      <sz val="9"/>
      <color rgb="FFFFFFFF"/>
      <name val="굴림"/>
      <family val="3"/>
      <charset val="129"/>
    </font>
    <font>
      <b/>
      <sz val="9"/>
      <name val="굴림"/>
      <family val="3"/>
      <charset val="129"/>
    </font>
    <font>
      <b/>
      <sz val="10"/>
      <color theme="0"/>
      <name val="굴림"/>
      <family val="3"/>
      <charset val="129"/>
    </font>
    <font>
      <strike/>
      <sz val="10"/>
      <color theme="1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rgb="FFFFFFFF"/>
      <name val="굴림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1F1F1F"/>
      <name val="Arial"/>
      <family val="2"/>
    </font>
    <font>
      <sz val="8"/>
      <color theme="1"/>
      <name val="굴림"/>
      <family val="3"/>
      <charset val="129"/>
    </font>
    <font>
      <sz val="10"/>
      <color rgb="FFFF0000"/>
      <name val="굴림"/>
      <family val="3"/>
      <charset val="129"/>
    </font>
    <font>
      <sz val="8"/>
      <color rgb="FFFF0000"/>
      <name val="맑은 고딕"/>
      <family val="3"/>
      <charset val="129"/>
      <scheme val="minor"/>
    </font>
    <font>
      <sz val="10"/>
      <color rgb="FF0000FF"/>
      <name val="굴림"/>
      <family val="3"/>
      <charset val="129"/>
    </font>
    <font>
      <sz val="8"/>
      <name val="굴림"/>
      <family val="3"/>
      <charset val="129"/>
    </font>
    <font>
      <sz val="9"/>
      <color rgb="FF0000FF"/>
      <name val="굴림"/>
      <family val="3"/>
      <charset val="129"/>
    </font>
  </fonts>
  <fills count="41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70C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45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177" fontId="7" fillId="3" borderId="2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 shrinkToFit="1"/>
    </xf>
    <xf numFmtId="0" fontId="8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77" fontId="7" fillId="3" borderId="5" xfId="0" applyNumberFormat="1" applyFont="1" applyFill="1" applyBorder="1" applyAlignment="1">
      <alignment horizontal="center" vertical="center" wrapText="1"/>
    </xf>
    <xf numFmtId="177" fontId="7" fillId="3" borderId="6" xfId="0" applyNumberFormat="1" applyFont="1" applyFill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 wrapText="1"/>
    </xf>
    <xf numFmtId="0" fontId="7" fillId="3" borderId="1" xfId="0" quotePrefix="1" applyFont="1" applyFill="1" applyBorder="1" applyAlignment="1">
      <alignment horizontal="center" vertical="center" wrapText="1"/>
    </xf>
    <xf numFmtId="177" fontId="7" fillId="3" borderId="1" xfId="0" applyNumberFormat="1" applyFont="1" applyFill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8" fillId="0" borderId="1" xfId="0" quotePrefix="1" applyFont="1" applyBorder="1" applyAlignment="1">
      <alignment horizontal="center" vertical="center" wrapText="1" shrinkToFit="1"/>
    </xf>
    <xf numFmtId="176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shrinkToFit="1"/>
    </xf>
    <xf numFmtId="0" fontId="10" fillId="2" borderId="1" xfId="0" applyFont="1" applyFill="1" applyBorder="1" applyAlignment="1">
      <alignment horizontal="center" vertical="center" wrapText="1" shrinkToFit="1"/>
    </xf>
    <xf numFmtId="14" fontId="11" fillId="4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3" fillId="5" borderId="2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41" fontId="8" fillId="3" borderId="1" xfId="1" applyFont="1" applyFill="1" applyBorder="1" applyAlignment="1">
      <alignment horizontal="right" vertical="center"/>
    </xf>
    <xf numFmtId="0" fontId="7" fillId="0" borderId="3" xfId="0" quotePrefix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177" fontId="7" fillId="3" borderId="3" xfId="0" applyNumberFormat="1" applyFont="1" applyFill="1" applyBorder="1" applyAlignment="1">
      <alignment horizontal="center" vertical="center" wrapText="1"/>
    </xf>
    <xf numFmtId="177" fontId="7" fillId="3" borderId="7" xfId="0" applyNumberFormat="1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/>
    </xf>
    <xf numFmtId="41" fontId="17" fillId="0" borderId="5" xfId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1" fillId="0" borderId="1" xfId="0" quotePrefix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41" fontId="17" fillId="3" borderId="1" xfId="1" applyFont="1" applyFill="1" applyBorder="1" applyAlignment="1">
      <alignment horizontal="right" vertical="center"/>
    </xf>
    <xf numFmtId="0" fontId="11" fillId="0" borderId="3" xfId="0" quotePrefix="1" applyFont="1" applyBorder="1" applyAlignment="1">
      <alignment horizontal="center" vertical="center" wrapText="1"/>
    </xf>
    <xf numFmtId="0" fontId="11" fillId="3" borderId="1" xfId="0" quotePrefix="1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177" fontId="11" fillId="3" borderId="3" xfId="0" applyNumberFormat="1" applyFont="1" applyFill="1" applyBorder="1" applyAlignment="1">
      <alignment horizontal="center" vertical="center" wrapText="1"/>
    </xf>
    <xf numFmtId="177" fontId="11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/>
    </xf>
    <xf numFmtId="178" fontId="17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41" fontId="4" fillId="0" borderId="1" xfId="1" quotePrefix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quotePrefix="1" applyFont="1" applyFill="1" applyBorder="1" applyAlignment="1">
      <alignment horizontal="center" vertical="center" wrapText="1"/>
    </xf>
    <xf numFmtId="0" fontId="17" fillId="0" borderId="5" xfId="0" quotePrefix="1" applyFont="1" applyBorder="1" applyAlignment="1">
      <alignment horizontal="center" vertical="center" wrapText="1"/>
    </xf>
    <xf numFmtId="0" fontId="23" fillId="4" borderId="8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9" fillId="3" borderId="1" xfId="0" quotePrefix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 wrapText="1"/>
    </xf>
    <xf numFmtId="0" fontId="23" fillId="3" borderId="8" xfId="0" applyFont="1" applyFill="1" applyBorder="1" applyAlignment="1">
      <alignment horizontal="center" vertical="center" wrapText="1"/>
    </xf>
    <xf numFmtId="0" fontId="23" fillId="3" borderId="8" xfId="0" quotePrefix="1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center" vertical="center" wrapText="1"/>
    </xf>
    <xf numFmtId="0" fontId="23" fillId="3" borderId="6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 wrapText="1"/>
    </xf>
    <xf numFmtId="41" fontId="11" fillId="3" borderId="1" xfId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5" xfId="0" quotePrefix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41" fontId="4" fillId="0" borderId="3" xfId="1" quotePrefix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41" fontId="4" fillId="0" borderId="6" xfId="1" quotePrefix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41" fontId="17" fillId="3" borderId="1" xfId="1" applyFont="1" applyFill="1" applyBorder="1" applyAlignment="1">
      <alignment vertical="center"/>
    </xf>
    <xf numFmtId="0" fontId="22" fillId="4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41" fontId="4" fillId="0" borderId="3" xfId="1" quotePrefix="1" applyFont="1" applyFill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 wrapText="1"/>
    </xf>
    <xf numFmtId="41" fontId="4" fillId="0" borderId="1" xfId="1" quotePrefix="1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1" xfId="0" quotePrefix="1" applyFont="1" applyBorder="1" applyAlignment="1">
      <alignment horizontal="center" vertical="center"/>
    </xf>
    <xf numFmtId="41" fontId="11" fillId="0" borderId="1" xfId="1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41" fontId="17" fillId="3" borderId="1" xfId="1" applyFont="1" applyFill="1" applyBorder="1" applyAlignment="1">
      <alignment horizontal="center" vertical="center"/>
    </xf>
    <xf numFmtId="0" fontId="30" fillId="0" borderId="3" xfId="0" applyFont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 wrapText="1"/>
    </xf>
    <xf numFmtId="0" fontId="23" fillId="4" borderId="4" xfId="0" applyFont="1" applyFill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center" vertical="center" wrapText="1"/>
    </xf>
    <xf numFmtId="41" fontId="24" fillId="4" borderId="8" xfId="1" applyFont="1" applyFill="1" applyBorder="1" applyAlignment="1">
      <alignment horizontal="center" vertical="center" wrapText="1"/>
    </xf>
    <xf numFmtId="41" fontId="24" fillId="3" borderId="1" xfId="1" applyFont="1" applyFill="1" applyBorder="1" applyAlignment="1">
      <alignment horizontal="center" vertical="center" wrapText="1"/>
    </xf>
    <xf numFmtId="41" fontId="23" fillId="4" borderId="8" xfId="1" applyFont="1" applyFill="1" applyBorder="1" applyAlignment="1">
      <alignment horizontal="center" vertical="center" wrapText="1"/>
    </xf>
    <xf numFmtId="41" fontId="0" fillId="0" borderId="0" xfId="1" applyFont="1">
      <alignment vertical="center"/>
    </xf>
    <xf numFmtId="0" fontId="23" fillId="4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178" fontId="23" fillId="4" borderId="1" xfId="0" applyNumberFormat="1" applyFont="1" applyFill="1" applyBorder="1" applyAlignment="1">
      <alignment horizontal="center" vertical="center" wrapText="1"/>
    </xf>
    <xf numFmtId="0" fontId="25" fillId="4" borderId="8" xfId="0" applyFont="1" applyFill="1" applyBorder="1" applyAlignment="1">
      <alignment horizontal="center" vertical="center" wrapText="1"/>
    </xf>
    <xf numFmtId="0" fontId="31" fillId="4" borderId="2" xfId="0" applyFont="1" applyFill="1" applyBorder="1" applyAlignment="1">
      <alignment horizontal="center" vertical="center" wrapText="1"/>
    </xf>
    <xf numFmtId="0" fontId="33" fillId="4" borderId="2" xfId="0" applyFont="1" applyFill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33" fillId="4" borderId="1" xfId="0" applyFont="1" applyFill="1" applyBorder="1" applyAlignment="1">
      <alignment horizontal="center" vertical="center" wrapText="1"/>
    </xf>
    <xf numFmtId="0" fontId="27" fillId="3" borderId="0" xfId="0" applyFont="1" applyFill="1">
      <alignment vertical="center"/>
    </xf>
    <xf numFmtId="0" fontId="40" fillId="0" borderId="1" xfId="0" applyFont="1" applyBorder="1" applyAlignment="1">
      <alignment horizontal="center" vertical="center" wrapText="1"/>
    </xf>
    <xf numFmtId="178" fontId="23" fillId="4" borderId="4" xfId="0" applyNumberFormat="1" applyFont="1" applyFill="1" applyBorder="1" applyAlignment="1">
      <alignment horizontal="center" vertical="center" wrapText="1"/>
    </xf>
    <xf numFmtId="177" fontId="7" fillId="0" borderId="13" xfId="0" applyNumberFormat="1" applyFont="1" applyBorder="1" applyAlignment="1">
      <alignment horizontal="center" vertical="center" wrapText="1"/>
    </xf>
    <xf numFmtId="177" fontId="7" fillId="0" borderId="3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177" fontId="8" fillId="3" borderId="1" xfId="0" applyNumberFormat="1" applyFont="1" applyFill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3" fillId="0" borderId="6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32" fillId="3" borderId="1" xfId="0" applyFont="1" applyFill="1" applyBorder="1" applyAlignment="1">
      <alignment horizontal="center" vertical="center" wrapText="1"/>
    </xf>
    <xf numFmtId="0" fontId="42" fillId="3" borderId="8" xfId="0" applyFont="1" applyFill="1" applyBorder="1" applyAlignment="1">
      <alignment horizontal="center" vertical="center" wrapText="1"/>
    </xf>
    <xf numFmtId="0" fontId="42" fillId="3" borderId="4" xfId="0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 wrapText="1"/>
    </xf>
    <xf numFmtId="0" fontId="44" fillId="3" borderId="1" xfId="0" applyFont="1" applyFill="1" applyBorder="1" applyAlignment="1">
      <alignment horizontal="center" vertical="center"/>
    </xf>
    <xf numFmtId="0" fontId="45" fillId="3" borderId="8" xfId="0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 wrapText="1"/>
    </xf>
    <xf numFmtId="0" fontId="7" fillId="0" borderId="1" xfId="0" quotePrefix="1" applyFont="1" applyBorder="1" applyAlignment="1">
      <alignment vertical="center" wrapText="1"/>
    </xf>
    <xf numFmtId="0" fontId="41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41" fontId="8" fillId="0" borderId="1" xfId="1" quotePrefix="1" applyFont="1" applyBorder="1" applyAlignment="1">
      <alignment horizontal="right" vertical="center" wrapText="1" shrinkToFit="1"/>
    </xf>
    <xf numFmtId="0" fontId="23" fillId="0" borderId="2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47" fillId="0" borderId="4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23" fillId="7" borderId="8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23" fillId="8" borderId="7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44" fillId="8" borderId="1" xfId="0" applyFont="1" applyFill="1" applyBorder="1" applyAlignment="1">
      <alignment horizontal="center" vertical="center"/>
    </xf>
    <xf numFmtId="0" fontId="0" fillId="0" borderId="0" xfId="0" quotePrefix="1">
      <alignment vertical="center"/>
    </xf>
    <xf numFmtId="0" fontId="9" fillId="9" borderId="1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  <xf numFmtId="0" fontId="43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47" fillId="10" borderId="4" xfId="0" applyFont="1" applyFill="1" applyBorder="1" applyAlignment="1">
      <alignment horizontal="center" vertical="center" wrapText="1"/>
    </xf>
    <xf numFmtId="0" fontId="49" fillId="10" borderId="1" xfId="0" applyFont="1" applyFill="1" applyBorder="1" applyAlignment="1">
      <alignment horizontal="center" vertical="center" wrapText="1"/>
    </xf>
    <xf numFmtId="0" fontId="50" fillId="0" borderId="8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0" fontId="52" fillId="0" borderId="8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center" vertical="center" wrapText="1"/>
    </xf>
    <xf numFmtId="0" fontId="49" fillId="0" borderId="8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 shrinkToFit="1"/>
    </xf>
    <xf numFmtId="0" fontId="7" fillId="6" borderId="1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178" fontId="23" fillId="0" borderId="6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23" fillId="4" borderId="7" xfId="0" applyFont="1" applyFill="1" applyBorder="1" applyAlignment="1">
      <alignment horizontal="center" vertical="center" wrapText="1"/>
    </xf>
    <xf numFmtId="177" fontId="7" fillId="6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7" fillId="6" borderId="1" xfId="0" quotePrefix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31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41" fontId="11" fillId="8" borderId="1" xfId="1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21" fillId="0" borderId="1" xfId="0" quotePrefix="1" applyFont="1" applyBorder="1" applyAlignment="1">
      <alignment horizontal="center" vertical="center" wrapText="1"/>
    </xf>
    <xf numFmtId="177" fontId="8" fillId="3" borderId="3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41" fillId="6" borderId="1" xfId="0" applyFont="1" applyFill="1" applyBorder="1" applyAlignment="1">
      <alignment horizontal="center" vertical="center" wrapText="1"/>
    </xf>
    <xf numFmtId="0" fontId="9" fillId="6" borderId="1" xfId="0" quotePrefix="1" applyFont="1" applyFill="1" applyBorder="1" applyAlignment="1">
      <alignment horizontal="center" vertical="center"/>
    </xf>
    <xf numFmtId="41" fontId="11" fillId="6" borderId="1" xfId="1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41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7" fillId="8" borderId="1" xfId="0" quotePrefix="1" applyFont="1" applyFill="1" applyBorder="1" applyAlignment="1">
      <alignment horizontal="center" vertical="center" wrapText="1"/>
    </xf>
    <xf numFmtId="0" fontId="9" fillId="8" borderId="1" xfId="0" quotePrefix="1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 wrapText="1"/>
    </xf>
    <xf numFmtId="177" fontId="7" fillId="6" borderId="3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4" borderId="0" xfId="0" applyFont="1" applyFill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 wrapText="1"/>
    </xf>
    <xf numFmtId="0" fontId="57" fillId="2" borderId="1" xfId="0" applyFont="1" applyFill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 wrapText="1"/>
    </xf>
    <xf numFmtId="0" fontId="58" fillId="4" borderId="1" xfId="0" applyFont="1" applyFill="1" applyBorder="1" applyAlignment="1">
      <alignment horizontal="center" vertical="center" wrapText="1"/>
    </xf>
    <xf numFmtId="178" fontId="8" fillId="0" borderId="1" xfId="0" quotePrefix="1" applyNumberFormat="1" applyFont="1" applyBorder="1" applyAlignment="1">
      <alignment horizontal="center" vertical="center" wrapText="1" shrinkToFit="1"/>
    </xf>
    <xf numFmtId="0" fontId="9" fillId="0" borderId="6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 wrapText="1"/>
    </xf>
    <xf numFmtId="178" fontId="8" fillId="0" borderId="3" xfId="0" quotePrefix="1" applyNumberFormat="1" applyFont="1" applyBorder="1" applyAlignment="1">
      <alignment horizontal="center" vertical="center" wrapText="1" shrinkToFit="1"/>
    </xf>
    <xf numFmtId="0" fontId="9" fillId="10" borderId="8" xfId="0" applyFont="1" applyFill="1" applyBorder="1" applyAlignment="1">
      <alignment horizontal="center" vertical="center" wrapText="1"/>
    </xf>
    <xf numFmtId="0" fontId="58" fillId="10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23" fillId="18" borderId="1" xfId="0" applyFont="1" applyFill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 wrapText="1"/>
    </xf>
    <xf numFmtId="49" fontId="18" fillId="0" borderId="3" xfId="0" applyNumberFormat="1" applyFont="1" applyBorder="1" applyAlignment="1">
      <alignment horizontal="center" vertical="center" wrapText="1"/>
    </xf>
    <xf numFmtId="49" fontId="19" fillId="0" borderId="3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65" fillId="0" borderId="1" xfId="0" applyFont="1" applyBorder="1" applyAlignment="1">
      <alignment horizontal="center" vertical="center" wrapText="1"/>
    </xf>
    <xf numFmtId="177" fontId="11" fillId="0" borderId="3" xfId="0" applyNumberFormat="1" applyFont="1" applyBorder="1" applyAlignment="1">
      <alignment horizontal="center" vertical="center" wrapText="1"/>
    </xf>
    <xf numFmtId="177" fontId="29" fillId="0" borderId="3" xfId="0" applyNumberFormat="1" applyFont="1" applyBorder="1" applyAlignment="1">
      <alignment horizontal="center" vertical="center" wrapText="1"/>
    </xf>
    <xf numFmtId="177" fontId="29" fillId="0" borderId="5" xfId="0" applyNumberFormat="1" applyFont="1" applyBorder="1" applyAlignment="1">
      <alignment horizontal="center" vertical="center" wrapText="1"/>
    </xf>
    <xf numFmtId="0" fontId="66" fillId="0" borderId="3" xfId="0" applyFont="1" applyBorder="1" applyAlignment="1">
      <alignment horizontal="center" vertical="center" wrapText="1"/>
    </xf>
    <xf numFmtId="0" fontId="66" fillId="0" borderId="5" xfId="0" applyFont="1" applyBorder="1" applyAlignment="1">
      <alignment horizontal="center" vertical="center" wrapText="1"/>
    </xf>
    <xf numFmtId="177" fontId="29" fillId="0" borderId="1" xfId="0" applyNumberFormat="1" applyFont="1" applyBorder="1" applyAlignment="1">
      <alignment horizontal="center" vertical="center" wrapText="1"/>
    </xf>
    <xf numFmtId="177" fontId="29" fillId="3" borderId="1" xfId="0" applyNumberFormat="1" applyFont="1" applyFill="1" applyBorder="1" applyAlignment="1">
      <alignment horizontal="center" vertical="center" wrapText="1"/>
    </xf>
    <xf numFmtId="0" fontId="65" fillId="0" borderId="3" xfId="0" applyFont="1" applyBorder="1" applyAlignment="1">
      <alignment horizontal="center" vertical="center" wrapText="1"/>
    </xf>
    <xf numFmtId="0" fontId="65" fillId="0" borderId="5" xfId="0" applyFont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 wrapText="1"/>
    </xf>
    <xf numFmtId="0" fontId="64" fillId="0" borderId="3" xfId="0" applyFont="1" applyBorder="1" applyAlignment="1">
      <alignment horizontal="center" vertical="center" wrapText="1"/>
    </xf>
    <xf numFmtId="0" fontId="64" fillId="0" borderId="5" xfId="0" applyFont="1" applyBorder="1" applyAlignment="1">
      <alignment horizontal="center" vertical="center" wrapText="1"/>
    </xf>
    <xf numFmtId="49" fontId="18" fillId="0" borderId="3" xfId="0" quotePrefix="1" applyNumberFormat="1" applyFont="1" applyBorder="1" applyAlignment="1">
      <alignment horizontal="center" vertical="center" wrapText="1"/>
    </xf>
    <xf numFmtId="49" fontId="20" fillId="0" borderId="6" xfId="0" applyNumberFormat="1" applyFont="1" applyBorder="1" applyAlignment="1">
      <alignment horizontal="center" vertical="center"/>
    </xf>
    <xf numFmtId="178" fontId="19" fillId="0" borderId="3" xfId="0" quotePrefix="1" applyNumberFormat="1" applyFont="1" applyBorder="1" applyAlignment="1">
      <alignment horizontal="center" vertical="center" wrapText="1" shrinkToFit="1"/>
    </xf>
    <xf numFmtId="0" fontId="25" fillId="20" borderId="8" xfId="0" applyFont="1" applyFill="1" applyBorder="1" applyAlignment="1">
      <alignment horizontal="center" vertical="center" wrapText="1"/>
    </xf>
    <xf numFmtId="0" fontId="7" fillId="20" borderId="1" xfId="0" applyFont="1" applyFill="1" applyBorder="1" applyAlignment="1">
      <alignment horizontal="center" vertical="center" wrapText="1"/>
    </xf>
    <xf numFmtId="0" fontId="7" fillId="21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25" fillId="22" borderId="8" xfId="0" applyFont="1" applyFill="1" applyBorder="1" applyAlignment="1">
      <alignment horizontal="center" vertical="center" wrapText="1"/>
    </xf>
    <xf numFmtId="0" fontId="7" fillId="22" borderId="1" xfId="0" applyFont="1" applyFill="1" applyBorder="1" applyAlignment="1">
      <alignment horizontal="center" vertical="center" wrapText="1"/>
    </xf>
    <xf numFmtId="0" fontId="7" fillId="23" borderId="1" xfId="0" applyFont="1" applyFill="1" applyBorder="1" applyAlignment="1">
      <alignment horizontal="center" vertical="center" wrapText="1"/>
    </xf>
    <xf numFmtId="0" fontId="8" fillId="23" borderId="1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177" fontId="9" fillId="3" borderId="1" xfId="0" applyNumberFormat="1" applyFont="1" applyFill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176" fontId="68" fillId="2" borderId="1" xfId="0" applyNumberFormat="1" applyFont="1" applyFill="1" applyBorder="1" applyAlignment="1">
      <alignment horizontal="center" vertical="center"/>
    </xf>
    <xf numFmtId="0" fontId="68" fillId="2" borderId="1" xfId="0" applyFont="1" applyFill="1" applyBorder="1" applyAlignment="1">
      <alignment horizontal="center" vertical="center" wrapText="1"/>
    </xf>
    <xf numFmtId="0" fontId="68" fillId="2" borderId="1" xfId="0" applyFont="1" applyFill="1" applyBorder="1" applyAlignment="1">
      <alignment horizontal="center" vertical="center"/>
    </xf>
    <xf numFmtId="0" fontId="68" fillId="2" borderId="1" xfId="0" applyFont="1" applyFill="1" applyBorder="1" applyAlignment="1">
      <alignment horizontal="center" vertical="center" shrinkToFit="1"/>
    </xf>
    <xf numFmtId="0" fontId="68" fillId="2" borderId="1" xfId="0" applyFont="1" applyFill="1" applyBorder="1" applyAlignment="1">
      <alignment horizontal="center" vertical="center" wrapText="1" shrinkToFit="1"/>
    </xf>
    <xf numFmtId="177" fontId="9" fillId="0" borderId="1" xfId="0" applyNumberFormat="1" applyFont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8" fillId="20" borderId="1" xfId="0" applyFont="1" applyFill="1" applyBorder="1" applyAlignment="1">
      <alignment horizontal="center" vertical="center" wrapText="1"/>
    </xf>
    <xf numFmtId="0" fontId="7" fillId="24" borderId="1" xfId="0" applyFont="1" applyFill="1" applyBorder="1" applyAlignment="1">
      <alignment horizontal="center" vertical="center" wrapText="1"/>
    </xf>
    <xf numFmtId="0" fontId="7" fillId="25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7" fillId="26" borderId="1" xfId="0" applyFont="1" applyFill="1" applyBorder="1" applyAlignment="1">
      <alignment horizontal="center" vertical="center" wrapText="1"/>
    </xf>
    <xf numFmtId="0" fontId="7" fillId="27" borderId="1" xfId="0" applyFont="1" applyFill="1" applyBorder="1" applyAlignment="1">
      <alignment horizontal="center" vertical="center" wrapText="1"/>
    </xf>
    <xf numFmtId="0" fontId="8" fillId="27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28" borderId="1" xfId="0" applyFont="1" applyFill="1" applyBorder="1" applyAlignment="1">
      <alignment horizontal="center" vertical="center" wrapText="1"/>
    </xf>
    <xf numFmtId="0" fontId="7" fillId="28" borderId="1" xfId="0" applyFont="1" applyFill="1" applyBorder="1" applyAlignment="1">
      <alignment horizontal="center" vertical="center" wrapText="1"/>
    </xf>
    <xf numFmtId="0" fontId="7" fillId="29" borderId="1" xfId="0" applyFont="1" applyFill="1" applyBorder="1" applyAlignment="1">
      <alignment horizontal="center" vertical="center" wrapText="1"/>
    </xf>
    <xf numFmtId="0" fontId="8" fillId="24" borderId="1" xfId="0" applyFont="1" applyFill="1" applyBorder="1" applyAlignment="1">
      <alignment horizontal="center" vertical="center" wrapText="1"/>
    </xf>
    <xf numFmtId="0" fontId="9" fillId="24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 shrinkToFit="1"/>
    </xf>
    <xf numFmtId="0" fontId="8" fillId="19" borderId="1" xfId="0" applyFont="1" applyFill="1" applyBorder="1" applyAlignment="1">
      <alignment horizontal="center" vertical="center" wrapText="1"/>
    </xf>
    <xf numFmtId="0" fontId="8" fillId="30" borderId="1" xfId="0" applyFont="1" applyFill="1" applyBorder="1" applyAlignment="1">
      <alignment horizontal="center" vertical="center" wrapText="1"/>
    </xf>
    <xf numFmtId="0" fontId="9" fillId="30" borderId="1" xfId="0" applyFont="1" applyFill="1" applyBorder="1" applyAlignment="1">
      <alignment horizontal="center" vertical="center"/>
    </xf>
    <xf numFmtId="0" fontId="7" fillId="32" borderId="1" xfId="0" applyFont="1" applyFill="1" applyBorder="1" applyAlignment="1">
      <alignment horizontal="center" vertical="center" wrapText="1"/>
    </xf>
    <xf numFmtId="0" fontId="7" fillId="31" borderId="1" xfId="0" applyFont="1" applyFill="1" applyBorder="1" applyAlignment="1">
      <alignment horizontal="center" vertical="center" wrapText="1"/>
    </xf>
    <xf numFmtId="0" fontId="9" fillId="32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7" fillId="33" borderId="1" xfId="0" applyFont="1" applyFill="1" applyBorder="1" applyAlignment="1">
      <alignment horizontal="center" vertical="center" wrapText="1"/>
    </xf>
    <xf numFmtId="0" fontId="9" fillId="33" borderId="1" xfId="0" applyFont="1" applyFill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69" fillId="0" borderId="8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9" fillId="21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176" fontId="5" fillId="9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shrinkToFit="1"/>
    </xf>
    <xf numFmtId="0" fontId="5" fillId="9" borderId="1" xfId="0" applyFont="1" applyFill="1" applyBorder="1" applyAlignment="1">
      <alignment horizontal="center" vertical="center" wrapText="1" shrinkToFit="1"/>
    </xf>
    <xf numFmtId="0" fontId="5" fillId="9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34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41" fontId="11" fillId="13" borderId="1" xfId="1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/>
    </xf>
    <xf numFmtId="0" fontId="7" fillId="35" borderId="1" xfId="0" applyFont="1" applyFill="1" applyBorder="1" applyAlignment="1">
      <alignment horizontal="center" vertical="center" wrapText="1"/>
    </xf>
    <xf numFmtId="0" fontId="9" fillId="35" borderId="1" xfId="0" applyFont="1" applyFill="1" applyBorder="1" applyAlignment="1">
      <alignment horizontal="center" vertical="center" wrapText="1"/>
    </xf>
    <xf numFmtId="41" fontId="11" fillId="35" borderId="1" xfId="1" applyFont="1" applyFill="1" applyBorder="1" applyAlignment="1">
      <alignment horizontal="center" vertical="center" wrapText="1"/>
    </xf>
    <xf numFmtId="41" fontId="11" fillId="12" borderId="1" xfId="1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7" fillId="36" borderId="1" xfId="0" applyFont="1" applyFill="1" applyBorder="1" applyAlignment="1">
      <alignment horizontal="center" vertical="center" wrapText="1"/>
    </xf>
    <xf numFmtId="0" fontId="9" fillId="36" borderId="1" xfId="0" applyFont="1" applyFill="1" applyBorder="1" applyAlignment="1">
      <alignment horizontal="center" vertical="center" wrapText="1"/>
    </xf>
    <xf numFmtId="41" fontId="11" fillId="36" borderId="1" xfId="1" applyFont="1" applyFill="1" applyBorder="1" applyAlignment="1">
      <alignment horizontal="center" vertical="center" wrapText="1"/>
    </xf>
    <xf numFmtId="177" fontId="7" fillId="36" borderId="3" xfId="0" applyNumberFormat="1" applyFont="1" applyFill="1" applyBorder="1" applyAlignment="1">
      <alignment horizontal="center" vertical="center" wrapText="1"/>
    </xf>
    <xf numFmtId="0" fontId="8" fillId="37" borderId="1" xfId="0" applyFont="1" applyFill="1" applyBorder="1" applyAlignment="1">
      <alignment horizontal="center" vertical="center" wrapText="1"/>
    </xf>
    <xf numFmtId="0" fontId="9" fillId="37" borderId="1" xfId="0" applyFont="1" applyFill="1" applyBorder="1" applyAlignment="1">
      <alignment horizontal="center" vertical="center"/>
    </xf>
    <xf numFmtId="41" fontId="11" fillId="37" borderId="1" xfId="1" applyFont="1" applyFill="1" applyBorder="1" applyAlignment="1">
      <alignment horizontal="center" vertical="center" wrapText="1"/>
    </xf>
    <xf numFmtId="0" fontId="7" fillId="37" borderId="1" xfId="0" applyFont="1" applyFill="1" applyBorder="1" applyAlignment="1">
      <alignment horizontal="center" vertical="center" wrapText="1"/>
    </xf>
    <xf numFmtId="0" fontId="9" fillId="37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41" fontId="11" fillId="18" borderId="1" xfId="1" applyFont="1" applyFill="1" applyBorder="1" applyAlignment="1">
      <alignment horizontal="center" vertical="center" wrapText="1"/>
    </xf>
    <xf numFmtId="0" fontId="23" fillId="6" borderId="8" xfId="0" applyFont="1" applyFill="1" applyBorder="1" applyAlignment="1">
      <alignment horizontal="center" vertical="center" wrapText="1"/>
    </xf>
    <xf numFmtId="0" fontId="25" fillId="6" borderId="8" xfId="0" applyFont="1" applyFill="1" applyBorder="1" applyAlignment="1">
      <alignment horizontal="center" vertical="center" wrapText="1"/>
    </xf>
    <xf numFmtId="0" fontId="35" fillId="0" borderId="17" xfId="0" applyFont="1" applyBorder="1" applyAlignment="1">
      <alignment horizontal="center" vertical="center" wrapText="1"/>
    </xf>
    <xf numFmtId="177" fontId="7" fillId="0" borderId="17" xfId="0" applyNumberFormat="1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41" fontId="11" fillId="0" borderId="17" xfId="1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24" fillId="24" borderId="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0" fillId="0" borderId="3" xfId="0" applyFont="1" applyBorder="1" applyAlignment="1">
      <alignment horizontal="center" vertical="center" wrapText="1" shrinkToFit="1"/>
    </xf>
    <xf numFmtId="177" fontId="18" fillId="0" borderId="1" xfId="0" applyNumberFormat="1" applyFont="1" applyBorder="1" applyAlignment="1">
      <alignment horizontal="center" vertical="center" wrapText="1"/>
    </xf>
    <xf numFmtId="41" fontId="63" fillId="0" borderId="1" xfId="1" applyFont="1" applyFill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/>
    </xf>
    <xf numFmtId="41" fontId="11" fillId="0" borderId="6" xfId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41" fontId="4" fillId="0" borderId="1" xfId="0" applyNumberFormat="1" applyFont="1" applyBorder="1" applyAlignment="1">
      <alignment horizontal="center" vertical="center"/>
    </xf>
    <xf numFmtId="0" fontId="7" fillId="38" borderId="1" xfId="0" applyFont="1" applyFill="1" applyBorder="1" applyAlignment="1">
      <alignment horizontal="center" vertical="center" wrapText="1"/>
    </xf>
    <xf numFmtId="0" fontId="4" fillId="39" borderId="1" xfId="0" applyFont="1" applyFill="1" applyBorder="1" applyAlignment="1">
      <alignment horizontal="center" vertical="center" wrapText="1"/>
    </xf>
    <xf numFmtId="0" fontId="4" fillId="39" borderId="3" xfId="0" applyFont="1" applyFill="1" applyBorder="1" applyAlignment="1">
      <alignment horizontal="center" vertical="center"/>
    </xf>
    <xf numFmtId="0" fontId="4" fillId="39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9" fillId="19" borderId="1" xfId="0" applyFont="1" applyFill="1" applyBorder="1" applyAlignment="1">
      <alignment horizontal="center" vertical="center" wrapText="1"/>
    </xf>
    <xf numFmtId="0" fontId="0" fillId="19" borderId="0" xfId="0" applyFill="1">
      <alignment vertical="center"/>
    </xf>
    <xf numFmtId="0" fontId="35" fillId="40" borderId="1" xfId="0" applyFont="1" applyFill="1" applyBorder="1" applyAlignment="1">
      <alignment horizontal="center" vertical="center" wrapText="1"/>
    </xf>
    <xf numFmtId="178" fontId="4" fillId="0" borderId="0" xfId="0" applyNumberFormat="1" applyFont="1">
      <alignment vertical="center"/>
    </xf>
    <xf numFmtId="0" fontId="4" fillId="12" borderId="1" xfId="0" applyFont="1" applyFill="1" applyBorder="1" applyAlignment="1">
      <alignment horizontal="center" vertical="center" wrapText="1"/>
    </xf>
    <xf numFmtId="41" fontId="74" fillId="0" borderId="1" xfId="1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/>
    </xf>
    <xf numFmtId="0" fontId="35" fillId="6" borderId="1" xfId="0" applyFont="1" applyFill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80" fillId="0" borderId="1" xfId="0" applyFont="1" applyBorder="1" applyAlignment="1">
      <alignment horizontal="center" vertical="center" wrapText="1"/>
    </xf>
    <xf numFmtId="0" fontId="64" fillId="4" borderId="1" xfId="0" applyFont="1" applyFill="1" applyBorder="1" applyAlignment="1">
      <alignment horizontal="center" vertical="center" wrapText="1"/>
    </xf>
    <xf numFmtId="41" fontId="11" fillId="0" borderId="1" xfId="1" applyFont="1" applyBorder="1" applyAlignment="1">
      <alignment vertical="center" wrapText="1"/>
    </xf>
    <xf numFmtId="41" fontId="11" fillId="0" borderId="1" xfId="1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 wrapText="1"/>
    </xf>
    <xf numFmtId="41" fontId="8" fillId="0" borderId="1" xfId="1" applyFont="1" applyBorder="1" applyAlignment="1">
      <alignment horizontal="right" vertical="center" wrapText="1" shrinkToFit="1"/>
    </xf>
    <xf numFmtId="177" fontId="8" fillId="0" borderId="3" xfId="0" applyNumberFormat="1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 wrapText="1"/>
    </xf>
    <xf numFmtId="178" fontId="7" fillId="0" borderId="1" xfId="0" applyNumberFormat="1" applyFont="1" applyBorder="1" applyAlignment="1">
      <alignment horizontal="center" vertical="center" wrapText="1"/>
    </xf>
    <xf numFmtId="0" fontId="61" fillId="0" borderId="0" xfId="0" applyFont="1">
      <alignment vertical="center"/>
    </xf>
    <xf numFmtId="0" fontId="82" fillId="0" borderId="0" xfId="0" applyFont="1" applyAlignment="1">
      <alignment vertical="center" wrapText="1"/>
    </xf>
    <xf numFmtId="0" fontId="26" fillId="0" borderId="1" xfId="0" applyFont="1" applyBorder="1" applyAlignment="1">
      <alignment horizontal="center" vertical="center" wrapText="1"/>
    </xf>
    <xf numFmtId="41" fontId="8" fillId="0" borderId="1" xfId="1" applyFont="1" applyFill="1" applyBorder="1" applyAlignment="1">
      <alignment horizontal="right" vertical="center" wrapText="1" shrinkToFit="1"/>
    </xf>
    <xf numFmtId="41" fontId="8" fillId="0" borderId="1" xfId="1" quotePrefix="1" applyFont="1" applyBorder="1" applyAlignment="1">
      <alignment horizontal="center" vertical="center" wrapText="1"/>
    </xf>
    <xf numFmtId="0" fontId="90" fillId="0" borderId="1" xfId="0" applyFont="1" applyBorder="1" applyAlignment="1">
      <alignment horizontal="center" vertical="center"/>
    </xf>
    <xf numFmtId="41" fontId="4" fillId="0" borderId="1" xfId="1" applyFont="1" applyFill="1" applyBorder="1" applyAlignment="1">
      <alignment horizontal="center" vertical="center"/>
    </xf>
    <xf numFmtId="0" fontId="15" fillId="0" borderId="1" xfId="0" quotePrefix="1" applyFont="1" applyBorder="1" applyAlignment="1">
      <alignment horizontal="center" vertical="center" wrapText="1"/>
    </xf>
    <xf numFmtId="20" fontId="9" fillId="0" borderId="1" xfId="0" applyNumberFormat="1" applyFont="1" applyBorder="1" applyAlignment="1">
      <alignment horizontal="center" vertical="center" wrapText="1"/>
    </xf>
    <xf numFmtId="41" fontId="7" fillId="0" borderId="1" xfId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78" fontId="23" fillId="0" borderId="1" xfId="0" applyNumberFormat="1" applyFont="1" applyBorder="1" applyAlignment="1">
      <alignment horizontal="center" vertical="center" wrapText="1"/>
    </xf>
    <xf numFmtId="41" fontId="7" fillId="0" borderId="1" xfId="1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/>
    </xf>
    <xf numFmtId="0" fontId="82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 shrinkToFit="1"/>
    </xf>
    <xf numFmtId="0" fontId="9" fillId="23" borderId="1" xfId="0" quotePrefix="1" applyFont="1" applyFill="1" applyBorder="1" applyAlignment="1">
      <alignment horizontal="center" vertical="center" wrapText="1"/>
    </xf>
    <xf numFmtId="1" fontId="4" fillId="0" borderId="1" xfId="0" quotePrefix="1" applyNumberFormat="1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97" fillId="0" borderId="1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5" fillId="9" borderId="9" xfId="0" applyFont="1" applyFill="1" applyBorder="1" applyAlignment="1">
      <alignment horizontal="center" vertical="center" wrapText="1"/>
    </xf>
    <xf numFmtId="0" fontId="56" fillId="0" borderId="9" xfId="0" applyFont="1" applyBorder="1" applyAlignment="1">
      <alignment vertical="center" wrapText="1"/>
    </xf>
    <xf numFmtId="0" fontId="84" fillId="0" borderId="9" xfId="0" applyFont="1" applyBorder="1" applyAlignment="1">
      <alignment vertical="center" wrapText="1"/>
    </xf>
    <xf numFmtId="0" fontId="70" fillId="0" borderId="9" xfId="0" applyFont="1" applyBorder="1" applyAlignment="1">
      <alignment vertical="center" wrapText="1"/>
    </xf>
    <xf numFmtId="0" fontId="15" fillId="0" borderId="9" xfId="0" applyFont="1" applyBorder="1" applyAlignment="1">
      <alignment vertical="center" wrapText="1"/>
    </xf>
    <xf numFmtId="0" fontId="56" fillId="0" borderId="9" xfId="0" applyFont="1" applyBorder="1">
      <alignment vertical="center"/>
    </xf>
    <xf numFmtId="0" fontId="73" fillId="0" borderId="9" xfId="0" applyFont="1" applyBorder="1" applyAlignment="1">
      <alignment horizontal="left" vertical="center" wrapText="1"/>
    </xf>
    <xf numFmtId="0" fontId="86" fillId="0" borderId="9" xfId="0" applyFont="1" applyBorder="1" applyAlignment="1">
      <alignment vertical="center" wrapText="1"/>
    </xf>
    <xf numFmtId="0" fontId="91" fillId="0" borderId="9" xfId="0" applyFont="1" applyBorder="1" applyAlignment="1">
      <alignment vertical="center" wrapText="1"/>
    </xf>
    <xf numFmtId="0" fontId="46" fillId="0" borderId="9" xfId="0" applyFont="1" applyBorder="1" applyAlignment="1">
      <alignment vertical="center" wrapText="1"/>
    </xf>
    <xf numFmtId="0" fontId="69" fillId="0" borderId="9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95" fillId="0" borderId="9" xfId="0" applyFont="1" applyBorder="1" applyAlignment="1">
      <alignment vertical="center" wrapText="1"/>
    </xf>
    <xf numFmtId="0" fontId="96" fillId="0" borderId="9" xfId="0" applyFont="1" applyBorder="1" applyAlignment="1">
      <alignment vertical="center" wrapText="1"/>
    </xf>
    <xf numFmtId="0" fontId="4" fillId="0" borderId="9" xfId="0" quotePrefix="1" applyFont="1" applyBorder="1" applyAlignment="1">
      <alignment horizontal="center" vertical="center" wrapText="1"/>
    </xf>
    <xf numFmtId="0" fontId="5" fillId="9" borderId="20" xfId="0" applyFont="1" applyFill="1" applyBorder="1" applyAlignment="1">
      <alignment horizontal="center" vertical="center" wrapText="1"/>
    </xf>
    <xf numFmtId="0" fontId="88" fillId="0" borderId="9" xfId="0" applyFont="1" applyBorder="1" applyAlignment="1">
      <alignment vertical="center" wrapText="1"/>
    </xf>
    <xf numFmtId="0" fontId="70" fillId="0" borderId="9" xfId="0" applyFont="1" applyBorder="1">
      <alignment vertical="center"/>
    </xf>
    <xf numFmtId="0" fontId="56" fillId="0" borderId="1" xfId="0" quotePrefix="1" applyFont="1" applyBorder="1" applyAlignment="1">
      <alignment horizontal="center" vertical="center" wrapText="1"/>
    </xf>
    <xf numFmtId="0" fontId="73" fillId="0" borderId="9" xfId="0" applyFont="1" applyBorder="1" applyAlignment="1">
      <alignment vertical="center" wrapText="1"/>
    </xf>
    <xf numFmtId="0" fontId="69" fillId="0" borderId="0" xfId="0" applyFont="1" applyAlignment="1">
      <alignment vertical="center" wrapText="1"/>
    </xf>
    <xf numFmtId="0" fontId="4" fillId="0" borderId="1" xfId="0" quotePrefix="1" applyFont="1" applyBorder="1" applyAlignment="1">
      <alignment horizontal="center" vertical="center"/>
    </xf>
    <xf numFmtId="0" fontId="98" fillId="0" borderId="9" xfId="0" applyFont="1" applyBorder="1" applyAlignment="1">
      <alignment vertical="center" wrapText="1"/>
    </xf>
    <xf numFmtId="0" fontId="101" fillId="0" borderId="9" xfId="0" applyFont="1" applyBorder="1" applyAlignment="1">
      <alignment vertical="center" wrapText="1"/>
    </xf>
    <xf numFmtId="0" fontId="100" fillId="0" borderId="9" xfId="0" applyFont="1" applyBorder="1" applyAlignment="1">
      <alignment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 shrinkToFit="1"/>
    </xf>
    <xf numFmtId="0" fontId="56" fillId="3" borderId="1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vertical="center" wrapText="1"/>
    </xf>
    <xf numFmtId="0" fontId="56" fillId="3" borderId="1" xfId="0" applyFont="1" applyFill="1" applyBorder="1" applyAlignment="1">
      <alignment horizontal="center" vertical="center" wrapText="1"/>
    </xf>
    <xf numFmtId="0" fontId="4" fillId="3" borderId="1" xfId="0" quotePrefix="1" applyFont="1" applyFill="1" applyBorder="1" applyAlignment="1">
      <alignment horizontal="center" vertical="center" wrapText="1"/>
    </xf>
    <xf numFmtId="0" fontId="84" fillId="3" borderId="9" xfId="0" applyFont="1" applyFill="1" applyBorder="1" applyAlignment="1">
      <alignment vertical="center" wrapText="1"/>
    </xf>
    <xf numFmtId="0" fontId="103" fillId="0" borderId="1" xfId="0" applyFont="1" applyBorder="1" applyAlignment="1">
      <alignment horizontal="center" vertical="center" wrapText="1"/>
    </xf>
    <xf numFmtId="0" fontId="103" fillId="0" borderId="1" xfId="0" quotePrefix="1" applyFont="1" applyBorder="1" applyAlignment="1">
      <alignment horizontal="center" vertical="center" wrapText="1"/>
    </xf>
    <xf numFmtId="41" fontId="22" fillId="0" borderId="1" xfId="1" applyFont="1" applyFill="1" applyBorder="1" applyAlignment="1">
      <alignment horizontal="center" vertical="center" wrapText="1"/>
    </xf>
    <xf numFmtId="41" fontId="22" fillId="0" borderId="1" xfId="1" applyFont="1" applyBorder="1" applyAlignment="1">
      <alignment horizontal="center" vertical="center" wrapText="1"/>
    </xf>
    <xf numFmtId="41" fontId="103" fillId="0" borderId="1" xfId="1" quotePrefix="1" applyFont="1" applyFill="1" applyBorder="1" applyAlignment="1">
      <alignment horizontal="center" vertical="center" wrapText="1"/>
    </xf>
    <xf numFmtId="41" fontId="103" fillId="0" borderId="1" xfId="1" quotePrefix="1" applyFont="1" applyBorder="1" applyAlignment="1">
      <alignment horizontal="center" vertical="center" wrapText="1"/>
    </xf>
    <xf numFmtId="177" fontId="103" fillId="0" borderId="1" xfId="0" applyNumberFormat="1" applyFont="1" applyBorder="1" applyAlignment="1">
      <alignment horizontal="center" vertical="center" wrapText="1"/>
    </xf>
    <xf numFmtId="41" fontId="17" fillId="3" borderId="3" xfId="1" applyFont="1" applyFill="1" applyBorder="1" applyAlignment="1">
      <alignment horizontal="center" vertical="center"/>
    </xf>
    <xf numFmtId="41" fontId="17" fillId="3" borderId="5" xfId="1" applyFont="1" applyFill="1" applyBorder="1" applyAlignment="1">
      <alignment horizontal="center" vertical="center"/>
    </xf>
    <xf numFmtId="41" fontId="11" fillId="0" borderId="3" xfId="1" applyFont="1" applyFill="1" applyBorder="1" applyAlignment="1">
      <alignment horizontal="center" vertical="center" wrapText="1"/>
    </xf>
    <xf numFmtId="41" fontId="11" fillId="0" borderId="5" xfId="1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70" fillId="3" borderId="9" xfId="0" applyFont="1" applyFill="1" applyBorder="1" applyAlignment="1">
      <alignment vertical="center" wrapText="1"/>
    </xf>
    <xf numFmtId="0" fontId="4" fillId="3" borderId="0" xfId="0" applyFont="1" applyFill="1">
      <alignment vertical="center"/>
    </xf>
    <xf numFmtId="0" fontId="104" fillId="0" borderId="1" xfId="0" applyFont="1" applyBorder="1" applyAlignment="1">
      <alignment horizontal="center" vertical="center" wrapText="1"/>
    </xf>
    <xf numFmtId="0" fontId="90" fillId="0" borderId="1" xfId="0" applyFont="1" applyBorder="1" applyAlignment="1">
      <alignment horizontal="center" vertical="center" wrapText="1"/>
    </xf>
    <xf numFmtId="0" fontId="105" fillId="0" borderId="1" xfId="0" applyFont="1" applyBorder="1" applyAlignment="1">
      <alignment horizontal="center" vertical="center" wrapText="1"/>
    </xf>
    <xf numFmtId="0" fontId="106" fillId="0" borderId="1" xfId="0" applyFont="1" applyBorder="1" applyAlignment="1">
      <alignment horizontal="center" vertical="center" wrapText="1"/>
    </xf>
    <xf numFmtId="0" fontId="90" fillId="4" borderId="1" xfId="0" applyFont="1" applyFill="1" applyBorder="1" applyAlignment="1">
      <alignment horizontal="center" vertical="center" wrapText="1"/>
    </xf>
    <xf numFmtId="0" fontId="106" fillId="4" borderId="1" xfId="0" applyFont="1" applyFill="1" applyBorder="1" applyAlignment="1">
      <alignment horizontal="center" vertical="center" wrapText="1"/>
    </xf>
    <xf numFmtId="41" fontId="106" fillId="0" borderId="1" xfId="1" applyFont="1" applyBorder="1" applyAlignment="1">
      <alignment horizontal="center" vertical="center" wrapText="1"/>
    </xf>
    <xf numFmtId="41" fontId="23" fillId="4" borderId="1" xfId="1" applyFont="1" applyFill="1" applyBorder="1" applyAlignment="1">
      <alignment horizontal="center" vertical="center" wrapText="1"/>
    </xf>
    <xf numFmtId="41" fontId="23" fillId="0" borderId="8" xfId="1" applyFont="1" applyBorder="1" applyAlignment="1">
      <alignment horizontal="center" vertical="center" wrapText="1"/>
    </xf>
    <xf numFmtId="41" fontId="23" fillId="0" borderId="4" xfId="1" applyFont="1" applyBorder="1" applyAlignment="1">
      <alignment horizontal="center" vertical="center" wrapText="1"/>
    </xf>
    <xf numFmtId="41" fontId="23" fillId="0" borderId="1" xfId="1" applyFont="1" applyBorder="1" applyAlignment="1">
      <alignment horizontal="center" vertical="center" wrapText="1"/>
    </xf>
    <xf numFmtId="41" fontId="24" fillId="0" borderId="8" xfId="1" applyFont="1" applyBorder="1" applyAlignment="1">
      <alignment horizontal="right" vertical="center" wrapText="1"/>
    </xf>
    <xf numFmtId="41" fontId="58" fillId="0" borderId="1" xfId="1" applyFont="1" applyBorder="1" applyAlignment="1">
      <alignment horizontal="center" vertical="center" wrapText="1"/>
    </xf>
    <xf numFmtId="41" fontId="25" fillId="0" borderId="8" xfId="1" applyFont="1" applyBorder="1" applyAlignment="1">
      <alignment horizontal="center" vertical="center" wrapText="1"/>
    </xf>
    <xf numFmtId="41" fontId="63" fillId="0" borderId="3" xfId="1" applyFont="1" applyFill="1" applyBorder="1" applyAlignment="1">
      <alignment horizontal="right" vertical="center" wrapText="1"/>
    </xf>
    <xf numFmtId="41" fontId="78" fillId="0" borderId="1" xfId="1" applyFont="1" applyBorder="1" applyAlignment="1">
      <alignment horizontal="center" vertical="center" wrapText="1"/>
    </xf>
    <xf numFmtId="41" fontId="24" fillId="0" borderId="1" xfId="1" applyFont="1" applyBorder="1" applyAlignment="1">
      <alignment horizontal="center" vertical="center" wrapText="1"/>
    </xf>
    <xf numFmtId="41" fontId="90" fillId="0" borderId="1" xfId="1" applyFont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41" fontId="23" fillId="6" borderId="1" xfId="1" applyFont="1" applyFill="1" applyBorder="1" applyAlignment="1">
      <alignment horizontal="center" vertical="center" wrapText="1"/>
    </xf>
    <xf numFmtId="0" fontId="90" fillId="6" borderId="1" xfId="0" applyFont="1" applyFill="1" applyBorder="1" applyAlignment="1">
      <alignment horizontal="center" vertical="center" wrapText="1"/>
    </xf>
    <xf numFmtId="0" fontId="106" fillId="6" borderId="1" xfId="0" applyFont="1" applyFill="1" applyBorder="1" applyAlignment="1">
      <alignment horizontal="center" vertical="center" wrapText="1"/>
    </xf>
    <xf numFmtId="41" fontId="106" fillId="6" borderId="1" xfId="1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0" fontId="103" fillId="6" borderId="1" xfId="0" applyFont="1" applyFill="1" applyBorder="1" applyAlignment="1">
      <alignment horizontal="center" vertical="center" wrapText="1"/>
    </xf>
    <xf numFmtId="0" fontId="103" fillId="6" borderId="1" xfId="0" quotePrefix="1" applyFont="1" applyFill="1" applyBorder="1" applyAlignment="1">
      <alignment horizontal="center" vertical="center" wrapText="1"/>
    </xf>
    <xf numFmtId="0" fontId="65" fillId="6" borderId="1" xfId="0" applyFont="1" applyFill="1" applyBorder="1" applyAlignment="1">
      <alignment horizontal="center" vertical="center" wrapText="1"/>
    </xf>
    <xf numFmtId="177" fontId="8" fillId="6" borderId="3" xfId="0" applyNumberFormat="1" applyFont="1" applyFill="1" applyBorder="1" applyAlignment="1">
      <alignment horizontal="center" vertical="center" wrapText="1"/>
    </xf>
    <xf numFmtId="177" fontId="8" fillId="6" borderId="1" xfId="0" applyNumberFormat="1" applyFont="1" applyFill="1" applyBorder="1" applyAlignment="1">
      <alignment horizontal="center" vertical="center" wrapText="1"/>
    </xf>
    <xf numFmtId="41" fontId="22" fillId="6" borderId="1" xfId="1" applyFont="1" applyFill="1" applyBorder="1" applyAlignment="1">
      <alignment horizontal="center" vertical="center" wrapText="1"/>
    </xf>
    <xf numFmtId="0" fontId="24" fillId="23" borderId="1" xfId="0" applyFont="1" applyFill="1" applyBorder="1" applyAlignment="1">
      <alignment horizontal="center" vertical="center" wrapText="1"/>
    </xf>
    <xf numFmtId="0" fontId="104" fillId="23" borderId="1" xfId="0" applyFont="1" applyFill="1" applyBorder="1" applyAlignment="1">
      <alignment horizontal="center" vertical="center" wrapText="1"/>
    </xf>
    <xf numFmtId="0" fontId="23" fillId="23" borderId="1" xfId="0" applyFont="1" applyFill="1" applyBorder="1" applyAlignment="1">
      <alignment horizontal="center" vertical="center" wrapText="1"/>
    </xf>
    <xf numFmtId="41" fontId="24" fillId="23" borderId="1" xfId="1" applyFont="1" applyFill="1" applyBorder="1" applyAlignment="1">
      <alignment horizontal="center" vertical="center" wrapText="1"/>
    </xf>
    <xf numFmtId="0" fontId="90" fillId="23" borderId="1" xfId="0" applyFont="1" applyFill="1" applyBorder="1" applyAlignment="1">
      <alignment horizontal="center" vertical="center" wrapText="1"/>
    </xf>
    <xf numFmtId="0" fontId="106" fillId="23" borderId="1" xfId="0" applyFont="1" applyFill="1" applyBorder="1" applyAlignment="1">
      <alignment horizontal="center" vertical="center" wrapText="1"/>
    </xf>
    <xf numFmtId="41" fontId="106" fillId="23" borderId="1" xfId="1" applyFont="1" applyFill="1" applyBorder="1" applyAlignment="1">
      <alignment horizontal="center" vertical="center" wrapText="1"/>
    </xf>
    <xf numFmtId="0" fontId="90" fillId="27" borderId="1" xfId="0" applyFont="1" applyFill="1" applyBorder="1" applyAlignment="1">
      <alignment horizontal="center" vertical="center" wrapText="1"/>
    </xf>
    <xf numFmtId="0" fontId="106" fillId="27" borderId="1" xfId="0" applyFont="1" applyFill="1" applyBorder="1" applyAlignment="1">
      <alignment horizontal="center" vertical="center" wrapText="1"/>
    </xf>
    <xf numFmtId="41" fontId="106" fillId="27" borderId="1" xfId="1" applyFont="1" applyFill="1" applyBorder="1" applyAlignment="1">
      <alignment horizontal="center" vertical="center" wrapText="1"/>
    </xf>
    <xf numFmtId="41" fontId="90" fillId="27" borderId="1" xfId="1" applyFont="1" applyFill="1" applyBorder="1" applyAlignment="1">
      <alignment horizontal="center" vertical="center" wrapText="1"/>
    </xf>
    <xf numFmtId="177" fontId="103" fillId="27" borderId="1" xfId="0" applyNumberFormat="1" applyFont="1" applyFill="1" applyBorder="1" applyAlignment="1">
      <alignment horizontal="center" vertical="center" wrapText="1"/>
    </xf>
    <xf numFmtId="0" fontId="22" fillId="27" borderId="1" xfId="0" applyFont="1" applyFill="1" applyBorder="1" applyAlignment="1">
      <alignment horizontal="center" vertical="center" wrapText="1"/>
    </xf>
    <xf numFmtId="0" fontId="103" fillId="27" borderId="1" xfId="0" applyFont="1" applyFill="1" applyBorder="1" applyAlignment="1">
      <alignment horizontal="center" vertical="center" wrapText="1"/>
    </xf>
    <xf numFmtId="0" fontId="103" fillId="27" borderId="1" xfId="0" quotePrefix="1" applyFont="1" applyFill="1" applyBorder="1" applyAlignment="1">
      <alignment horizontal="center" vertical="center" wrapText="1"/>
    </xf>
    <xf numFmtId="0" fontId="65" fillId="27" borderId="1" xfId="0" applyFont="1" applyFill="1" applyBorder="1" applyAlignment="1">
      <alignment horizontal="center" vertical="center" wrapText="1"/>
    </xf>
    <xf numFmtId="41" fontId="22" fillId="27" borderId="1" xfId="1" applyFont="1" applyFill="1" applyBorder="1" applyAlignment="1">
      <alignment horizontal="center" vertical="center" wrapText="1"/>
    </xf>
    <xf numFmtId="0" fontId="23" fillId="21" borderId="1" xfId="0" applyFont="1" applyFill="1" applyBorder="1" applyAlignment="1">
      <alignment horizontal="center" vertical="center" wrapText="1"/>
    </xf>
    <xf numFmtId="41" fontId="23" fillId="21" borderId="1" xfId="1" applyFont="1" applyFill="1" applyBorder="1" applyAlignment="1">
      <alignment horizontal="center" vertical="center" wrapText="1"/>
    </xf>
    <xf numFmtId="0" fontId="106" fillId="21" borderId="1" xfId="0" applyFont="1" applyFill="1" applyBorder="1" applyAlignment="1">
      <alignment horizontal="center" vertical="center" wrapText="1"/>
    </xf>
    <xf numFmtId="41" fontId="106" fillId="21" borderId="1" xfId="1" applyFont="1" applyFill="1" applyBorder="1" applyAlignment="1">
      <alignment horizontal="center" vertical="center" wrapText="1"/>
    </xf>
    <xf numFmtId="0" fontId="22" fillId="21" borderId="1" xfId="0" applyFont="1" applyFill="1" applyBorder="1" applyAlignment="1">
      <alignment horizontal="center" vertical="center" wrapText="1"/>
    </xf>
    <xf numFmtId="41" fontId="22" fillId="21" borderId="1" xfId="1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41" fontId="22" fillId="3" borderId="1" xfId="1" applyFont="1" applyFill="1" applyBorder="1" applyAlignment="1">
      <alignment horizontal="center" vertical="center" wrapText="1"/>
    </xf>
    <xf numFmtId="0" fontId="24" fillId="21" borderId="1" xfId="0" applyFont="1" applyFill="1" applyBorder="1" applyAlignment="1">
      <alignment horizontal="center" vertical="center" wrapText="1"/>
    </xf>
    <xf numFmtId="0" fontId="90" fillId="21" borderId="1" xfId="0" applyFont="1" applyFill="1" applyBorder="1" applyAlignment="1">
      <alignment horizontal="center" vertical="center" wrapText="1"/>
    </xf>
    <xf numFmtId="177" fontId="103" fillId="21" borderId="1" xfId="0" applyNumberFormat="1" applyFont="1" applyFill="1" applyBorder="1" applyAlignment="1">
      <alignment horizontal="center" vertical="center" wrapText="1"/>
    </xf>
    <xf numFmtId="0" fontId="103" fillId="21" borderId="1" xfId="0" applyFont="1" applyFill="1" applyBorder="1" applyAlignment="1">
      <alignment horizontal="center" vertical="center" wrapText="1"/>
    </xf>
    <xf numFmtId="0" fontId="103" fillId="21" borderId="1" xfId="0" quotePrefix="1" applyFont="1" applyFill="1" applyBorder="1" applyAlignment="1">
      <alignment horizontal="center" vertical="center" wrapText="1"/>
    </xf>
    <xf numFmtId="0" fontId="65" fillId="21" borderId="1" xfId="0" applyFont="1" applyFill="1" applyBorder="1" applyAlignment="1">
      <alignment horizontal="center" vertical="center" wrapText="1"/>
    </xf>
    <xf numFmtId="176" fontId="107" fillId="2" borderId="1" xfId="0" applyNumberFormat="1" applyFont="1" applyFill="1" applyBorder="1" applyAlignment="1">
      <alignment horizontal="center" vertical="center"/>
    </xf>
    <xf numFmtId="0" fontId="107" fillId="2" borderId="1" xfId="0" applyFont="1" applyFill="1" applyBorder="1" applyAlignment="1">
      <alignment horizontal="center" vertical="center" wrapText="1"/>
    </xf>
    <xf numFmtId="0" fontId="107" fillId="2" borderId="1" xfId="0" applyFont="1" applyFill="1" applyBorder="1" applyAlignment="1">
      <alignment horizontal="center" vertical="center"/>
    </xf>
    <xf numFmtId="0" fontId="107" fillId="2" borderId="1" xfId="0" applyFont="1" applyFill="1" applyBorder="1" applyAlignment="1">
      <alignment horizontal="center" vertical="center" shrinkToFit="1"/>
    </xf>
    <xf numFmtId="0" fontId="107" fillId="2" borderId="1" xfId="0" applyFont="1" applyFill="1" applyBorder="1" applyAlignment="1">
      <alignment horizontal="center" vertical="center" wrapText="1" shrinkToFit="1"/>
    </xf>
    <xf numFmtId="0" fontId="59" fillId="3" borderId="1" xfId="0" applyFont="1" applyFill="1" applyBorder="1" applyAlignment="1">
      <alignment horizontal="center" vertical="center" wrapText="1"/>
    </xf>
    <xf numFmtId="0" fontId="58" fillId="3" borderId="1" xfId="0" applyFont="1" applyFill="1" applyBorder="1" applyAlignment="1">
      <alignment horizontal="center" vertical="center" wrapText="1"/>
    </xf>
    <xf numFmtId="177" fontId="108" fillId="3" borderId="1" xfId="0" applyNumberFormat="1" applyFont="1" applyFill="1" applyBorder="1" applyAlignment="1">
      <alignment horizontal="center" vertical="center" wrapText="1"/>
    </xf>
    <xf numFmtId="0" fontId="108" fillId="3" borderId="1" xfId="0" applyFont="1" applyFill="1" applyBorder="1" applyAlignment="1">
      <alignment horizontal="center" vertical="center" wrapText="1"/>
    </xf>
    <xf numFmtId="0" fontId="108" fillId="3" borderId="1" xfId="0" quotePrefix="1" applyFont="1" applyFill="1" applyBorder="1" applyAlignment="1">
      <alignment horizontal="center" vertical="center" wrapText="1"/>
    </xf>
    <xf numFmtId="0" fontId="59" fillId="4" borderId="1" xfId="0" applyFont="1" applyFill="1" applyBorder="1" applyAlignment="1">
      <alignment horizontal="center" vertical="center" wrapText="1"/>
    </xf>
    <xf numFmtId="0" fontId="108" fillId="3" borderId="1" xfId="0" applyFont="1" applyFill="1" applyBorder="1" applyAlignment="1">
      <alignment horizontal="center" vertical="center"/>
    </xf>
    <xf numFmtId="0" fontId="108" fillId="0" borderId="1" xfId="0" applyFont="1" applyBorder="1" applyAlignment="1">
      <alignment horizontal="center" vertical="center"/>
    </xf>
    <xf numFmtId="0" fontId="58" fillId="0" borderId="1" xfId="0" quotePrefix="1" applyFont="1" applyBorder="1" applyAlignment="1">
      <alignment horizontal="center" vertical="center"/>
    </xf>
    <xf numFmtId="0" fontId="108" fillId="0" borderId="1" xfId="0" applyFont="1" applyBorder="1" applyAlignment="1">
      <alignment horizontal="center" vertical="center" wrapText="1"/>
    </xf>
    <xf numFmtId="0" fontId="108" fillId="0" borderId="1" xfId="0" quotePrefix="1" applyFont="1" applyBorder="1" applyAlignment="1">
      <alignment horizontal="center" vertical="center" wrapText="1"/>
    </xf>
    <xf numFmtId="177" fontId="108" fillId="0" borderId="1" xfId="0" applyNumberFormat="1" applyFont="1" applyBorder="1" applyAlignment="1">
      <alignment horizontal="center" vertical="center" wrapText="1"/>
    </xf>
    <xf numFmtId="176" fontId="107" fillId="2" borderId="1" xfId="0" applyNumberFormat="1" applyFont="1" applyFill="1" applyBorder="1" applyAlignment="1">
      <alignment horizontal="center" vertical="center" wrapText="1"/>
    </xf>
    <xf numFmtId="41" fontId="22" fillId="6" borderId="7" xfId="1" applyFont="1" applyFill="1" applyBorder="1" applyAlignment="1">
      <alignment horizontal="center" vertical="center" wrapText="1"/>
    </xf>
    <xf numFmtId="0" fontId="109" fillId="0" borderId="0" xfId="0" applyFont="1" applyAlignment="1">
      <alignment horizontal="center" vertical="center"/>
    </xf>
    <xf numFmtId="0" fontId="109" fillId="0" borderId="0" xfId="0" applyFont="1">
      <alignment vertical="center"/>
    </xf>
    <xf numFmtId="41" fontId="0" fillId="0" borderId="1" xfId="1" applyFont="1" applyBorder="1" applyAlignment="1">
      <alignment horizontal="center" vertical="center"/>
    </xf>
    <xf numFmtId="41" fontId="0" fillId="6" borderId="1" xfId="0" applyNumberFormat="1" applyFill="1" applyBorder="1">
      <alignment vertical="center"/>
    </xf>
    <xf numFmtId="0" fontId="0" fillId="6" borderId="1" xfId="0" applyFill="1" applyBorder="1" applyAlignment="1">
      <alignment horizontal="center" vertical="center"/>
    </xf>
    <xf numFmtId="0" fontId="8" fillId="3" borderId="1" xfId="0" quotePrefix="1" applyFont="1" applyFill="1" applyBorder="1" applyAlignment="1">
      <alignment horizontal="center" vertical="center" wrapText="1" shrinkToFit="1"/>
    </xf>
    <xf numFmtId="0" fontId="24" fillId="4" borderId="8" xfId="0" applyFont="1" applyFill="1" applyBorder="1" applyAlignment="1">
      <alignment horizontal="center" vertical="center" wrapText="1"/>
    </xf>
    <xf numFmtId="0" fontId="106" fillId="0" borderId="8" xfId="0" applyFont="1" applyBorder="1" applyAlignment="1">
      <alignment horizontal="center" vertical="center" wrapText="1"/>
    </xf>
    <xf numFmtId="0" fontId="90" fillId="0" borderId="8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104" fillId="0" borderId="8" xfId="0" applyFont="1" applyBorder="1" applyAlignment="1">
      <alignment horizontal="center" vertical="center" wrapText="1"/>
    </xf>
    <xf numFmtId="0" fontId="106" fillId="0" borderId="1" xfId="0" applyFont="1" applyBorder="1" applyAlignment="1">
      <alignment vertical="center" wrapText="1"/>
    </xf>
    <xf numFmtId="0" fontId="56" fillId="3" borderId="9" xfId="0" applyFont="1" applyFill="1" applyBorder="1" applyAlignment="1">
      <alignment vertical="center" wrapText="1"/>
    </xf>
    <xf numFmtId="0" fontId="4" fillId="0" borderId="9" xfId="0" applyFont="1" applyBorder="1">
      <alignment vertical="center"/>
    </xf>
    <xf numFmtId="177" fontId="17" fillId="0" borderId="3" xfId="0" applyNumberFormat="1" applyFont="1" applyBorder="1" applyAlignment="1">
      <alignment horizontal="center" vertical="center" wrapText="1"/>
    </xf>
    <xf numFmtId="0" fontId="64" fillId="0" borderId="8" xfId="0" applyFont="1" applyBorder="1" applyAlignment="1">
      <alignment horizontal="center" vertical="center" wrapText="1"/>
    </xf>
    <xf numFmtId="0" fontId="64" fillId="4" borderId="8" xfId="0" applyFont="1" applyFill="1" applyBorder="1" applyAlignment="1">
      <alignment horizontal="center" vertical="center" wrapText="1"/>
    </xf>
    <xf numFmtId="177" fontId="17" fillId="0" borderId="1" xfId="0" applyNumberFormat="1" applyFont="1" applyBorder="1" applyAlignment="1">
      <alignment horizontal="center" vertical="center" wrapText="1"/>
    </xf>
    <xf numFmtId="0" fontId="17" fillId="3" borderId="1" xfId="0" quotePrefix="1" applyFont="1" applyFill="1" applyBorder="1" applyAlignment="1">
      <alignment horizontal="center" vertical="center" wrapText="1"/>
    </xf>
    <xf numFmtId="0" fontId="17" fillId="0" borderId="1" xfId="0" quotePrefix="1" applyFont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41" fontId="17" fillId="0" borderId="1" xfId="1" quotePrefix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41" fontId="17" fillId="0" borderId="1" xfId="1" quotePrefix="1" applyFont="1" applyBorder="1" applyAlignment="1">
      <alignment horizontal="center" vertical="center" wrapText="1"/>
    </xf>
    <xf numFmtId="0" fontId="56" fillId="3" borderId="9" xfId="0" applyFont="1" applyFill="1" applyBorder="1">
      <alignment vertical="center"/>
    </xf>
    <xf numFmtId="0" fontId="69" fillId="0" borderId="9" xfId="0" applyFont="1" applyBorder="1">
      <alignment vertical="center"/>
    </xf>
    <xf numFmtId="0" fontId="22" fillId="0" borderId="8" xfId="0" applyFont="1" applyBorder="1" applyAlignment="1">
      <alignment horizontal="center" vertical="center" wrapText="1"/>
    </xf>
    <xf numFmtId="0" fontId="65" fillId="0" borderId="8" xfId="0" applyFont="1" applyBorder="1" applyAlignment="1">
      <alignment horizontal="center" vertical="center" wrapText="1"/>
    </xf>
    <xf numFmtId="0" fontId="111" fillId="0" borderId="0" xfId="0" applyFont="1">
      <alignment vertical="center"/>
    </xf>
    <xf numFmtId="0" fontId="112" fillId="0" borderId="0" xfId="0" applyFont="1">
      <alignment vertical="center"/>
    </xf>
    <xf numFmtId="41" fontId="112" fillId="0" borderId="0" xfId="1" applyFont="1">
      <alignment vertical="center"/>
    </xf>
    <xf numFmtId="0" fontId="112" fillId="0" borderId="1" xfId="0" applyFont="1" applyBorder="1" applyAlignment="1">
      <alignment horizontal="center" vertical="center"/>
    </xf>
    <xf numFmtId="41" fontId="112" fillId="0" borderId="1" xfId="1" applyFont="1" applyBorder="1" applyAlignment="1">
      <alignment horizontal="center" vertical="center"/>
    </xf>
    <xf numFmtId="0" fontId="112" fillId="23" borderId="1" xfId="0" applyFont="1" applyFill="1" applyBorder="1" applyAlignment="1">
      <alignment horizontal="center" vertical="center"/>
    </xf>
    <xf numFmtId="41" fontId="112" fillId="23" borderId="1" xfId="1" applyFont="1" applyFill="1" applyBorder="1" applyAlignment="1">
      <alignment horizontal="center" vertical="center"/>
    </xf>
    <xf numFmtId="41" fontId="112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 vertical="center" wrapText="1"/>
    </xf>
    <xf numFmtId="0" fontId="0" fillId="0" borderId="5" xfId="0" applyBorder="1">
      <alignment vertical="center"/>
    </xf>
    <xf numFmtId="0" fontId="17" fillId="12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/>
    </xf>
    <xf numFmtId="0" fontId="24" fillId="12" borderId="21" xfId="0" applyFont="1" applyFill="1" applyBorder="1" applyAlignment="1">
      <alignment horizontal="center" vertical="center" wrapText="1"/>
    </xf>
    <xf numFmtId="0" fontId="4" fillId="12" borderId="9" xfId="0" applyFont="1" applyFill="1" applyBorder="1" applyAlignment="1">
      <alignment horizontal="center" vertical="center"/>
    </xf>
    <xf numFmtId="0" fontId="106" fillId="12" borderId="21" xfId="0" applyFont="1" applyFill="1" applyBorder="1" applyAlignment="1">
      <alignment horizontal="center" vertical="center" wrapText="1"/>
    </xf>
    <xf numFmtId="0" fontId="11" fillId="12" borderId="21" xfId="0" applyFont="1" applyFill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 wrapText="1"/>
    </xf>
    <xf numFmtId="0" fontId="113" fillId="21" borderId="1" xfId="0" applyFont="1" applyFill="1" applyBorder="1" applyAlignment="1">
      <alignment horizontal="center" vertical="center" wrapText="1"/>
    </xf>
    <xf numFmtId="0" fontId="106" fillId="21" borderId="21" xfId="0" applyFont="1" applyFill="1" applyBorder="1" applyAlignment="1">
      <alignment horizontal="center" vertical="center" wrapText="1"/>
    </xf>
    <xf numFmtId="0" fontId="114" fillId="21" borderId="21" xfId="0" applyFont="1" applyFill="1" applyBorder="1" applyAlignment="1">
      <alignment horizontal="center" vertical="center" wrapText="1"/>
    </xf>
    <xf numFmtId="0" fontId="40" fillId="21" borderId="2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41" fontId="0" fillId="0" borderId="0" xfId="0" applyNumberFormat="1" applyAlignment="1">
      <alignment horizontal="center" vertical="center"/>
    </xf>
    <xf numFmtId="176" fontId="117" fillId="2" borderId="1" xfId="0" applyNumberFormat="1" applyFont="1" applyFill="1" applyBorder="1" applyAlignment="1">
      <alignment horizontal="center" vertical="center"/>
    </xf>
    <xf numFmtId="0" fontId="117" fillId="2" borderId="1" xfId="0" applyFont="1" applyFill="1" applyBorder="1" applyAlignment="1">
      <alignment horizontal="center" vertical="center" wrapText="1"/>
    </xf>
    <xf numFmtId="0" fontId="117" fillId="2" borderId="1" xfId="0" applyFont="1" applyFill="1" applyBorder="1" applyAlignment="1">
      <alignment horizontal="center" vertical="center"/>
    </xf>
    <xf numFmtId="0" fontId="117" fillId="2" borderId="1" xfId="0" applyFont="1" applyFill="1" applyBorder="1" applyAlignment="1">
      <alignment horizontal="center" vertical="center" shrinkToFit="1"/>
    </xf>
    <xf numFmtId="0" fontId="117" fillId="2" borderId="1" xfId="0" applyFont="1" applyFill="1" applyBorder="1" applyAlignment="1">
      <alignment horizontal="center" vertical="center" wrapText="1" shrinkToFit="1"/>
    </xf>
    <xf numFmtId="177" fontId="119" fillId="3" borderId="7" xfId="0" applyNumberFormat="1" applyFont="1" applyFill="1" applyBorder="1" applyAlignment="1">
      <alignment horizontal="center" vertical="center" wrapText="1"/>
    </xf>
    <xf numFmtId="0" fontId="120" fillId="3" borderId="1" xfId="0" applyFont="1" applyFill="1" applyBorder="1" applyAlignment="1">
      <alignment horizontal="center" vertical="center" wrapText="1"/>
    </xf>
    <xf numFmtId="0" fontId="119" fillId="3" borderId="1" xfId="0" applyFont="1" applyFill="1" applyBorder="1" applyAlignment="1">
      <alignment horizontal="center" vertical="center" wrapText="1"/>
    </xf>
    <xf numFmtId="0" fontId="119" fillId="3" borderId="1" xfId="0" quotePrefix="1" applyFont="1" applyFill="1" applyBorder="1" applyAlignment="1">
      <alignment horizontal="center" vertical="center" wrapText="1"/>
    </xf>
    <xf numFmtId="0" fontId="121" fillId="3" borderId="1" xfId="0" applyFont="1" applyFill="1" applyBorder="1" applyAlignment="1">
      <alignment horizontal="center" vertical="center" wrapText="1"/>
    </xf>
    <xf numFmtId="177" fontId="122" fillId="3" borderId="2" xfId="0" applyNumberFormat="1" applyFont="1" applyFill="1" applyBorder="1" applyAlignment="1">
      <alignment horizontal="center" vertical="center" wrapText="1"/>
    </xf>
    <xf numFmtId="177" fontId="122" fillId="3" borderId="7" xfId="0" applyNumberFormat="1" applyFont="1" applyFill="1" applyBorder="1" applyAlignment="1">
      <alignment horizontal="center" vertical="center" wrapText="1"/>
    </xf>
    <xf numFmtId="0" fontId="123" fillId="3" borderId="4" xfId="0" applyFont="1" applyFill="1" applyBorder="1" applyAlignment="1">
      <alignment horizontal="center" vertical="center" wrapText="1"/>
    </xf>
    <xf numFmtId="0" fontId="124" fillId="3" borderId="8" xfId="0" applyFont="1" applyFill="1" applyBorder="1" applyAlignment="1">
      <alignment horizontal="center" vertical="center" wrapText="1"/>
    </xf>
    <xf numFmtId="0" fontId="123" fillId="3" borderId="8" xfId="0" applyFont="1" applyFill="1" applyBorder="1" applyAlignment="1">
      <alignment horizontal="center" vertical="center" wrapText="1"/>
    </xf>
    <xf numFmtId="0" fontId="120" fillId="3" borderId="8" xfId="0" applyFont="1" applyFill="1" applyBorder="1" applyAlignment="1">
      <alignment horizontal="center" vertical="center" wrapText="1"/>
    </xf>
    <xf numFmtId="0" fontId="119" fillId="3" borderId="21" xfId="0" applyFont="1" applyFill="1" applyBorder="1" applyAlignment="1">
      <alignment horizontal="center" vertical="center" wrapText="1"/>
    </xf>
    <xf numFmtId="0" fontId="123" fillId="3" borderId="7" xfId="0" applyFont="1" applyFill="1" applyBorder="1" applyAlignment="1">
      <alignment horizontal="center" vertical="center" wrapText="1"/>
    </xf>
    <xf numFmtId="0" fontId="121" fillId="3" borderId="8" xfId="0" applyFont="1" applyFill="1" applyBorder="1" applyAlignment="1">
      <alignment horizontal="center" vertical="center" wrapText="1"/>
    </xf>
    <xf numFmtId="0" fontId="122" fillId="3" borderId="21" xfId="0" applyFont="1" applyFill="1" applyBorder="1" applyAlignment="1">
      <alignment horizontal="center" vertical="center" wrapText="1"/>
    </xf>
    <xf numFmtId="0" fontId="124" fillId="3" borderId="1" xfId="0" applyFont="1" applyFill="1" applyBorder="1" applyAlignment="1">
      <alignment horizontal="center" vertical="center" wrapText="1"/>
    </xf>
    <xf numFmtId="0" fontId="122" fillId="3" borderId="1" xfId="0" applyFont="1" applyFill="1" applyBorder="1" applyAlignment="1">
      <alignment horizontal="center" vertical="center"/>
    </xf>
    <xf numFmtId="0" fontId="122" fillId="3" borderId="1" xfId="0" applyFont="1" applyFill="1" applyBorder="1" applyAlignment="1">
      <alignment horizontal="center" vertical="center" wrapText="1"/>
    </xf>
    <xf numFmtId="0" fontId="123" fillId="3" borderId="1" xfId="0" applyFont="1" applyFill="1" applyBorder="1" applyAlignment="1">
      <alignment horizontal="center" vertical="center" wrapText="1"/>
    </xf>
    <xf numFmtId="0" fontId="122" fillId="3" borderId="1" xfId="0" quotePrefix="1" applyFont="1" applyFill="1" applyBorder="1" applyAlignment="1">
      <alignment horizontal="center" vertical="center" wrapText="1"/>
    </xf>
    <xf numFmtId="0" fontId="124" fillId="4" borderId="1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center" vertical="center" wrapText="1"/>
    </xf>
    <xf numFmtId="177" fontId="122" fillId="0" borderId="1" xfId="0" applyNumberFormat="1" applyFont="1" applyBorder="1" applyAlignment="1">
      <alignment horizontal="center" vertical="center" wrapText="1"/>
    </xf>
    <xf numFmtId="0" fontId="120" fillId="0" borderId="1" xfId="0" applyFont="1" applyBorder="1" applyAlignment="1">
      <alignment horizontal="center" vertical="center" wrapText="1"/>
    </xf>
    <xf numFmtId="0" fontId="119" fillId="0" borderId="1" xfId="0" applyFont="1" applyBorder="1" applyAlignment="1">
      <alignment horizontal="center" vertical="center" wrapText="1"/>
    </xf>
    <xf numFmtId="0" fontId="119" fillId="0" borderId="1" xfId="0" quotePrefix="1" applyFont="1" applyBorder="1" applyAlignment="1">
      <alignment horizontal="center" vertical="center" wrapText="1"/>
    </xf>
    <xf numFmtId="0" fontId="121" fillId="0" borderId="1" xfId="0" applyFont="1" applyBorder="1" applyAlignment="1">
      <alignment horizontal="center" vertical="center" wrapText="1"/>
    </xf>
    <xf numFmtId="0" fontId="123" fillId="0" borderId="1" xfId="0" applyFont="1" applyBorder="1" applyAlignment="1">
      <alignment horizontal="center" vertical="center" wrapText="1"/>
    </xf>
    <xf numFmtId="0" fontId="124" fillId="0" borderId="1" xfId="0" applyFont="1" applyBorder="1" applyAlignment="1">
      <alignment horizontal="center" vertical="center" wrapText="1"/>
    </xf>
    <xf numFmtId="0" fontId="123" fillId="4" borderId="1" xfId="0" applyFont="1" applyFill="1" applyBorder="1" applyAlignment="1">
      <alignment horizontal="center" vertical="center" wrapText="1"/>
    </xf>
    <xf numFmtId="0" fontId="122" fillId="0" borderId="1" xfId="0" applyFont="1" applyBorder="1" applyAlignment="1">
      <alignment horizontal="center" vertical="center"/>
    </xf>
    <xf numFmtId="0" fontId="122" fillId="0" borderId="1" xfId="0" applyFont="1" applyBorder="1" applyAlignment="1">
      <alignment horizontal="center" vertical="center" wrapText="1"/>
    </xf>
    <xf numFmtId="0" fontId="125" fillId="0" borderId="1" xfId="0" applyFont="1" applyBorder="1" applyAlignment="1">
      <alignment horizontal="center" vertical="center" wrapText="1"/>
    </xf>
    <xf numFmtId="0" fontId="122" fillId="0" borderId="1" xfId="0" quotePrefix="1" applyFont="1" applyBorder="1" applyAlignment="1">
      <alignment horizontal="center" vertical="center" wrapText="1"/>
    </xf>
    <xf numFmtId="177" fontId="119" fillId="3" borderId="1" xfId="0" applyNumberFormat="1" applyFont="1" applyFill="1" applyBorder="1" applyAlignment="1">
      <alignment horizontal="center" vertical="center" wrapText="1"/>
    </xf>
    <xf numFmtId="0" fontId="119" fillId="3" borderId="1" xfId="0" applyFont="1" applyFill="1" applyBorder="1" applyAlignment="1">
      <alignment horizontal="center" vertical="center"/>
    </xf>
    <xf numFmtId="0" fontId="120" fillId="4" borderId="1" xfId="0" applyFont="1" applyFill="1" applyBorder="1" applyAlignment="1">
      <alignment horizontal="center" vertical="center" wrapText="1"/>
    </xf>
    <xf numFmtId="0" fontId="119" fillId="3" borderId="1" xfId="0" quotePrefix="1" applyFont="1" applyFill="1" applyBorder="1" applyAlignment="1">
      <alignment horizontal="center" vertical="center"/>
    </xf>
    <xf numFmtId="177" fontId="122" fillId="0" borderId="3" xfId="0" applyNumberFormat="1" applyFont="1" applyBorder="1" applyAlignment="1">
      <alignment horizontal="center" vertical="center" wrapText="1"/>
    </xf>
    <xf numFmtId="177" fontId="119" fillId="0" borderId="1" xfId="0" applyNumberFormat="1" applyFont="1" applyBorder="1" applyAlignment="1">
      <alignment horizontal="center" vertical="center" wrapText="1"/>
    </xf>
    <xf numFmtId="0" fontId="121" fillId="4" borderId="1" xfId="0" applyFont="1" applyFill="1" applyBorder="1" applyAlignment="1">
      <alignment horizontal="center" vertical="center" wrapText="1"/>
    </xf>
    <xf numFmtId="0" fontId="4" fillId="38" borderId="9" xfId="0" applyFont="1" applyFill="1" applyBorder="1" applyAlignment="1">
      <alignment horizontal="center" vertical="center" wrapText="1"/>
    </xf>
    <xf numFmtId="0" fontId="106" fillId="38" borderId="21" xfId="0" applyFont="1" applyFill="1" applyBorder="1" applyAlignment="1">
      <alignment horizontal="center" vertical="center" wrapText="1"/>
    </xf>
    <xf numFmtId="0" fontId="17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center" vertical="center" wrapText="1"/>
    </xf>
    <xf numFmtId="0" fontId="119" fillId="0" borderId="1" xfId="0" applyFont="1" applyBorder="1" applyAlignment="1">
      <alignment horizontal="center" vertical="center"/>
    </xf>
    <xf numFmtId="178" fontId="119" fillId="0" borderId="1" xfId="0" applyNumberFormat="1" applyFont="1" applyBorder="1" applyAlignment="1">
      <alignment horizontal="center" vertical="center"/>
    </xf>
    <xf numFmtId="0" fontId="69" fillId="3" borderId="9" xfId="0" applyFont="1" applyFill="1" applyBorder="1" applyAlignment="1">
      <alignment vertical="center" wrapText="1"/>
    </xf>
    <xf numFmtId="0" fontId="122" fillId="0" borderId="0" xfId="0" applyFont="1">
      <alignment vertical="center"/>
    </xf>
    <xf numFmtId="41" fontId="120" fillId="0" borderId="1" xfId="1" applyFont="1" applyBorder="1" applyAlignment="1">
      <alignment horizontal="center" vertical="center" wrapText="1"/>
    </xf>
    <xf numFmtId="41" fontId="120" fillId="0" borderId="1" xfId="1" applyFont="1" applyFill="1" applyBorder="1" applyAlignment="1">
      <alignment horizontal="center" vertical="center" wrapText="1"/>
    </xf>
    <xf numFmtId="0" fontId="126" fillId="4" borderId="1" xfId="0" applyFont="1" applyFill="1" applyBorder="1" applyAlignment="1">
      <alignment horizontal="center" vertical="center" wrapText="1"/>
    </xf>
    <xf numFmtId="41" fontId="119" fillId="0" borderId="1" xfId="1" quotePrefix="1" applyFont="1" applyFill="1" applyBorder="1" applyAlignment="1">
      <alignment horizontal="center" vertical="center" wrapText="1"/>
    </xf>
    <xf numFmtId="0" fontId="121" fillId="0" borderId="1" xfId="0" quotePrefix="1" applyFont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23" fillId="0" borderId="8" xfId="0" applyFont="1" applyBorder="1" applyAlignment="1">
      <alignment horizontal="center" vertical="center" wrapText="1"/>
    </xf>
    <xf numFmtId="0" fontId="123" fillId="4" borderId="8" xfId="0" applyFont="1" applyFill="1" applyBorder="1" applyAlignment="1">
      <alignment horizontal="center" vertical="center" wrapText="1"/>
    </xf>
    <xf numFmtId="0" fontId="124" fillId="0" borderId="21" xfId="0" applyFont="1" applyBorder="1" applyAlignment="1">
      <alignment horizontal="center" vertical="center" wrapText="1"/>
    </xf>
    <xf numFmtId="41" fontId="124" fillId="0" borderId="1" xfId="1" applyFont="1" applyBorder="1" applyAlignment="1">
      <alignment horizontal="center" vertical="center" wrapText="1"/>
    </xf>
    <xf numFmtId="41" fontId="124" fillId="0" borderId="1" xfId="1" applyFont="1" applyFill="1" applyBorder="1" applyAlignment="1">
      <alignment horizontal="center" vertical="center" wrapText="1"/>
    </xf>
    <xf numFmtId="0" fontId="122" fillId="0" borderId="3" xfId="0" applyFont="1" applyBorder="1">
      <alignment vertical="center"/>
    </xf>
    <xf numFmtId="0" fontId="122" fillId="3" borderId="0" xfId="0" applyFont="1" applyFill="1">
      <alignment vertical="center"/>
    </xf>
    <xf numFmtId="178" fontId="129" fillId="0" borderId="0" xfId="0" applyNumberFormat="1" applyFont="1">
      <alignment vertical="center"/>
    </xf>
    <xf numFmtId="0" fontId="129" fillId="0" borderId="0" xfId="0" applyFont="1">
      <alignment vertical="center"/>
    </xf>
    <xf numFmtId="0" fontId="129" fillId="6" borderId="0" xfId="0" applyFont="1" applyFill="1">
      <alignment vertical="center"/>
    </xf>
    <xf numFmtId="0" fontId="129" fillId="0" borderId="0" xfId="0" applyFont="1" applyAlignment="1">
      <alignment horizontal="center" vertical="center"/>
    </xf>
    <xf numFmtId="0" fontId="124" fillId="0" borderId="8" xfId="0" applyFont="1" applyBorder="1" applyAlignment="1">
      <alignment horizontal="center" vertical="center" wrapText="1"/>
    </xf>
    <xf numFmtId="0" fontId="130" fillId="3" borderId="22" xfId="0" applyFont="1" applyFill="1" applyBorder="1" applyAlignment="1">
      <alignment horizontal="center" vertical="center" wrapText="1"/>
    </xf>
    <xf numFmtId="41" fontId="124" fillId="0" borderId="22" xfId="1" quotePrefix="1" applyFont="1" applyFill="1" applyBorder="1" applyAlignment="1">
      <alignment horizontal="center" vertical="center" wrapText="1"/>
    </xf>
    <xf numFmtId="0" fontId="124" fillId="0" borderId="22" xfId="0" applyFont="1" applyBorder="1" applyAlignment="1">
      <alignment horizontal="center" vertical="center" wrapText="1"/>
    </xf>
    <xf numFmtId="0" fontId="132" fillId="0" borderId="1" xfId="0" applyFont="1" applyBorder="1" applyAlignment="1">
      <alignment horizontal="center" vertical="center"/>
    </xf>
    <xf numFmtId="0" fontId="11" fillId="18" borderId="21" xfId="0" applyFont="1" applyFill="1" applyBorder="1" applyAlignment="1">
      <alignment horizontal="center" vertical="center" wrapText="1"/>
    </xf>
    <xf numFmtId="0" fontId="132" fillId="0" borderId="9" xfId="0" applyFont="1" applyBorder="1" applyAlignment="1">
      <alignment horizontal="center" vertical="center"/>
    </xf>
    <xf numFmtId="178" fontId="123" fillId="0" borderId="1" xfId="0" applyNumberFormat="1" applyFont="1" applyBorder="1" applyAlignment="1">
      <alignment horizontal="center" vertical="center" wrapText="1"/>
    </xf>
    <xf numFmtId="178" fontId="121" fillId="0" borderId="1" xfId="0" applyNumberFormat="1" applyFont="1" applyBorder="1" applyAlignment="1">
      <alignment horizontal="center" vertical="center" wrapText="1"/>
    </xf>
    <xf numFmtId="0" fontId="120" fillId="0" borderId="8" xfId="0" applyFont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119" fillId="0" borderId="0" xfId="0" applyFont="1" applyAlignment="1">
      <alignment horizontal="center" vertical="center"/>
    </xf>
    <xf numFmtId="0" fontId="119" fillId="0" borderId="0" xfId="0" applyFont="1">
      <alignment vertical="center"/>
    </xf>
    <xf numFmtId="0" fontId="124" fillId="0" borderId="1" xfId="0" quotePrefix="1" applyFont="1" applyBorder="1" applyAlignment="1">
      <alignment horizontal="center" vertical="center" wrapText="1"/>
    </xf>
    <xf numFmtId="0" fontId="130" fillId="3" borderId="1" xfId="0" applyFont="1" applyFill="1" applyBorder="1" applyAlignment="1">
      <alignment horizontal="center" vertical="center" wrapText="1"/>
    </xf>
    <xf numFmtId="3" fontId="133" fillId="0" borderId="1" xfId="0" applyNumberFormat="1" applyFont="1" applyBorder="1" applyAlignment="1">
      <alignment vertical="center" wrapText="1" readingOrder="1"/>
    </xf>
    <xf numFmtId="0" fontId="133" fillId="0" borderId="1" xfId="0" applyFont="1" applyBorder="1" applyAlignment="1">
      <alignment vertical="center" wrapText="1" readingOrder="1"/>
    </xf>
    <xf numFmtId="0" fontId="13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32" fillId="36" borderId="1" xfId="0" applyFont="1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82" fillId="0" borderId="0" xfId="0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82" fillId="0" borderId="0" xfId="0" applyFont="1" applyAlignment="1">
      <alignment horizontal="center" vertical="center" wrapText="1"/>
    </xf>
    <xf numFmtId="0" fontId="73" fillId="0" borderId="14" xfId="0" applyFont="1" applyBorder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69" fillId="0" borderId="14" xfId="0" applyFont="1" applyBorder="1" applyAlignment="1">
      <alignment horizontal="center" vertical="center" wrapText="1"/>
    </xf>
    <xf numFmtId="0" fontId="71" fillId="3" borderId="0" xfId="0" applyFont="1" applyFill="1" applyAlignment="1">
      <alignment horizontal="center" vertical="center"/>
    </xf>
    <xf numFmtId="0" fontId="71" fillId="6" borderId="0" xfId="0" applyFont="1" applyFill="1" applyAlignment="1">
      <alignment horizontal="center" vertical="center"/>
    </xf>
    <xf numFmtId="0" fontId="71" fillId="13" borderId="0" xfId="0" applyFont="1" applyFill="1" applyAlignment="1">
      <alignment horizontal="center" vertical="center"/>
    </xf>
    <xf numFmtId="0" fontId="71" fillId="3" borderId="1" xfId="0" applyFont="1" applyFill="1" applyBorder="1" applyAlignment="1">
      <alignment horizontal="center" vertical="center"/>
    </xf>
    <xf numFmtId="0" fontId="70" fillId="0" borderId="1" xfId="0" applyFont="1" applyBorder="1" applyAlignment="1">
      <alignment horizontal="center" vertical="center" wrapText="1"/>
    </xf>
    <xf numFmtId="0" fontId="124" fillId="3" borderId="1" xfId="0" quotePrefix="1" applyFont="1" applyFill="1" applyBorder="1" applyAlignment="1">
      <alignment horizontal="center" vertical="center" wrapText="1"/>
    </xf>
    <xf numFmtId="0" fontId="122" fillId="3" borderId="8" xfId="0" quotePrefix="1" applyFont="1" applyFill="1" applyBorder="1" applyAlignment="1">
      <alignment horizontal="center" vertical="center" wrapText="1"/>
    </xf>
    <xf numFmtId="0" fontId="122" fillId="3" borderId="8" xfId="0" applyFont="1" applyFill="1" applyBorder="1" applyAlignment="1">
      <alignment horizontal="center" vertical="center" wrapText="1"/>
    </xf>
    <xf numFmtId="41" fontId="130" fillId="0" borderId="1" xfId="1" applyFont="1" applyFill="1" applyBorder="1" applyAlignment="1">
      <alignment horizontal="center" vertical="center" wrapText="1"/>
    </xf>
    <xf numFmtId="0" fontId="122" fillId="3" borderId="8" xfId="0" applyFont="1" applyFill="1" applyBorder="1" applyAlignment="1">
      <alignment horizontal="center" vertical="center"/>
    </xf>
    <xf numFmtId="177" fontId="122" fillId="3" borderId="3" xfId="0" applyNumberFormat="1" applyFont="1" applyFill="1" applyBorder="1" applyAlignment="1">
      <alignment horizontal="center" vertical="center" wrapText="1"/>
    </xf>
    <xf numFmtId="0" fontId="134" fillId="3" borderId="1" xfId="0" applyFont="1" applyFill="1" applyBorder="1" applyAlignment="1">
      <alignment horizontal="center" vertical="center" wrapText="1"/>
    </xf>
    <xf numFmtId="177" fontId="122" fillId="3" borderId="1" xfId="0" applyNumberFormat="1" applyFont="1" applyFill="1" applyBorder="1" applyAlignment="1">
      <alignment horizontal="center" vertical="center" wrapText="1"/>
    </xf>
    <xf numFmtId="41" fontId="124" fillId="0" borderId="3" xfId="1" applyFont="1" applyFill="1" applyBorder="1" applyAlignment="1">
      <alignment horizontal="center" vertical="center" wrapText="1"/>
    </xf>
    <xf numFmtId="0" fontId="9" fillId="3" borderId="1" xfId="0" quotePrefix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 shrinkToFit="1"/>
    </xf>
    <xf numFmtId="0" fontId="26" fillId="18" borderId="1" xfId="0" applyFont="1" applyFill="1" applyBorder="1" applyAlignment="1">
      <alignment horizontal="center" vertical="center" wrapText="1"/>
    </xf>
    <xf numFmtId="0" fontId="122" fillId="18" borderId="1" xfId="0" applyFont="1" applyFill="1" applyBorder="1" applyAlignment="1">
      <alignment horizontal="center" vertical="center" wrapText="1"/>
    </xf>
    <xf numFmtId="0" fontId="135" fillId="0" borderId="1" xfId="0" applyFont="1" applyBorder="1" applyAlignment="1">
      <alignment horizontal="center" vertical="center" wrapText="1"/>
    </xf>
    <xf numFmtId="0" fontId="135" fillId="3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/>
    </xf>
    <xf numFmtId="0" fontId="26" fillId="3" borderId="1" xfId="0" quotePrefix="1" applyFont="1" applyFill="1" applyBorder="1" applyAlignment="1">
      <alignment horizontal="center" vertical="center" wrapText="1"/>
    </xf>
    <xf numFmtId="177" fontId="119" fillId="0" borderId="3" xfId="0" applyNumberFormat="1" applyFont="1" applyBorder="1" applyAlignment="1">
      <alignment horizontal="center" vertical="center" wrapText="1"/>
    </xf>
    <xf numFmtId="0" fontId="121" fillId="0" borderId="8" xfId="0" applyFont="1" applyBorder="1" applyAlignment="1">
      <alignment horizontal="center" vertical="center" wrapText="1"/>
    </xf>
    <xf numFmtId="0" fontId="121" fillId="4" borderId="8" xfId="0" applyFont="1" applyFill="1" applyBorder="1" applyAlignment="1">
      <alignment horizontal="center" vertical="center" wrapText="1"/>
    </xf>
    <xf numFmtId="0" fontId="120" fillId="0" borderId="21" xfId="0" applyFont="1" applyBorder="1" applyAlignment="1">
      <alignment horizontal="center" vertical="center" wrapText="1"/>
    </xf>
    <xf numFmtId="0" fontId="120" fillId="3" borderId="1" xfId="0" quotePrefix="1" applyFont="1" applyFill="1" applyBorder="1" applyAlignment="1">
      <alignment horizontal="center" vertical="center" wrapText="1"/>
    </xf>
    <xf numFmtId="0" fontId="119" fillId="3" borderId="8" xfId="0" applyFont="1" applyFill="1" applyBorder="1" applyAlignment="1">
      <alignment horizontal="center" vertical="center"/>
    </xf>
    <xf numFmtId="0" fontId="119" fillId="3" borderId="8" xfId="0" quotePrefix="1" applyFont="1" applyFill="1" applyBorder="1" applyAlignment="1">
      <alignment horizontal="center" vertical="center" wrapText="1"/>
    </xf>
    <xf numFmtId="0" fontId="119" fillId="3" borderId="8" xfId="0" applyFont="1" applyFill="1" applyBorder="1" applyAlignment="1">
      <alignment horizontal="center" vertical="center" wrapText="1"/>
    </xf>
    <xf numFmtId="41" fontId="0" fillId="0" borderId="0" xfId="1" applyFont="1" applyAlignment="1">
      <alignment horizontal="center" vertical="center"/>
    </xf>
    <xf numFmtId="41" fontId="0" fillId="0" borderId="0" xfId="0" applyNumberFormat="1">
      <alignment vertical="center"/>
    </xf>
    <xf numFmtId="177" fontId="119" fillId="3" borderId="3" xfId="0" applyNumberFormat="1" applyFont="1" applyFill="1" applyBorder="1" applyAlignment="1">
      <alignment horizontal="center" vertical="center" wrapText="1"/>
    </xf>
    <xf numFmtId="0" fontId="120" fillId="3" borderId="1" xfId="0" applyFont="1" applyFill="1" applyBorder="1" applyAlignment="1">
      <alignment horizontal="center" vertical="center"/>
    </xf>
    <xf numFmtId="0" fontId="124" fillId="3" borderId="1" xfId="0" applyFont="1" applyFill="1" applyBorder="1" applyAlignment="1">
      <alignment horizontal="center" vertical="center"/>
    </xf>
    <xf numFmtId="0" fontId="120" fillId="3" borderId="3" xfId="0" applyFont="1" applyFill="1" applyBorder="1" applyAlignment="1">
      <alignment horizontal="center" vertical="center" wrapText="1"/>
    </xf>
    <xf numFmtId="41" fontId="124" fillId="0" borderId="1" xfId="1" applyFont="1" applyFill="1" applyBorder="1" applyAlignment="1">
      <alignment vertical="center" wrapText="1"/>
    </xf>
    <xf numFmtId="0" fontId="130" fillId="0" borderId="3" xfId="0" applyFont="1" applyBorder="1" applyAlignment="1">
      <alignment horizontal="center" vertical="center" wrapText="1"/>
    </xf>
    <xf numFmtId="0" fontId="136" fillId="0" borderId="9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77" fontId="8" fillId="23" borderId="3" xfId="0" applyNumberFormat="1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horizontal="center" vertical="center"/>
    </xf>
    <xf numFmtId="0" fontId="4" fillId="23" borderId="1" xfId="0" quotePrefix="1" applyFont="1" applyFill="1" applyBorder="1" applyAlignment="1">
      <alignment horizontal="center" vertical="center" wrapText="1"/>
    </xf>
    <xf numFmtId="0" fontId="9" fillId="23" borderId="1" xfId="0" applyFont="1" applyFill="1" applyBorder="1" applyAlignment="1">
      <alignment horizontal="center" vertical="center" wrapText="1"/>
    </xf>
    <xf numFmtId="0" fontId="8" fillId="23" borderId="1" xfId="0" applyFont="1" applyFill="1" applyBorder="1" applyAlignment="1">
      <alignment horizontal="center" vertical="center" wrapText="1" shrinkToFit="1"/>
    </xf>
    <xf numFmtId="0" fontId="56" fillId="23" borderId="1" xfId="0" applyFont="1" applyFill="1" applyBorder="1" applyAlignment="1">
      <alignment horizontal="center" vertical="center"/>
    </xf>
    <xf numFmtId="0" fontId="4" fillId="23" borderId="11" xfId="0" applyFont="1" applyFill="1" applyBorder="1" applyAlignment="1">
      <alignment horizontal="center" vertical="center"/>
    </xf>
    <xf numFmtId="0" fontId="136" fillId="23" borderId="9" xfId="0" applyFont="1" applyFill="1" applyBorder="1" applyAlignment="1">
      <alignment vertical="center" wrapText="1"/>
    </xf>
    <xf numFmtId="0" fontId="123" fillId="0" borderId="7" xfId="0" applyFont="1" applyBorder="1" applyAlignment="1">
      <alignment horizontal="center" vertical="center" wrapText="1"/>
    </xf>
    <xf numFmtId="0" fontId="97" fillId="3" borderId="9" xfId="0" applyFont="1" applyFill="1" applyBorder="1" applyAlignment="1">
      <alignment vertical="center" wrapText="1"/>
    </xf>
    <xf numFmtId="0" fontId="70" fillId="23" borderId="9" xfId="0" applyFont="1" applyFill="1" applyBorder="1" applyAlignment="1">
      <alignment vertical="center" wrapText="1"/>
    </xf>
    <xf numFmtId="0" fontId="124" fillId="0" borderId="1" xfId="0" applyFont="1" applyBorder="1" applyAlignment="1">
      <alignment vertical="center" wrapText="1"/>
    </xf>
    <xf numFmtId="0" fontId="130" fillId="0" borderId="1" xfId="0" applyFont="1" applyBorder="1" applyAlignment="1">
      <alignment horizontal="center" vertical="center" wrapText="1"/>
    </xf>
    <xf numFmtId="0" fontId="4" fillId="6" borderId="0" xfId="0" applyFont="1" applyFill="1">
      <alignment vertical="center"/>
    </xf>
    <xf numFmtId="0" fontId="137" fillId="3" borderId="1" xfId="0" applyFont="1" applyFill="1" applyBorder="1" applyAlignment="1">
      <alignment horizontal="center" vertical="center" wrapText="1"/>
    </xf>
    <xf numFmtId="0" fontId="67" fillId="3" borderId="1" xfId="0" applyFont="1" applyFill="1" applyBorder="1" applyAlignment="1">
      <alignment horizontal="center" vertical="center" wrapText="1"/>
    </xf>
    <xf numFmtId="0" fontId="137" fillId="3" borderId="1" xfId="0" applyFont="1" applyFill="1" applyBorder="1" applyAlignment="1">
      <alignment horizontal="center" vertical="center"/>
    </xf>
    <xf numFmtId="0" fontId="13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0" fontId="131" fillId="9" borderId="1" xfId="0" applyFont="1" applyFill="1" applyBorder="1" applyAlignment="1">
      <alignment horizontal="center" vertical="center" wrapText="1"/>
    </xf>
    <xf numFmtId="0" fontId="15" fillId="23" borderId="9" xfId="0" applyFont="1" applyFill="1" applyBorder="1" applyAlignment="1">
      <alignment vertical="center" wrapText="1"/>
    </xf>
    <xf numFmtId="0" fontId="55" fillId="0" borderId="3" xfId="0" applyFont="1" applyBorder="1" applyAlignment="1">
      <alignment horizontal="center" vertical="center" wrapText="1"/>
    </xf>
    <xf numFmtId="0" fontId="124" fillId="0" borderId="1" xfId="0" applyFont="1" applyBorder="1" applyAlignment="1">
      <alignment horizontal="center" vertical="center"/>
    </xf>
    <xf numFmtId="177" fontId="124" fillId="0" borderId="1" xfId="0" applyNumberFormat="1" applyFont="1" applyBorder="1" applyAlignment="1">
      <alignment horizontal="center" vertical="center" wrapText="1"/>
    </xf>
    <xf numFmtId="177" fontId="124" fillId="0" borderId="3" xfId="0" applyNumberFormat="1" applyFont="1" applyBorder="1" applyAlignment="1">
      <alignment horizontal="center" vertical="center" wrapText="1"/>
    </xf>
    <xf numFmtId="0" fontId="124" fillId="4" borderId="8" xfId="0" applyFont="1" applyFill="1" applyBorder="1" applyAlignment="1">
      <alignment horizontal="center" vertical="center" wrapText="1"/>
    </xf>
    <xf numFmtId="0" fontId="124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23" fillId="0" borderId="1" xfId="0" applyFont="1" applyBorder="1" applyAlignment="1">
      <alignment horizontal="center" vertical="center" wrapText="1"/>
    </xf>
    <xf numFmtId="41" fontId="124" fillId="0" borderId="1" xfId="1" applyFont="1" applyBorder="1" applyAlignment="1">
      <alignment horizontal="center" vertical="center" wrapText="1"/>
    </xf>
    <xf numFmtId="0" fontId="122" fillId="3" borderId="1" xfId="0" applyFont="1" applyFill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23" fillId="0" borderId="1" xfId="0" applyFont="1" applyBorder="1" applyAlignment="1">
      <alignment horizontal="center" vertical="center" wrapText="1"/>
    </xf>
    <xf numFmtId="41" fontId="124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22" fillId="3" borderId="1" xfId="0" applyFont="1" applyFill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36" fillId="3" borderId="9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vertical="center" wrapText="1"/>
    </xf>
    <xf numFmtId="0" fontId="86" fillId="3" borderId="9" xfId="0" applyFont="1" applyFill="1" applyBorder="1" applyAlignment="1">
      <alignment vertical="center" wrapText="1"/>
    </xf>
    <xf numFmtId="0" fontId="132" fillId="0" borderId="1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12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23" fillId="0" borderId="1" xfId="0" applyFont="1" applyBorder="1" applyAlignment="1">
      <alignment horizontal="center" vertical="center" wrapText="1"/>
    </xf>
    <xf numFmtId="0" fontId="124" fillId="4" borderId="1" xfId="0" applyFont="1" applyFill="1" applyBorder="1" applyAlignment="1">
      <alignment horizontal="center" vertical="center" wrapText="1"/>
    </xf>
    <xf numFmtId="0" fontId="123" fillId="4" borderId="1" xfId="0" applyFont="1" applyFill="1" applyBorder="1" applyAlignment="1">
      <alignment horizontal="center" vertical="center" wrapText="1"/>
    </xf>
    <xf numFmtId="41" fontId="124" fillId="0" borderId="1" xfId="1" applyFont="1" applyBorder="1" applyAlignment="1">
      <alignment horizontal="center" vertical="center" wrapText="1"/>
    </xf>
    <xf numFmtId="0" fontId="120" fillId="0" borderId="1" xfId="0" applyFont="1" applyBorder="1" applyAlignment="1">
      <alignment horizontal="center" vertical="center" wrapText="1"/>
    </xf>
    <xf numFmtId="0" fontId="119" fillId="3" borderId="1" xfId="0" applyFont="1" applyFill="1" applyBorder="1" applyAlignment="1">
      <alignment horizontal="center" vertical="center" wrapText="1"/>
    </xf>
    <xf numFmtId="0" fontId="119" fillId="0" borderId="1" xfId="0" applyFont="1" applyBorder="1" applyAlignment="1">
      <alignment horizontal="center" vertical="center" wrapText="1"/>
    </xf>
    <xf numFmtId="0" fontId="119" fillId="0" borderId="1" xfId="0" applyFont="1" applyBorder="1" applyAlignment="1">
      <alignment horizontal="center" vertical="center"/>
    </xf>
    <xf numFmtId="0" fontId="122" fillId="3" borderId="1" xfId="0" applyFont="1" applyFill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97" fillId="0" borderId="9" xfId="0" applyFont="1" applyBorder="1" applyAlignment="1">
      <alignment vertical="center" wrapText="1"/>
    </xf>
    <xf numFmtId="0" fontId="138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23" fillId="0" borderId="1" xfId="0" applyFont="1" applyBorder="1" applyAlignment="1">
      <alignment horizontal="center" vertical="center" wrapText="1"/>
    </xf>
    <xf numFmtId="41" fontId="124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1" fontId="124" fillId="0" borderId="1" xfId="1" applyFont="1" applyFill="1" applyBorder="1" applyAlignment="1">
      <alignment horizontal="center" vertical="center" wrapText="1"/>
    </xf>
    <xf numFmtId="0" fontId="122" fillId="3" borderId="1" xfId="0" applyFont="1" applyFill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23" fillId="0" borderId="1" xfId="0" applyFont="1" applyBorder="1" applyAlignment="1">
      <alignment horizontal="center" vertical="center" wrapText="1"/>
    </xf>
    <xf numFmtId="41" fontId="124" fillId="0" borderId="1" xfId="1" applyFont="1" applyBorder="1" applyAlignment="1">
      <alignment horizontal="center" vertical="center" wrapText="1"/>
    </xf>
    <xf numFmtId="0" fontId="12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6" fillId="0" borderId="9" xfId="0" applyFont="1" applyBorder="1" applyAlignment="1">
      <alignment vertical="center" wrapText="1"/>
    </xf>
    <xf numFmtId="0" fontId="132" fillId="0" borderId="3" xfId="0" applyFont="1" applyFill="1" applyBorder="1" applyAlignment="1">
      <alignment horizontal="center" vertical="center"/>
    </xf>
    <xf numFmtId="0" fontId="132" fillId="0" borderId="2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24" fillId="3" borderId="7" xfId="0" quotePrefix="1" applyFont="1" applyFill="1" applyBorder="1" applyAlignment="1">
      <alignment horizontal="center" vertical="center" wrapText="1"/>
    </xf>
    <xf numFmtId="177" fontId="8" fillId="0" borderId="6" xfId="0" applyNumberFormat="1" applyFont="1" applyBorder="1" applyAlignment="1">
      <alignment horizontal="center" vertical="center" wrapText="1"/>
    </xf>
    <xf numFmtId="177" fontId="8" fillId="0" borderId="25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1" fontId="124" fillId="0" borderId="1" xfId="1" applyFont="1" applyBorder="1" applyAlignment="1">
      <alignment horizontal="center" vertical="center" wrapText="1"/>
    </xf>
    <xf numFmtId="0" fontId="123" fillId="0" borderId="1" xfId="0" applyFont="1" applyBorder="1" applyAlignment="1">
      <alignment horizontal="center" vertical="center" wrapText="1"/>
    </xf>
    <xf numFmtId="0" fontId="122" fillId="3" borderId="1" xfId="0" applyFont="1" applyFill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28" fillId="9" borderId="3" xfId="0" applyFont="1" applyFill="1" applyBorder="1" applyAlignment="1">
      <alignment horizontal="center" vertical="center" wrapText="1"/>
    </xf>
    <xf numFmtId="176" fontId="128" fillId="9" borderId="3" xfId="0" applyNumberFormat="1" applyFont="1" applyFill="1" applyBorder="1" applyAlignment="1">
      <alignment horizontal="center" vertical="center"/>
    </xf>
    <xf numFmtId="0" fontId="128" fillId="9" borderId="3" xfId="0" applyFont="1" applyFill="1" applyBorder="1" applyAlignment="1">
      <alignment horizontal="center" vertical="center"/>
    </xf>
    <xf numFmtId="0" fontId="128" fillId="9" borderId="3" xfId="0" applyFont="1" applyFill="1" applyBorder="1" applyAlignment="1">
      <alignment horizontal="center" vertical="center" shrinkToFit="1"/>
    </xf>
    <xf numFmtId="0" fontId="128" fillId="9" borderId="2" xfId="0" applyFont="1" applyFill="1" applyBorder="1" applyAlignment="1">
      <alignment horizontal="center" vertical="center" wrapText="1"/>
    </xf>
    <xf numFmtId="0" fontId="122" fillId="6" borderId="0" xfId="0" applyFont="1" applyFill="1">
      <alignment vertical="center"/>
    </xf>
    <xf numFmtId="0" fontId="6" fillId="0" borderId="6" xfId="0" applyFont="1" applyBorder="1" applyAlignment="1">
      <alignment horizontal="center" vertical="center" wrapText="1"/>
    </xf>
    <xf numFmtId="0" fontId="123" fillId="0" borderId="1" xfId="0" applyFont="1" applyBorder="1" applyAlignment="1">
      <alignment horizontal="center" vertical="center" wrapText="1"/>
    </xf>
    <xf numFmtId="0" fontId="120" fillId="0" borderId="1" xfId="0" applyFont="1" applyBorder="1" applyAlignment="1">
      <alignment horizontal="center" vertical="center" wrapText="1"/>
    </xf>
    <xf numFmtId="41" fontId="124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19" fillId="3" borderId="1" xfId="0" applyFont="1" applyFill="1" applyBorder="1" applyAlignment="1">
      <alignment horizontal="center" vertical="center" wrapText="1"/>
    </xf>
    <xf numFmtId="0" fontId="122" fillId="3" borderId="1" xfId="0" applyFont="1" applyFill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119" fillId="0" borderId="1" xfId="0" applyFont="1" applyBorder="1" applyAlignment="1">
      <alignment horizontal="center" vertical="center"/>
    </xf>
    <xf numFmtId="0" fontId="119" fillId="0" borderId="1" xfId="0" applyFont="1" applyBorder="1" applyAlignment="1">
      <alignment horizontal="center" vertical="center" wrapText="1"/>
    </xf>
    <xf numFmtId="177" fontId="8" fillId="0" borderId="2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23" fillId="0" borderId="1" xfId="0" applyFont="1" applyBorder="1" applyAlignment="1">
      <alignment horizontal="center" vertical="center" wrapText="1"/>
    </xf>
    <xf numFmtId="41" fontId="124" fillId="0" borderId="1" xfId="1" applyFont="1" applyBorder="1" applyAlignment="1">
      <alignment horizontal="center" vertical="center" wrapText="1"/>
    </xf>
    <xf numFmtId="0" fontId="122" fillId="3" borderId="1" xfId="0" applyFont="1" applyFill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32" fillId="0" borderId="26" xfId="0" applyFont="1" applyFill="1" applyBorder="1" applyAlignment="1">
      <alignment horizontal="center" vertical="center"/>
    </xf>
    <xf numFmtId="177" fontId="122" fillId="0" borderId="25" xfId="0" applyNumberFormat="1" applyFont="1" applyBorder="1" applyAlignment="1">
      <alignment horizontal="center" vertical="center" wrapText="1"/>
    </xf>
    <xf numFmtId="0" fontId="67" fillId="3" borderId="1" xfId="0" applyFont="1" applyFill="1" applyBorder="1" applyAlignment="1">
      <alignment horizontal="center" vertical="center"/>
    </xf>
    <xf numFmtId="0" fontId="139" fillId="3" borderId="1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56" fillId="0" borderId="1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23" fillId="0" borderId="30" xfId="0" applyFont="1" applyBorder="1" applyAlignment="1">
      <alignment horizontal="center" vertical="center" wrapText="1"/>
    </xf>
    <xf numFmtId="0" fontId="124" fillId="4" borderId="27" xfId="0" applyFont="1" applyFill="1" applyBorder="1" applyAlignment="1">
      <alignment horizontal="center" vertical="center" wrapText="1"/>
    </xf>
    <xf numFmtId="0" fontId="123" fillId="4" borderId="27" xfId="0" applyFont="1" applyFill="1" applyBorder="1" applyAlignment="1">
      <alignment horizontal="center" vertical="center" wrapText="1"/>
    </xf>
    <xf numFmtId="0" fontId="123" fillId="0" borderId="27" xfId="0" applyFont="1" applyBorder="1" applyAlignment="1">
      <alignment horizontal="center" vertical="center" wrapText="1"/>
    </xf>
    <xf numFmtId="0" fontId="124" fillId="0" borderId="27" xfId="0" applyFont="1" applyBorder="1" applyAlignment="1">
      <alignment horizontal="center" vertical="center" wrapText="1"/>
    </xf>
    <xf numFmtId="0" fontId="123" fillId="0" borderId="31" xfId="0" applyFont="1" applyBorder="1" applyAlignment="1">
      <alignment horizontal="center" vertical="center" wrapText="1"/>
    </xf>
    <xf numFmtId="0" fontId="125" fillId="4" borderId="27" xfId="0" applyFont="1" applyFill="1" applyBorder="1" applyAlignment="1">
      <alignment horizontal="center" vertical="center" wrapText="1"/>
    </xf>
    <xf numFmtId="0" fontId="123" fillId="0" borderId="32" xfId="0" applyFont="1" applyBorder="1" applyAlignment="1">
      <alignment horizontal="center" vertical="center" wrapText="1"/>
    </xf>
    <xf numFmtId="0" fontId="123" fillId="0" borderId="28" xfId="0" applyFont="1" applyBorder="1" applyAlignment="1">
      <alignment horizontal="center" vertical="center" wrapText="1"/>
    </xf>
    <xf numFmtId="0" fontId="132" fillId="0" borderId="6" xfId="0" applyFont="1" applyFill="1" applyBorder="1" applyAlignment="1">
      <alignment horizontal="center" vertical="center"/>
    </xf>
    <xf numFmtId="41" fontId="124" fillId="0" borderId="27" xfId="1" applyFont="1" applyBorder="1" applyAlignment="1">
      <alignment horizontal="center" vertical="center" wrapText="1"/>
    </xf>
    <xf numFmtId="41" fontId="124" fillId="0" borderId="27" xfId="1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23" fillId="0" borderId="1" xfId="0" applyFont="1" applyBorder="1" applyAlignment="1">
      <alignment horizontal="center" vertical="center" wrapText="1"/>
    </xf>
    <xf numFmtId="41" fontId="124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2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12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22" fillId="0" borderId="2" xfId="0" applyFont="1" applyBorder="1">
      <alignment vertical="center"/>
    </xf>
    <xf numFmtId="0" fontId="124" fillId="4" borderId="30" xfId="0" applyFont="1" applyFill="1" applyBorder="1" applyAlignment="1">
      <alignment horizontal="center" vertical="center" wrapText="1"/>
    </xf>
    <xf numFmtId="0" fontId="123" fillId="4" borderId="30" xfId="0" applyFont="1" applyFill="1" applyBorder="1" applyAlignment="1">
      <alignment horizontal="center" vertical="center" wrapText="1"/>
    </xf>
    <xf numFmtId="0" fontId="123" fillId="0" borderId="36" xfId="0" applyFont="1" applyBorder="1" applyAlignment="1">
      <alignment horizontal="center" vertical="center" wrapText="1"/>
    </xf>
    <xf numFmtId="0" fontId="124" fillId="0" borderId="37" xfId="0" applyFont="1" applyBorder="1" applyAlignment="1">
      <alignment horizontal="center" vertical="center" wrapText="1"/>
    </xf>
    <xf numFmtId="0" fontId="125" fillId="0" borderId="38" xfId="0" applyFont="1" applyBorder="1" applyAlignment="1">
      <alignment horizontal="center" vertical="center" wrapText="1"/>
    </xf>
    <xf numFmtId="0" fontId="123" fillId="0" borderId="40" xfId="0" applyFont="1" applyBorder="1" applyAlignment="1">
      <alignment horizontal="center" vertical="center" wrapText="1"/>
    </xf>
    <xf numFmtId="0" fontId="123" fillId="0" borderId="34" xfId="0" applyFont="1" applyBorder="1" applyAlignment="1">
      <alignment horizontal="center" vertical="center" wrapText="1"/>
    </xf>
    <xf numFmtId="0" fontId="124" fillId="0" borderId="4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23" fillId="0" borderId="1" xfId="0" applyFont="1" applyBorder="1" applyAlignment="1">
      <alignment horizontal="center" vertical="center" wrapText="1"/>
    </xf>
    <xf numFmtId="41" fontId="124" fillId="0" borderId="1" xfId="1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22" fillId="3" borderId="1" xfId="0" applyFont="1" applyFill="1" applyBorder="1" applyAlignment="1">
      <alignment horizontal="center" vertical="center" wrapText="1"/>
    </xf>
    <xf numFmtId="0" fontId="69" fillId="6" borderId="14" xfId="0" applyFont="1" applyFill="1" applyBorder="1" applyAlignment="1">
      <alignment horizontal="left" vertical="center" wrapText="1"/>
    </xf>
    <xf numFmtId="0" fontId="69" fillId="6" borderId="0" xfId="0" applyFont="1" applyFill="1" applyAlignment="1">
      <alignment horizontal="left" vertical="center" wrapText="1"/>
    </xf>
    <xf numFmtId="0" fontId="69" fillId="0" borderId="14" xfId="0" applyFont="1" applyBorder="1" applyAlignment="1">
      <alignment horizontal="left" vertical="center" wrapText="1"/>
    </xf>
    <xf numFmtId="0" fontId="69" fillId="0" borderId="0" xfId="0" applyFont="1" applyAlignment="1">
      <alignment horizontal="left" vertical="center" wrapText="1"/>
    </xf>
    <xf numFmtId="0" fontId="82" fillId="0" borderId="14" xfId="0" applyFont="1" applyBorder="1" applyAlignment="1">
      <alignment horizontal="left" vertical="center" wrapText="1"/>
    </xf>
    <xf numFmtId="0" fontId="82" fillId="0" borderId="0" xfId="0" applyFont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30" fillId="0" borderId="43" xfId="0" applyFont="1" applyBorder="1" applyAlignment="1">
      <alignment horizontal="center" vertical="center" wrapText="1"/>
    </xf>
    <xf numFmtId="0" fontId="130" fillId="0" borderId="29" xfId="0" applyFont="1" applyBorder="1" applyAlignment="1">
      <alignment horizontal="center" vertical="center" wrapText="1"/>
    </xf>
    <xf numFmtId="0" fontId="130" fillId="0" borderId="35" xfId="0" applyFont="1" applyBorder="1" applyAlignment="1">
      <alignment horizontal="center" vertical="center" wrapText="1"/>
    </xf>
    <xf numFmtId="0" fontId="130" fillId="0" borderId="39" xfId="0" applyFont="1" applyBorder="1" applyAlignment="1">
      <alignment horizontal="center" vertical="center" wrapText="1"/>
    </xf>
    <xf numFmtId="0" fontId="130" fillId="0" borderId="41" xfId="0" applyFont="1" applyBorder="1" applyAlignment="1">
      <alignment horizontal="center" vertical="center" wrapText="1"/>
    </xf>
    <xf numFmtId="0" fontId="13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23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3" fillId="23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90" fillId="23" borderId="1" xfId="0" applyFont="1" applyFill="1" applyBorder="1" applyAlignment="1">
      <alignment horizontal="center" vertical="center" wrapText="1"/>
    </xf>
    <xf numFmtId="0" fontId="90" fillId="0" borderId="1" xfId="0" applyFont="1" applyBorder="1" applyAlignment="1">
      <alignment horizontal="center" vertical="center" wrapText="1"/>
    </xf>
    <xf numFmtId="41" fontId="24" fillId="23" borderId="1" xfId="1" applyFont="1" applyFill="1" applyBorder="1" applyAlignment="1">
      <alignment horizontal="center" vertical="center" wrapText="1"/>
    </xf>
    <xf numFmtId="41" fontId="24" fillId="0" borderId="1" xfId="1" applyFont="1" applyBorder="1" applyAlignment="1">
      <alignment horizontal="center" vertical="center" wrapText="1"/>
    </xf>
    <xf numFmtId="0" fontId="110" fillId="0" borderId="3" xfId="0" applyFont="1" applyBorder="1" applyAlignment="1">
      <alignment horizontal="center" vertical="center" wrapText="1"/>
    </xf>
    <xf numFmtId="0" fontId="110" fillId="0" borderId="6" xfId="0" applyFont="1" applyBorder="1" applyAlignment="1">
      <alignment horizontal="center" vertical="center" wrapText="1"/>
    </xf>
    <xf numFmtId="0" fontId="106" fillId="0" borderId="1" xfId="0" applyFont="1" applyBorder="1" applyAlignment="1">
      <alignment horizontal="center" vertical="center" wrapText="1"/>
    </xf>
    <xf numFmtId="0" fontId="110" fillId="0" borderId="1" xfId="0" applyFont="1" applyBorder="1" applyAlignment="1">
      <alignment horizontal="center" vertical="center" wrapText="1"/>
    </xf>
    <xf numFmtId="0" fontId="106" fillId="23" borderId="1" xfId="0" applyFont="1" applyFill="1" applyBorder="1" applyAlignment="1">
      <alignment horizontal="center" vertical="center" wrapText="1"/>
    </xf>
    <xf numFmtId="0" fontId="123" fillId="0" borderId="1" xfId="0" applyFont="1" applyBorder="1" applyAlignment="1">
      <alignment horizontal="center" vertical="center" wrapText="1"/>
    </xf>
    <xf numFmtId="0" fontId="124" fillId="4" borderId="1" xfId="0" applyFont="1" applyFill="1" applyBorder="1" applyAlignment="1">
      <alignment horizontal="center" vertical="center" wrapText="1"/>
    </xf>
    <xf numFmtId="0" fontId="123" fillId="4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41" fontId="124" fillId="0" borderId="1" xfId="1" applyFont="1" applyBorder="1" applyAlignment="1">
      <alignment horizontal="center" vertical="center" wrapText="1"/>
    </xf>
    <xf numFmtId="41" fontId="106" fillId="23" borderId="1" xfId="1" applyFont="1" applyFill="1" applyBorder="1" applyAlignment="1">
      <alignment horizontal="center" vertical="center" wrapText="1"/>
    </xf>
    <xf numFmtId="41" fontId="106" fillId="0" borderId="1" xfId="1" applyFont="1" applyBorder="1" applyAlignment="1">
      <alignment horizontal="center" vertical="center" wrapText="1"/>
    </xf>
    <xf numFmtId="41" fontId="23" fillId="23" borderId="1" xfId="1" applyFont="1" applyFill="1" applyBorder="1" applyAlignment="1">
      <alignment horizontal="center" vertical="center" wrapText="1"/>
    </xf>
    <xf numFmtId="41" fontId="23" fillId="0" borderId="1" xfId="1" applyFont="1" applyBorder="1" applyAlignment="1">
      <alignment horizontal="center" vertical="center" wrapText="1"/>
    </xf>
    <xf numFmtId="0" fontId="104" fillId="23" borderId="1" xfId="0" applyFont="1" applyFill="1" applyBorder="1" applyAlignment="1">
      <alignment horizontal="center" vertical="center" wrapText="1"/>
    </xf>
    <xf numFmtId="0" fontId="104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7" fontId="7" fillId="0" borderId="3" xfId="0" applyNumberFormat="1" applyFont="1" applyBorder="1" applyAlignment="1">
      <alignment horizontal="center" vertical="center" wrapText="1"/>
    </xf>
    <xf numFmtId="177" fontId="7" fillId="0" borderId="6" xfId="0" applyNumberFormat="1" applyFont="1" applyBorder="1" applyAlignment="1">
      <alignment horizontal="center" vertical="center" wrapText="1"/>
    </xf>
    <xf numFmtId="177" fontId="7" fillId="0" borderId="5" xfId="0" applyNumberFormat="1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center" vertical="center" wrapText="1"/>
    </xf>
    <xf numFmtId="0" fontId="25" fillId="4" borderId="5" xfId="0" applyFont="1" applyFill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41" fontId="25" fillId="0" borderId="3" xfId="1" applyFont="1" applyBorder="1" applyAlignment="1">
      <alignment horizontal="center" vertical="center" wrapText="1"/>
    </xf>
    <xf numFmtId="41" fontId="25" fillId="0" borderId="5" xfId="1" applyFont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 wrapText="1"/>
    </xf>
    <xf numFmtId="41" fontId="58" fillId="0" borderId="3" xfId="1" applyFont="1" applyBorder="1" applyAlignment="1">
      <alignment horizontal="center" vertical="center" wrapText="1"/>
    </xf>
    <xf numFmtId="41" fontId="58" fillId="0" borderId="5" xfId="1" applyFont="1" applyBorder="1" applyAlignment="1">
      <alignment horizontal="center" vertical="center" wrapText="1"/>
    </xf>
    <xf numFmtId="0" fontId="58" fillId="0" borderId="3" xfId="0" applyFont="1" applyBorder="1" applyAlignment="1">
      <alignment horizontal="center" vertical="center" wrapText="1"/>
    </xf>
    <xf numFmtId="0" fontId="58" fillId="0" borderId="5" xfId="0" applyFont="1" applyBorder="1" applyAlignment="1">
      <alignment horizontal="center" vertical="center" wrapText="1"/>
    </xf>
    <xf numFmtId="0" fontId="59" fillId="0" borderId="3" xfId="0" applyFont="1" applyBorder="1" applyAlignment="1">
      <alignment horizontal="center" vertical="center" wrapText="1"/>
    </xf>
    <xf numFmtId="0" fontId="59" fillId="0" borderId="5" xfId="0" applyFont="1" applyBorder="1" applyAlignment="1">
      <alignment horizontal="center" vertical="center" wrapText="1"/>
    </xf>
    <xf numFmtId="0" fontId="58" fillId="10" borderId="3" xfId="0" applyFont="1" applyFill="1" applyBorder="1" applyAlignment="1">
      <alignment horizontal="center" vertical="center" wrapText="1"/>
    </xf>
    <xf numFmtId="0" fontId="58" fillId="10" borderId="5" xfId="0" applyFont="1" applyFill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39" fillId="0" borderId="3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3" fillId="15" borderId="3" xfId="0" applyFont="1" applyFill="1" applyBorder="1" applyAlignment="1">
      <alignment horizontal="center" vertical="center" wrapText="1"/>
    </xf>
    <xf numFmtId="0" fontId="23" fillId="15" borderId="5" xfId="0" applyFont="1" applyFill="1" applyBorder="1" applyAlignment="1">
      <alignment horizontal="center" vertical="center" wrapText="1"/>
    </xf>
    <xf numFmtId="41" fontId="23" fillId="0" borderId="3" xfId="1" applyFont="1" applyBorder="1" applyAlignment="1">
      <alignment horizontal="center" vertical="center" wrapText="1"/>
    </xf>
    <xf numFmtId="41" fontId="23" fillId="0" borderId="5" xfId="1" applyFont="1" applyBorder="1" applyAlignment="1">
      <alignment horizontal="center" vertical="center" wrapText="1"/>
    </xf>
    <xf numFmtId="177" fontId="7" fillId="3" borderId="3" xfId="0" applyNumberFormat="1" applyFont="1" applyFill="1" applyBorder="1" applyAlignment="1">
      <alignment horizontal="center" vertical="center" wrapText="1"/>
    </xf>
    <xf numFmtId="177" fontId="7" fillId="3" borderId="5" xfId="0" applyNumberFormat="1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23" fillId="10" borderId="3" xfId="0" applyFont="1" applyFill="1" applyBorder="1" applyAlignment="1">
      <alignment horizontal="center" vertical="center" wrapText="1"/>
    </xf>
    <xf numFmtId="0" fontId="23" fillId="10" borderId="5" xfId="0" applyFont="1" applyFill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7" fillId="0" borderId="3" xfId="0" quotePrefix="1" applyFont="1" applyBorder="1" applyAlignment="1">
      <alignment horizontal="center" vertical="center" wrapText="1"/>
    </xf>
    <xf numFmtId="0" fontId="7" fillId="0" borderId="5" xfId="0" quotePrefix="1" applyFont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38" fillId="0" borderId="3" xfId="0" applyFont="1" applyBorder="1" applyAlignment="1">
      <alignment horizontal="center" vertical="center" wrapText="1"/>
    </xf>
    <xf numFmtId="0" fontId="38" fillId="0" borderId="5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23" fillId="4" borderId="3" xfId="0" applyFont="1" applyFill="1" applyBorder="1" applyAlignment="1">
      <alignment horizontal="center" vertical="center" wrapText="1"/>
    </xf>
    <xf numFmtId="0" fontId="23" fillId="4" borderId="6" xfId="0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 wrapText="1"/>
    </xf>
    <xf numFmtId="177" fontId="7" fillId="3" borderId="6" xfId="0" applyNumberFormat="1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23" fillId="3" borderId="6" xfId="0" applyFont="1" applyFill="1" applyBorder="1" applyAlignment="1">
      <alignment horizontal="center" vertical="center" wrapText="1"/>
    </xf>
    <xf numFmtId="0" fontId="23" fillId="3" borderId="5" xfId="0" applyFont="1" applyFill="1" applyBorder="1" applyAlignment="1">
      <alignment horizontal="center" vertical="center" wrapText="1"/>
    </xf>
    <xf numFmtId="41" fontId="17" fillId="3" borderId="3" xfId="1" applyFont="1" applyFill="1" applyBorder="1" applyAlignment="1">
      <alignment horizontal="center" vertical="center"/>
    </xf>
    <xf numFmtId="41" fontId="17" fillId="3" borderId="5" xfId="1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23" fillId="3" borderId="1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27" fillId="3" borderId="3" xfId="0" applyFont="1" applyFill="1" applyBorder="1" applyAlignment="1">
      <alignment horizontal="center" vertical="center"/>
    </xf>
    <xf numFmtId="0" fontId="27" fillId="3" borderId="6" xfId="0" applyFont="1" applyFill="1" applyBorder="1" applyAlignment="1">
      <alignment horizontal="center" vertical="center"/>
    </xf>
    <xf numFmtId="0" fontId="27" fillId="3" borderId="5" xfId="0" applyFont="1" applyFill="1" applyBorder="1" applyAlignment="1">
      <alignment horizontal="center" vertical="center"/>
    </xf>
    <xf numFmtId="41" fontId="13" fillId="5" borderId="3" xfId="1" applyFont="1" applyFill="1" applyBorder="1" applyAlignment="1">
      <alignment horizontal="center" vertical="center" wrapText="1"/>
    </xf>
    <xf numFmtId="41" fontId="13" fillId="5" borderId="5" xfId="1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38" fillId="3" borderId="3" xfId="0" applyFont="1" applyFill="1" applyBorder="1" applyAlignment="1">
      <alignment horizontal="center" vertical="center" wrapText="1"/>
    </xf>
    <xf numFmtId="0" fontId="38" fillId="3" borderId="5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177" fontId="11" fillId="3" borderId="3" xfId="0" applyNumberFormat="1" applyFont="1" applyFill="1" applyBorder="1" applyAlignment="1">
      <alignment horizontal="center" vertical="center" wrapText="1"/>
    </xf>
    <xf numFmtId="177" fontId="11" fillId="3" borderId="5" xfId="0" applyNumberFormat="1" applyFont="1" applyFill="1" applyBorder="1" applyAlignment="1">
      <alignment horizontal="center" vertical="center" wrapText="1"/>
    </xf>
    <xf numFmtId="177" fontId="11" fillId="3" borderId="6" xfId="0" applyNumberFormat="1" applyFont="1" applyFill="1" applyBorder="1" applyAlignment="1">
      <alignment horizontal="center" vertical="center" wrapText="1"/>
    </xf>
    <xf numFmtId="0" fontId="23" fillId="4" borderId="15" xfId="0" applyFont="1" applyFill="1" applyBorder="1" applyAlignment="1">
      <alignment horizontal="center" vertical="center" wrapText="1"/>
    </xf>
    <xf numFmtId="0" fontId="23" fillId="4" borderId="16" xfId="0" applyFont="1" applyFill="1" applyBorder="1" applyAlignment="1">
      <alignment horizontal="center" vertical="center" wrapText="1"/>
    </xf>
    <xf numFmtId="41" fontId="11" fillId="0" borderId="3" xfId="1" applyFont="1" applyFill="1" applyBorder="1" applyAlignment="1">
      <alignment horizontal="center" vertical="center" wrapText="1"/>
    </xf>
    <xf numFmtId="41" fontId="11" fillId="0" borderId="6" xfId="1" applyFont="1" applyFill="1" applyBorder="1" applyAlignment="1">
      <alignment horizontal="center" vertical="center" wrapText="1"/>
    </xf>
    <xf numFmtId="41" fontId="11" fillId="0" borderId="5" xfId="1" applyFont="1" applyFill="1" applyBorder="1" applyAlignment="1">
      <alignment horizontal="center" vertical="center" wrapText="1"/>
    </xf>
    <xf numFmtId="41" fontId="23" fillId="4" borderId="3" xfId="1" applyFont="1" applyFill="1" applyBorder="1" applyAlignment="1">
      <alignment horizontal="center" vertical="center" wrapText="1"/>
    </xf>
    <xf numFmtId="41" fontId="23" fillId="4" borderId="6" xfId="1" applyFont="1" applyFill="1" applyBorder="1" applyAlignment="1">
      <alignment horizontal="center" vertical="center" wrapText="1"/>
    </xf>
    <xf numFmtId="41" fontId="23" fillId="4" borderId="5" xfId="1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77" fontId="7" fillId="3" borderId="16" xfId="0" applyNumberFormat="1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0" borderId="6" xfId="0" quotePrefix="1" applyFont="1" applyBorder="1" applyAlignment="1">
      <alignment horizontal="center" vertical="center" wrapText="1"/>
    </xf>
    <xf numFmtId="0" fontId="58" fillId="4" borderId="3" xfId="0" applyFont="1" applyFill="1" applyBorder="1" applyAlignment="1">
      <alignment horizontal="center" vertical="center" wrapText="1"/>
    </xf>
    <xf numFmtId="0" fontId="58" fillId="4" borderId="5" xfId="0" applyFont="1" applyFill="1" applyBorder="1" applyAlignment="1">
      <alignment horizontal="center" vertical="center" wrapText="1"/>
    </xf>
    <xf numFmtId="0" fontId="58" fillId="19" borderId="3" xfId="0" applyFont="1" applyFill="1" applyBorder="1" applyAlignment="1">
      <alignment horizontal="center" vertical="center" wrapText="1"/>
    </xf>
    <xf numFmtId="0" fontId="58" fillId="19" borderId="5" xfId="0" applyFont="1" applyFill="1" applyBorder="1" applyAlignment="1">
      <alignment horizontal="center" vertical="center" wrapText="1"/>
    </xf>
    <xf numFmtId="0" fontId="24" fillId="10" borderId="3" xfId="0" applyFont="1" applyFill="1" applyBorder="1" applyAlignment="1">
      <alignment horizontal="center" vertical="center" wrapText="1"/>
    </xf>
    <xf numFmtId="0" fontId="24" fillId="10" borderId="5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 wrapText="1"/>
    </xf>
    <xf numFmtId="0" fontId="52" fillId="4" borderId="5" xfId="0" applyFont="1" applyFill="1" applyBorder="1" applyAlignment="1">
      <alignment horizontal="center" vertical="center" wrapText="1"/>
    </xf>
    <xf numFmtId="0" fontId="61" fillId="7" borderId="3" xfId="0" applyFont="1" applyFill="1" applyBorder="1" applyAlignment="1">
      <alignment horizontal="center" vertical="center" wrapText="1"/>
    </xf>
    <xf numFmtId="0" fontId="61" fillId="7" borderId="5" xfId="0" applyFont="1" applyFill="1" applyBorder="1" applyAlignment="1">
      <alignment horizontal="center" vertical="center" wrapText="1"/>
    </xf>
    <xf numFmtId="0" fontId="25" fillId="21" borderId="3" xfId="0" applyFont="1" applyFill="1" applyBorder="1" applyAlignment="1">
      <alignment horizontal="center" vertical="center" wrapText="1"/>
    </xf>
    <xf numFmtId="0" fontId="25" fillId="21" borderId="5" xfId="0" applyFont="1" applyFill="1" applyBorder="1" applyAlignment="1">
      <alignment horizontal="center" vertical="center" wrapText="1"/>
    </xf>
    <xf numFmtId="0" fontId="25" fillId="20" borderId="3" xfId="0" applyFont="1" applyFill="1" applyBorder="1" applyAlignment="1">
      <alignment horizontal="center" vertical="center" wrapText="1"/>
    </xf>
    <xf numFmtId="0" fontId="25" fillId="20" borderId="5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3" fillId="6" borderId="3" xfId="0" applyFont="1" applyFill="1" applyBorder="1" applyAlignment="1">
      <alignment horizontal="center" vertical="center" wrapText="1"/>
    </xf>
    <xf numFmtId="0" fontId="23" fillId="6" borderId="5" xfId="0" applyFont="1" applyFill="1" applyBorder="1" applyAlignment="1">
      <alignment horizontal="center" vertical="center" wrapText="1"/>
    </xf>
    <xf numFmtId="0" fontId="23" fillId="16" borderId="3" xfId="0" applyFont="1" applyFill="1" applyBorder="1" applyAlignment="1">
      <alignment horizontal="center" vertical="center" wrapText="1"/>
    </xf>
    <xf numFmtId="0" fontId="23" fillId="16" borderId="5" xfId="0" applyFont="1" applyFill="1" applyBorder="1" applyAlignment="1">
      <alignment horizontal="center" vertical="center" wrapText="1"/>
    </xf>
    <xf numFmtId="0" fontId="25" fillId="6" borderId="3" xfId="0" applyFont="1" applyFill="1" applyBorder="1" applyAlignment="1">
      <alignment horizontal="center" vertical="center" wrapText="1"/>
    </xf>
    <xf numFmtId="0" fontId="25" fillId="6" borderId="5" xfId="0" applyFont="1" applyFill="1" applyBorder="1" applyAlignment="1">
      <alignment horizontal="center" vertical="center" wrapText="1"/>
    </xf>
    <xf numFmtId="0" fontId="25" fillId="16" borderId="3" xfId="0" applyFont="1" applyFill="1" applyBorder="1" applyAlignment="1">
      <alignment horizontal="center" vertical="center" wrapText="1"/>
    </xf>
    <xf numFmtId="0" fontId="25" fillId="16" borderId="5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 shrinkToFit="1"/>
    </xf>
    <xf numFmtId="0" fontId="8" fillId="0" borderId="5" xfId="0" applyFont="1" applyBorder="1" applyAlignment="1">
      <alignment horizontal="center" vertical="center" wrapText="1" shrinkToFit="1"/>
    </xf>
    <xf numFmtId="0" fontId="24" fillId="0" borderId="6" xfId="0" applyFont="1" applyBorder="1" applyAlignment="1">
      <alignment horizontal="center" vertical="center" wrapText="1"/>
    </xf>
    <xf numFmtId="41" fontId="78" fillId="0" borderId="3" xfId="1" applyFont="1" applyBorder="1" applyAlignment="1">
      <alignment horizontal="center" vertical="center" wrapText="1"/>
    </xf>
    <xf numFmtId="41" fontId="78" fillId="0" borderId="6" xfId="1" applyFont="1" applyBorder="1" applyAlignment="1">
      <alignment horizontal="center" vertical="center" wrapText="1"/>
    </xf>
    <xf numFmtId="41" fontId="78" fillId="0" borderId="5" xfId="1" applyFont="1" applyBorder="1" applyAlignment="1">
      <alignment horizontal="center" vertical="center" wrapText="1"/>
    </xf>
    <xf numFmtId="41" fontId="24" fillId="0" borderId="3" xfId="1" applyFont="1" applyBorder="1" applyAlignment="1">
      <alignment horizontal="center" vertical="center" wrapText="1"/>
    </xf>
    <xf numFmtId="41" fontId="24" fillId="0" borderId="5" xfId="1" applyFont="1" applyBorder="1" applyAlignment="1">
      <alignment horizontal="center" vertical="center" wrapText="1"/>
    </xf>
    <xf numFmtId="0" fontId="24" fillId="4" borderId="3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79" fillId="0" borderId="3" xfId="0" applyFont="1" applyBorder="1" applyAlignment="1">
      <alignment horizontal="center" vertical="center"/>
    </xf>
    <xf numFmtId="0" fontId="79" fillId="0" borderId="6" xfId="0" applyFont="1" applyBorder="1" applyAlignment="1">
      <alignment horizontal="center" vertical="center"/>
    </xf>
    <xf numFmtId="0" fontId="79" fillId="0" borderId="5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20" fillId="0" borderId="1" xfId="0" applyFont="1" applyBorder="1" applyAlignment="1">
      <alignment horizontal="center" vertical="center" wrapText="1"/>
    </xf>
    <xf numFmtId="0" fontId="130" fillId="0" borderId="3" xfId="0" applyFont="1" applyBorder="1" applyAlignment="1">
      <alignment horizontal="center" vertical="center" wrapText="1"/>
    </xf>
    <xf numFmtId="0" fontId="130" fillId="0" borderId="6" xfId="0" applyFont="1" applyBorder="1" applyAlignment="1">
      <alignment horizontal="center" vertical="center" wrapText="1"/>
    </xf>
    <xf numFmtId="0" fontId="124" fillId="3" borderId="23" xfId="0" applyFont="1" applyFill="1" applyBorder="1" applyAlignment="1">
      <alignment horizontal="center" vertical="center" wrapText="1"/>
    </xf>
    <xf numFmtId="0" fontId="124" fillId="3" borderId="24" xfId="0" applyFont="1" applyFill="1" applyBorder="1" applyAlignment="1">
      <alignment horizontal="center" vertical="center" wrapText="1"/>
    </xf>
    <xf numFmtId="0" fontId="130" fillId="0" borderId="5" xfId="0" applyFont="1" applyBorder="1" applyAlignment="1">
      <alignment horizontal="center" vertical="center" wrapText="1"/>
    </xf>
    <xf numFmtId="0" fontId="122" fillId="3" borderId="3" xfId="0" applyFont="1" applyFill="1" applyBorder="1" applyAlignment="1">
      <alignment horizontal="center" vertical="center"/>
    </xf>
    <xf numFmtId="0" fontId="122" fillId="3" borderId="5" xfId="0" applyFont="1" applyFill="1" applyBorder="1" applyAlignment="1">
      <alignment horizontal="center" vertical="center"/>
    </xf>
    <xf numFmtId="41" fontId="124" fillId="0" borderId="3" xfId="1" applyFont="1" applyFill="1" applyBorder="1" applyAlignment="1">
      <alignment horizontal="center" vertical="center" wrapText="1"/>
    </xf>
    <xf numFmtId="41" fontId="124" fillId="0" borderId="5" xfId="1" applyFont="1" applyFill="1" applyBorder="1" applyAlignment="1">
      <alignment horizontal="center" vertical="center" wrapText="1"/>
    </xf>
    <xf numFmtId="0" fontId="122" fillId="18" borderId="3" xfId="0" applyFont="1" applyFill="1" applyBorder="1" applyAlignment="1">
      <alignment horizontal="center" vertical="center" wrapText="1"/>
    </xf>
    <xf numFmtId="0" fontId="122" fillId="0" borderId="5" xfId="0" applyFont="1" applyBorder="1" applyAlignment="1">
      <alignment horizontal="center" vertical="center" wrapText="1"/>
    </xf>
    <xf numFmtId="0" fontId="127" fillId="0" borderId="1" xfId="0" applyFont="1" applyBorder="1" applyAlignment="1">
      <alignment horizontal="center" vertical="center" wrapText="1"/>
    </xf>
    <xf numFmtId="0" fontId="130" fillId="0" borderId="7" xfId="0" applyFont="1" applyBorder="1" applyAlignment="1">
      <alignment horizontal="center" vertical="center" wrapText="1"/>
    </xf>
    <xf numFmtId="0" fontId="130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1" fontId="124" fillId="0" borderId="1" xfId="1" applyFont="1" applyFill="1" applyBorder="1" applyAlignment="1">
      <alignment horizontal="center" vertical="center" wrapText="1"/>
    </xf>
    <xf numFmtId="0" fontId="130" fillId="0" borderId="2" xfId="0" applyFont="1" applyBorder="1" applyAlignment="1">
      <alignment horizontal="center" vertical="center" wrapText="1"/>
    </xf>
    <xf numFmtId="0" fontId="130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1" fontId="124" fillId="0" borderId="6" xfId="1" applyFont="1" applyFill="1" applyBorder="1" applyAlignment="1">
      <alignment horizontal="center" vertical="center" wrapText="1"/>
    </xf>
    <xf numFmtId="0" fontId="124" fillId="3" borderId="3" xfId="0" applyFont="1" applyFill="1" applyBorder="1" applyAlignment="1">
      <alignment horizontal="center" vertical="center" wrapText="1"/>
    </xf>
    <xf numFmtId="0" fontId="124" fillId="3" borderId="5" xfId="0" applyFont="1" applyFill="1" applyBorder="1" applyAlignment="1">
      <alignment horizontal="center" vertical="center" wrapText="1"/>
    </xf>
    <xf numFmtId="0" fontId="130" fillId="0" borderId="33" xfId="0" applyFont="1" applyBorder="1" applyAlignment="1">
      <alignment horizontal="center" vertical="center" wrapText="1"/>
    </xf>
    <xf numFmtId="0" fontId="130" fillId="0" borderId="44" xfId="0" applyFont="1" applyBorder="1" applyAlignment="1">
      <alignment horizontal="center" vertical="center" wrapText="1"/>
    </xf>
    <xf numFmtId="0" fontId="124" fillId="0" borderId="3" xfId="0" applyFont="1" applyBorder="1" applyAlignment="1">
      <alignment horizontal="center" vertical="center" wrapText="1"/>
    </xf>
    <xf numFmtId="0" fontId="124" fillId="0" borderId="5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24" fillId="0" borderId="6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/>
    </xf>
    <xf numFmtId="0" fontId="112" fillId="0" borderId="1" xfId="0" quotePrefix="1" applyFont="1" applyBorder="1" applyAlignment="1">
      <alignment horizontal="center" vertical="center"/>
    </xf>
    <xf numFmtId="0" fontId="112" fillId="0" borderId="1" xfId="0" applyFont="1" applyBorder="1" applyAlignment="1">
      <alignment horizontal="center" vertical="center"/>
    </xf>
    <xf numFmtId="41" fontId="112" fillId="0" borderId="1" xfId="1" applyFont="1" applyBorder="1" applyAlignment="1">
      <alignment horizontal="center" vertical="center"/>
    </xf>
    <xf numFmtId="41" fontId="112" fillId="23" borderId="1" xfId="1" applyFont="1" applyFill="1" applyBorder="1" applyAlignment="1">
      <alignment horizontal="center" vertical="center"/>
    </xf>
    <xf numFmtId="0" fontId="131" fillId="9" borderId="1" xfId="0" applyFont="1" applyFill="1" applyBorder="1" applyAlignment="1">
      <alignment horizontal="center" vertical="center" wrapText="1"/>
    </xf>
    <xf numFmtId="0" fontId="131" fillId="9" borderId="1" xfId="0" applyFont="1" applyFill="1" applyBorder="1" applyAlignment="1">
      <alignment horizontal="center" vertical="center"/>
    </xf>
    <xf numFmtId="0" fontId="130" fillId="4" borderId="1" xfId="0" applyFont="1" applyFill="1" applyBorder="1" applyAlignment="1">
      <alignment horizontal="center" vertical="center" wrapText="1"/>
    </xf>
    <xf numFmtId="176" fontId="119" fillId="3" borderId="3" xfId="0" applyNumberFormat="1" applyFont="1" applyFill="1" applyBorder="1" applyAlignment="1">
      <alignment horizontal="center" vertical="center" wrapText="1"/>
    </xf>
    <xf numFmtId="176" fontId="119" fillId="3" borderId="6" xfId="0" applyNumberFormat="1" applyFont="1" applyFill="1" applyBorder="1" applyAlignment="1">
      <alignment horizontal="center" vertical="center" wrapText="1"/>
    </xf>
    <xf numFmtId="0" fontId="119" fillId="3" borderId="1" xfId="0" applyFont="1" applyFill="1" applyBorder="1" applyAlignment="1">
      <alignment horizontal="center" vertical="center" wrapText="1"/>
    </xf>
    <xf numFmtId="0" fontId="119" fillId="0" borderId="3" xfId="0" applyFont="1" applyBorder="1" applyAlignment="1">
      <alignment horizontal="center" vertical="center"/>
    </xf>
    <xf numFmtId="0" fontId="119" fillId="0" borderId="6" xfId="0" applyFont="1" applyBorder="1" applyAlignment="1">
      <alignment horizontal="center" vertical="center"/>
    </xf>
    <xf numFmtId="0" fontId="119" fillId="0" borderId="5" xfId="0" applyFont="1" applyBorder="1" applyAlignment="1">
      <alignment horizontal="center" vertical="center"/>
    </xf>
    <xf numFmtId="0" fontId="119" fillId="0" borderId="3" xfId="0" applyFont="1" applyBorder="1" applyAlignment="1">
      <alignment horizontal="center" vertical="center" wrapText="1"/>
    </xf>
    <xf numFmtId="0" fontId="119" fillId="0" borderId="6" xfId="0" applyFont="1" applyBorder="1" applyAlignment="1">
      <alignment horizontal="center" vertical="center" wrapText="1"/>
    </xf>
    <xf numFmtId="0" fontId="119" fillId="0" borderId="5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118" fillId="3" borderId="6" xfId="0" applyFont="1" applyFill="1" applyBorder="1" applyAlignment="1">
      <alignment horizontal="center" vertical="center" wrapText="1"/>
    </xf>
    <xf numFmtId="0" fontId="118" fillId="3" borderId="5" xfId="0" applyFont="1" applyFill="1" applyBorder="1" applyAlignment="1">
      <alignment horizontal="center" vertical="center" wrapText="1"/>
    </xf>
    <xf numFmtId="0" fontId="122" fillId="3" borderId="1" xfId="0" applyFont="1" applyFill="1" applyBorder="1" applyAlignment="1">
      <alignment horizontal="center" vertical="center" wrapText="1"/>
    </xf>
    <xf numFmtId="0" fontId="119" fillId="0" borderId="1" xfId="0" applyFont="1" applyBorder="1" applyAlignment="1">
      <alignment horizontal="center" vertical="center"/>
    </xf>
    <xf numFmtId="0" fontId="118" fillId="0" borderId="3" xfId="0" applyFont="1" applyBorder="1" applyAlignment="1">
      <alignment horizontal="center" vertical="center"/>
    </xf>
    <xf numFmtId="0" fontId="118" fillId="0" borderId="6" xfId="0" applyFont="1" applyBorder="1" applyAlignment="1">
      <alignment horizontal="center" vertical="center"/>
    </xf>
    <xf numFmtId="0" fontId="118" fillId="0" borderId="5" xfId="0" applyFont="1" applyBorder="1" applyAlignment="1">
      <alignment horizontal="center" vertical="center"/>
    </xf>
    <xf numFmtId="0" fontId="118" fillId="0" borderId="1" xfId="0" applyFont="1" applyBorder="1" applyAlignment="1">
      <alignment horizontal="center" vertical="center"/>
    </xf>
    <xf numFmtId="176" fontId="119" fillId="3" borderId="5" xfId="0" applyNumberFormat="1" applyFont="1" applyFill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108" fillId="0" borderId="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08" fillId="3" borderId="1" xfId="0" applyFont="1" applyFill="1" applyBorder="1" applyAlignment="1">
      <alignment horizontal="center" vertical="center" wrapText="1"/>
    </xf>
    <xf numFmtId="0" fontId="108" fillId="0" borderId="3" xfId="0" applyFont="1" applyBorder="1" applyAlignment="1">
      <alignment horizontal="center" vertical="center"/>
    </xf>
    <xf numFmtId="0" fontId="108" fillId="0" borderId="6" xfId="0" applyFont="1" applyBorder="1" applyAlignment="1">
      <alignment horizontal="center" vertical="center"/>
    </xf>
    <xf numFmtId="0" fontId="108" fillId="0" borderId="5" xfId="0" applyFont="1" applyBorder="1" applyAlignment="1">
      <alignment horizontal="center" vertical="center"/>
    </xf>
    <xf numFmtId="0" fontId="108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/>
    </xf>
    <xf numFmtId="0" fontId="41" fillId="0" borderId="6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78" fontId="17" fillId="0" borderId="3" xfId="0" applyNumberFormat="1" applyFont="1" applyBorder="1" applyAlignment="1">
      <alignment horizontal="center" vertical="center" wrapText="1"/>
    </xf>
    <xf numFmtId="178" fontId="17" fillId="0" borderId="6" xfId="0" applyNumberFormat="1" applyFont="1" applyBorder="1" applyAlignment="1">
      <alignment horizontal="center" vertical="center" wrapText="1"/>
    </xf>
    <xf numFmtId="178" fontId="17" fillId="0" borderId="5" xfId="0" applyNumberFormat="1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 wrapText="1"/>
    </xf>
    <xf numFmtId="177" fontId="7" fillId="3" borderId="1" xfId="0" applyNumberFormat="1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 wrapText="1"/>
    </xf>
    <xf numFmtId="178" fontId="11" fillId="4" borderId="1" xfId="0" applyNumberFormat="1" applyFont="1" applyFill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 wrapText="1"/>
    </xf>
    <xf numFmtId="0" fontId="41" fillId="0" borderId="5" xfId="0" applyFont="1" applyBorder="1" applyAlignment="1">
      <alignment horizontal="center" vertical="center" wrapText="1"/>
    </xf>
    <xf numFmtId="0" fontId="9" fillId="0" borderId="3" xfId="0" quotePrefix="1" applyFont="1" applyBorder="1" applyAlignment="1">
      <alignment horizontal="center" vertical="center"/>
    </xf>
    <xf numFmtId="0" fontId="9" fillId="0" borderId="5" xfId="0" quotePrefix="1" applyFont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119" fillId="3" borderId="3" xfId="0" applyFont="1" applyFill="1" applyBorder="1" applyAlignment="1">
      <alignment horizontal="center" vertical="center"/>
    </xf>
    <xf numFmtId="0" fontId="119" fillId="3" borderId="6" xfId="0" applyFont="1" applyFill="1" applyBorder="1" applyAlignment="1">
      <alignment horizontal="center" vertical="center"/>
    </xf>
    <xf numFmtId="0" fontId="119" fillId="0" borderId="1" xfId="0" applyFont="1" applyBorder="1" applyAlignment="1">
      <alignment horizontal="center" vertical="center" wrapText="1"/>
    </xf>
    <xf numFmtId="176" fontId="120" fillId="0" borderId="3" xfId="0" applyNumberFormat="1" applyFont="1" applyBorder="1" applyAlignment="1">
      <alignment horizontal="center" vertical="center" wrapText="1"/>
    </xf>
    <xf numFmtId="176" fontId="120" fillId="0" borderId="6" xfId="0" applyNumberFormat="1" applyFont="1" applyBorder="1" applyAlignment="1">
      <alignment horizontal="center" vertical="center" wrapText="1"/>
    </xf>
    <xf numFmtId="176" fontId="120" fillId="0" borderId="5" xfId="0" applyNumberFormat="1" applyFont="1" applyBorder="1" applyAlignment="1">
      <alignment horizontal="center" vertical="center" wrapText="1"/>
    </xf>
    <xf numFmtId="0" fontId="132" fillId="0" borderId="14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30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맑은 고딕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맑은 고딕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none"/>
      </font>
      <alignment horizontal="center" vertical="center" textRotation="0" wrapText="1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맑은 고딕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맑은 고딕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맑은 고딕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맑은 고딕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맑은 고딕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맑은 고딕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맑은 고딕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맑은 고딕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맑은 고딕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맑은 고딕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맑은 고딕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none"/>
      </font>
      <numFmt numFmtId="177" formatCode="m\/d\(aaa\)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맑은 고딕"/>
        <scheme val="none"/>
      </font>
      <numFmt numFmtId="176" formatCode="m&quot;/&quot;d;@"/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맑은 고딕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표1" displayName="표1" ref="A3:O393" headerRowCount="0" totalsRowShown="0" tableBorderDxfId="29">
  <tableColumns count="15">
    <tableColumn id="1" name="주" headerRowDxfId="28" dataDxfId="27"/>
    <tableColumn id="2" name="일자" headerRowDxfId="26" dataDxfId="25"/>
    <tableColumn id="3" name="구분" headerRowDxfId="24" dataDxfId="23"/>
    <tableColumn id="4" name="인도일" headerRowDxfId="22" dataDxfId="21"/>
    <tableColumn id="5" name="조선소_x000a_장소" headerRowDxfId="20" dataDxfId="19"/>
    <tableColumn id="6" name="호 선" headerRowDxfId="18" dataDxfId="17"/>
    <tableColumn id="7" name="장비" headerRowDxfId="16" dataDxfId="15"/>
    <tableColumn id="8" name="검사종류 / 고객요청사항" headerRowDxfId="14" dataDxfId="13"/>
    <tableColumn id="9" name="담당자" headerRowDxfId="12" dataDxfId="11"/>
    <tableColumn id="10" name="외주" headerRowDxfId="10" dataDxfId="9"/>
    <tableColumn id="11" name="유/무상" headerRowDxfId="8" dataDxfId="7"/>
    <tableColumn id="12" name="차량" headerRowDxfId="6" dataDxfId="5"/>
    <tableColumn id="13" name="출장인원" headerRowDxfId="4" dataDxfId="3"/>
    <tableColumn id="14" name="직영연차" headerRowDxfId="2" dataDxfId="1"/>
    <tableColumn id="15" name="비고" header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theme="9" tint="0.39997558519241921"/>
    <pageSetUpPr fitToPage="1"/>
  </sheetPr>
  <dimension ref="A1:S881"/>
  <sheetViews>
    <sheetView showGridLines="0" topLeftCell="A794" zoomScaleNormal="100" workbookViewId="0">
      <selection activeCell="B805" sqref="B805:K805"/>
    </sheetView>
  </sheetViews>
  <sheetFormatPr defaultRowHeight="16.5"/>
  <cols>
    <col min="1" max="1" width="6.75" customWidth="1"/>
    <col min="2" max="2" width="9.875" bestFit="1" customWidth="1"/>
    <col min="6" max="6" width="9.375" customWidth="1"/>
    <col min="7" max="7" width="11.25" customWidth="1"/>
    <col min="8" max="8" width="38.25" customWidth="1"/>
    <col min="9" max="10" width="12.625" customWidth="1"/>
    <col min="13" max="13" width="9.25" customWidth="1"/>
    <col min="14" max="14" width="14.25" customWidth="1"/>
    <col min="15" max="15" width="27.75" customWidth="1"/>
    <col min="16" max="16" width="11.5" style="222" customWidth="1"/>
    <col min="17" max="17" width="11.125" customWidth="1"/>
  </cols>
  <sheetData>
    <row r="1" spans="1:17" s="17" customFormat="1" ht="33.75">
      <c r="A1" s="946" t="s">
        <v>3261</v>
      </c>
      <c r="B1" s="946"/>
      <c r="C1" s="946"/>
      <c r="D1" s="946"/>
      <c r="E1" s="946"/>
      <c r="F1" s="946"/>
      <c r="G1" s="946"/>
      <c r="H1" s="946"/>
      <c r="I1" s="946"/>
      <c r="J1" s="946"/>
      <c r="K1" s="946"/>
      <c r="L1" s="946"/>
      <c r="M1" s="946"/>
      <c r="N1" s="1"/>
      <c r="P1" s="365"/>
    </row>
    <row r="2" spans="1:17" s="17" customFormat="1" ht="27" customHeight="1">
      <c r="A2" s="322" t="s">
        <v>0</v>
      </c>
      <c r="B2" s="323" t="s">
        <v>1</v>
      </c>
      <c r="C2" s="322" t="s">
        <v>2</v>
      </c>
      <c r="D2" s="322" t="s">
        <v>3</v>
      </c>
      <c r="E2" s="322" t="s">
        <v>4</v>
      </c>
      <c r="F2" s="322" t="s">
        <v>5</v>
      </c>
      <c r="G2" s="322" t="s">
        <v>6</v>
      </c>
      <c r="H2" s="324" t="s">
        <v>7</v>
      </c>
      <c r="I2" s="322" t="s">
        <v>8</v>
      </c>
      <c r="J2" s="322" t="s">
        <v>9</v>
      </c>
      <c r="K2" s="325" t="s">
        <v>10</v>
      </c>
      <c r="L2" s="326" t="s">
        <v>11</v>
      </c>
      <c r="M2" s="322" t="s">
        <v>12</v>
      </c>
      <c r="N2" s="442" t="s">
        <v>13</v>
      </c>
      <c r="O2" s="322" t="s">
        <v>63</v>
      </c>
      <c r="P2" s="365"/>
    </row>
    <row r="3" spans="1:17" s="17" customFormat="1" ht="33" customHeight="1">
      <c r="A3" s="423" t="s">
        <v>3333</v>
      </c>
      <c r="B3" s="399">
        <v>46020</v>
      </c>
      <c r="C3" s="4" t="s">
        <v>3334</v>
      </c>
      <c r="D3" s="4" t="s">
        <v>14</v>
      </c>
      <c r="E3" s="31" t="s">
        <v>3335</v>
      </c>
      <c r="F3" s="31" t="s">
        <v>3336</v>
      </c>
      <c r="G3" s="16" t="s">
        <v>3337</v>
      </c>
      <c r="H3" s="193" t="s">
        <v>3338</v>
      </c>
      <c r="I3" s="31" t="s">
        <v>90</v>
      </c>
      <c r="J3" s="193" t="s">
        <v>3339</v>
      </c>
      <c r="K3" s="125" t="s">
        <v>15</v>
      </c>
      <c r="L3" s="16"/>
      <c r="M3" s="8">
        <v>3</v>
      </c>
      <c r="N3" s="31" t="s">
        <v>3340</v>
      </c>
      <c r="O3" s="428" t="s">
        <v>3341</v>
      </c>
      <c r="P3" s="365"/>
    </row>
    <row r="4" spans="1:17" s="17" customFormat="1" ht="33" customHeight="1">
      <c r="A4" s="424"/>
      <c r="B4" s="399">
        <v>46020</v>
      </c>
      <c r="C4" s="4" t="s">
        <v>21</v>
      </c>
      <c r="D4" s="4" t="s">
        <v>3342</v>
      </c>
      <c r="E4" s="31" t="s">
        <v>211</v>
      </c>
      <c r="F4" s="31" t="s">
        <v>3343</v>
      </c>
      <c r="G4" s="16" t="s">
        <v>3286</v>
      </c>
      <c r="H4" s="193" t="s">
        <v>3344</v>
      </c>
      <c r="I4" s="31" t="s">
        <v>1948</v>
      </c>
      <c r="J4" s="193" t="s">
        <v>2828</v>
      </c>
      <c r="K4" s="125" t="s">
        <v>15</v>
      </c>
      <c r="L4" s="16">
        <v>9080</v>
      </c>
      <c r="M4" s="8">
        <v>2</v>
      </c>
      <c r="N4" s="193"/>
      <c r="O4" s="429" t="s">
        <v>4511</v>
      </c>
      <c r="P4" s="365"/>
    </row>
    <row r="5" spans="1:17" s="17" customFormat="1" ht="33" customHeight="1">
      <c r="A5" s="424"/>
      <c r="B5" s="399">
        <v>46021</v>
      </c>
      <c r="C5" s="4" t="s">
        <v>21</v>
      </c>
      <c r="D5" s="4" t="s">
        <v>3329</v>
      </c>
      <c r="E5" s="31" t="s">
        <v>140</v>
      </c>
      <c r="F5" s="16" t="s">
        <v>3345</v>
      </c>
      <c r="G5" s="16" t="s">
        <v>3330</v>
      </c>
      <c r="H5" s="193" t="s">
        <v>3346</v>
      </c>
      <c r="I5" s="31"/>
      <c r="J5" s="193" t="s">
        <v>3347</v>
      </c>
      <c r="K5" s="125" t="s">
        <v>15</v>
      </c>
      <c r="L5" s="16"/>
      <c r="M5" s="8">
        <v>5</v>
      </c>
      <c r="N5" s="422"/>
      <c r="O5" s="429" t="s">
        <v>3348</v>
      </c>
      <c r="P5" s="709" t="s">
        <v>3349</v>
      </c>
      <c r="Q5"/>
    </row>
    <row r="6" spans="1:17" s="17" customFormat="1" ht="33" customHeight="1">
      <c r="A6" s="424"/>
      <c r="B6" s="399">
        <v>46021</v>
      </c>
      <c r="C6" s="4" t="s">
        <v>21</v>
      </c>
      <c r="D6" s="4" t="s">
        <v>3329</v>
      </c>
      <c r="E6" s="31" t="s">
        <v>1893</v>
      </c>
      <c r="F6" s="31" t="s">
        <v>3336</v>
      </c>
      <c r="G6" s="16" t="s">
        <v>3350</v>
      </c>
      <c r="H6" s="193" t="s">
        <v>3351</v>
      </c>
      <c r="I6" s="31" t="s">
        <v>3352</v>
      </c>
      <c r="J6" s="31" t="s">
        <v>3353</v>
      </c>
      <c r="K6" s="125" t="s">
        <v>15</v>
      </c>
      <c r="L6" s="16"/>
      <c r="M6" s="8">
        <v>2</v>
      </c>
      <c r="N6" s="31"/>
      <c r="O6" s="428" t="s">
        <v>3354</v>
      </c>
      <c r="P6" s="365"/>
      <c r="Q6"/>
    </row>
    <row r="7" spans="1:17" s="17" customFormat="1" ht="33" customHeight="1">
      <c r="A7" s="424"/>
      <c r="B7" s="399">
        <v>46021</v>
      </c>
      <c r="C7" s="4" t="s">
        <v>3322</v>
      </c>
      <c r="D7" s="4" t="s">
        <v>14</v>
      </c>
      <c r="E7" s="31" t="s">
        <v>3355</v>
      </c>
      <c r="F7" s="31" t="s">
        <v>3284</v>
      </c>
      <c r="G7" s="16" t="s">
        <v>3356</v>
      </c>
      <c r="H7" s="193" t="s">
        <v>3344</v>
      </c>
      <c r="I7" s="31" t="s">
        <v>3357</v>
      </c>
      <c r="J7" s="193" t="s">
        <v>2828</v>
      </c>
      <c r="K7" s="125" t="s">
        <v>15</v>
      </c>
      <c r="L7" s="16"/>
      <c r="M7" s="8">
        <v>3</v>
      </c>
      <c r="N7" s="31"/>
      <c r="O7" s="429" t="s">
        <v>3358</v>
      </c>
      <c r="P7" s="365"/>
      <c r="Q7"/>
    </row>
    <row r="8" spans="1:17" s="17" customFormat="1" ht="33" customHeight="1">
      <c r="A8" s="424"/>
      <c r="B8" s="399">
        <v>46022</v>
      </c>
      <c r="C8" s="59" t="s">
        <v>21</v>
      </c>
      <c r="D8" s="59" t="s">
        <v>17</v>
      </c>
      <c r="E8" s="311" t="s">
        <v>78</v>
      </c>
      <c r="F8" s="311" t="s">
        <v>1645</v>
      </c>
      <c r="G8" s="197" t="s">
        <v>23</v>
      </c>
      <c r="H8" s="310" t="s">
        <v>3359</v>
      </c>
      <c r="I8" s="311" t="s">
        <v>90</v>
      </c>
      <c r="J8" s="311" t="s">
        <v>3360</v>
      </c>
      <c r="K8" s="309" t="s">
        <v>15</v>
      </c>
      <c r="L8" s="197"/>
      <c r="M8" s="182">
        <v>3</v>
      </c>
      <c r="N8" s="311"/>
      <c r="O8" s="443" t="s">
        <v>3361</v>
      </c>
      <c r="P8" s="365"/>
      <c r="Q8" s="403"/>
    </row>
    <row r="9" spans="1:17" s="17" customFormat="1" ht="33" customHeight="1">
      <c r="A9" s="424"/>
      <c r="B9" s="399">
        <v>46022</v>
      </c>
      <c r="C9" s="4" t="s">
        <v>21</v>
      </c>
      <c r="D9" s="4" t="s">
        <v>3279</v>
      </c>
      <c r="E9" s="31" t="s">
        <v>1787</v>
      </c>
      <c r="F9" s="31" t="s">
        <v>2135</v>
      </c>
      <c r="G9" s="16" t="s">
        <v>4313</v>
      </c>
      <c r="H9" s="193" t="s">
        <v>4314</v>
      </c>
      <c r="I9" s="31"/>
      <c r="J9" s="193" t="s">
        <v>3362</v>
      </c>
      <c r="K9" s="125" t="s">
        <v>15</v>
      </c>
      <c r="L9" s="16"/>
      <c r="M9" s="8">
        <v>2</v>
      </c>
      <c r="N9" s="31" t="s">
        <v>172</v>
      </c>
      <c r="O9" s="429" t="s">
        <v>3363</v>
      </c>
      <c r="P9" s="710" t="s">
        <v>3364</v>
      </c>
      <c r="Q9" s="403"/>
    </row>
    <row r="10" spans="1:17" s="17" customFormat="1" ht="33" customHeight="1">
      <c r="A10" s="424"/>
      <c r="B10" s="399">
        <v>46022</v>
      </c>
      <c r="C10" s="4" t="s">
        <v>21</v>
      </c>
      <c r="D10" s="4" t="s">
        <v>3329</v>
      </c>
      <c r="E10" s="31" t="s">
        <v>158</v>
      </c>
      <c r="F10" s="31">
        <v>222003</v>
      </c>
      <c r="G10" s="16" t="s">
        <v>102</v>
      </c>
      <c r="H10" s="193" t="s">
        <v>3365</v>
      </c>
      <c r="I10" s="31"/>
      <c r="J10" s="193" t="s">
        <v>686</v>
      </c>
      <c r="K10" s="125" t="s">
        <v>3366</v>
      </c>
      <c r="L10" s="16"/>
      <c r="M10" s="8">
        <v>1</v>
      </c>
      <c r="N10" s="31"/>
      <c r="O10" s="430" t="s">
        <v>4718</v>
      </c>
      <c r="P10" s="365"/>
      <c r="Q10" s="403"/>
    </row>
    <row r="11" spans="1:17" s="17" customFormat="1" ht="33" customHeight="1">
      <c r="A11" s="424"/>
      <c r="B11" s="399">
        <v>46022</v>
      </c>
      <c r="C11" s="4" t="s">
        <v>3322</v>
      </c>
      <c r="D11" s="4" t="s">
        <v>3367</v>
      </c>
      <c r="E11" s="31" t="s">
        <v>1893</v>
      </c>
      <c r="F11" s="31" t="s">
        <v>3368</v>
      </c>
      <c r="G11" s="16" t="s">
        <v>3313</v>
      </c>
      <c r="H11" s="193" t="s">
        <v>3369</v>
      </c>
      <c r="I11" s="31"/>
      <c r="J11" s="193" t="s">
        <v>3270</v>
      </c>
      <c r="K11" s="125" t="s">
        <v>3324</v>
      </c>
      <c r="L11" s="16"/>
      <c r="M11" s="8">
        <v>1</v>
      </c>
      <c r="N11" s="31"/>
      <c r="O11" s="430" t="s">
        <v>3395</v>
      </c>
      <c r="P11" s="365"/>
      <c r="Q11" s="403"/>
    </row>
    <row r="12" spans="1:17" s="17" customFormat="1" ht="33" customHeight="1">
      <c r="A12" s="424"/>
      <c r="B12" s="399">
        <v>46022</v>
      </c>
      <c r="C12" s="4" t="s">
        <v>3334</v>
      </c>
      <c r="D12" s="4" t="s">
        <v>14</v>
      </c>
      <c r="E12" s="31" t="s">
        <v>3335</v>
      </c>
      <c r="F12" s="31" t="s">
        <v>2713</v>
      </c>
      <c r="G12" s="16" t="s">
        <v>23</v>
      </c>
      <c r="H12" s="193" t="s">
        <v>3371</v>
      </c>
      <c r="I12" s="31" t="s">
        <v>90</v>
      </c>
      <c r="J12" s="193" t="s">
        <v>686</v>
      </c>
      <c r="K12" s="125" t="s">
        <v>15</v>
      </c>
      <c r="L12" s="16"/>
      <c r="M12" s="8">
        <v>2</v>
      </c>
      <c r="N12" s="31"/>
      <c r="O12" s="430" t="s">
        <v>3370</v>
      </c>
      <c r="P12" s="365"/>
      <c r="Q12" s="403"/>
    </row>
    <row r="13" spans="1:17" s="17" customFormat="1" ht="33" customHeight="1">
      <c r="A13" s="424"/>
      <c r="B13" s="399">
        <v>46022</v>
      </c>
      <c r="C13" s="4" t="s">
        <v>3322</v>
      </c>
      <c r="D13" s="4" t="s">
        <v>14</v>
      </c>
      <c r="E13" s="31" t="s">
        <v>3373</v>
      </c>
      <c r="F13" s="193">
        <v>7064</v>
      </c>
      <c r="G13" s="16" t="s">
        <v>83</v>
      </c>
      <c r="H13" s="314" t="s">
        <v>3374</v>
      </c>
      <c r="I13" s="193"/>
      <c r="J13" s="193" t="s">
        <v>3391</v>
      </c>
      <c r="K13" s="125" t="s">
        <v>15</v>
      </c>
      <c r="L13" s="16"/>
      <c r="M13" s="8">
        <v>3</v>
      </c>
      <c r="N13" s="31"/>
      <c r="O13" s="430" t="s">
        <v>3376</v>
      </c>
      <c r="P13" s="365"/>
      <c r="Q13" s="403"/>
    </row>
    <row r="14" spans="1:17" s="17" customFormat="1" ht="33" customHeight="1">
      <c r="A14" s="424"/>
      <c r="B14" s="399">
        <v>46023</v>
      </c>
      <c r="C14" s="4"/>
      <c r="D14" s="4"/>
      <c r="E14" s="31"/>
      <c r="F14" s="31"/>
      <c r="G14" s="16"/>
      <c r="H14" s="404" t="s">
        <v>3377</v>
      </c>
      <c r="I14" s="31"/>
      <c r="J14" s="193"/>
      <c r="K14" s="125"/>
      <c r="L14" s="16"/>
      <c r="M14" s="8"/>
      <c r="N14" s="31"/>
      <c r="O14" s="444"/>
      <c r="P14" s="365"/>
    </row>
    <row r="15" spans="1:17" s="17" customFormat="1" ht="33" customHeight="1">
      <c r="A15" s="424"/>
      <c r="B15" s="399">
        <v>46023</v>
      </c>
      <c r="C15" s="4"/>
      <c r="D15" s="4"/>
      <c r="E15" s="31"/>
      <c r="F15" s="31"/>
      <c r="G15" s="16"/>
      <c r="H15" s="193"/>
      <c r="I15" s="31"/>
      <c r="J15" s="31"/>
      <c r="K15" s="125"/>
      <c r="L15" s="16"/>
      <c r="M15" s="8"/>
      <c r="N15" s="31"/>
      <c r="O15" s="428"/>
      <c r="P15" s="365"/>
    </row>
    <row r="16" spans="1:17" s="17" customFormat="1" ht="32.25" customHeight="1">
      <c r="A16" s="424"/>
      <c r="B16" s="399">
        <v>46024</v>
      </c>
      <c r="C16" s="4" t="s">
        <v>3378</v>
      </c>
      <c r="D16" s="4" t="s">
        <v>14</v>
      </c>
      <c r="E16" s="31" t="s">
        <v>3379</v>
      </c>
      <c r="F16" s="193">
        <v>222003</v>
      </c>
      <c r="G16" s="16" t="s">
        <v>23</v>
      </c>
      <c r="H16" s="193" t="s">
        <v>3380</v>
      </c>
      <c r="I16" s="31"/>
      <c r="J16" s="193" t="s">
        <v>41</v>
      </c>
      <c r="K16" s="125" t="s">
        <v>15</v>
      </c>
      <c r="L16" s="16"/>
      <c r="M16" s="8">
        <v>1</v>
      </c>
      <c r="N16" s="291" t="s">
        <v>3393</v>
      </c>
      <c r="O16" s="430" t="s">
        <v>3381</v>
      </c>
      <c r="P16" s="365"/>
      <c r="Q16" s="320"/>
    </row>
    <row r="17" spans="1:19" s="17" customFormat="1" ht="32.25" customHeight="1">
      <c r="A17" s="424"/>
      <c r="B17" s="399">
        <v>46024</v>
      </c>
      <c r="C17" s="4" t="s">
        <v>3334</v>
      </c>
      <c r="D17" s="4" t="s">
        <v>17</v>
      </c>
      <c r="E17" s="314" t="s">
        <v>78</v>
      </c>
      <c r="F17" s="31" t="s">
        <v>3300</v>
      </c>
      <c r="G17" s="16" t="s">
        <v>3301</v>
      </c>
      <c r="H17" s="193" t="s">
        <v>3382</v>
      </c>
      <c r="I17" s="31" t="s">
        <v>2813</v>
      </c>
      <c r="J17" s="193"/>
      <c r="K17" s="125" t="s">
        <v>3324</v>
      </c>
      <c r="L17" s="16" t="s">
        <v>33</v>
      </c>
      <c r="M17" s="8">
        <v>1</v>
      </c>
      <c r="N17" s="31"/>
      <c r="O17" s="431" t="s">
        <v>3383</v>
      </c>
      <c r="P17" s="365"/>
      <c r="Q17" s="320"/>
    </row>
    <row r="18" spans="1:19" s="17" customFormat="1" ht="32.25" customHeight="1">
      <c r="A18" s="424"/>
      <c r="B18" s="399">
        <v>46024</v>
      </c>
      <c r="C18" s="4" t="s">
        <v>3378</v>
      </c>
      <c r="D18" s="4" t="s">
        <v>14</v>
      </c>
      <c r="E18" s="31" t="s">
        <v>3372</v>
      </c>
      <c r="F18" s="193">
        <v>7064</v>
      </c>
      <c r="G18" s="16" t="s">
        <v>3695</v>
      </c>
      <c r="H18" s="291" t="s">
        <v>4555</v>
      </c>
      <c r="I18" s="193"/>
      <c r="J18" s="193" t="s">
        <v>3375</v>
      </c>
      <c r="K18" s="125" t="s">
        <v>3324</v>
      </c>
      <c r="L18" s="16">
        <v>9080</v>
      </c>
      <c r="M18" s="8">
        <v>3</v>
      </c>
      <c r="N18" s="31"/>
      <c r="O18" s="430" t="s">
        <v>4308</v>
      </c>
      <c r="P18" s="365"/>
      <c r="Q18" s="320"/>
    </row>
    <row r="19" spans="1:19" s="17" customFormat="1" ht="33" customHeight="1">
      <c r="A19" s="424"/>
      <c r="B19" s="399">
        <v>46025</v>
      </c>
      <c r="C19" s="4"/>
      <c r="D19" s="4"/>
      <c r="E19" s="31"/>
      <c r="F19" s="31"/>
      <c r="G19" s="16"/>
      <c r="H19" s="193"/>
      <c r="I19" s="193"/>
      <c r="J19" s="193"/>
      <c r="K19" s="125"/>
      <c r="L19" s="16"/>
      <c r="M19" s="8"/>
      <c r="N19" s="31"/>
      <c r="O19" s="432"/>
      <c r="P19" s="365"/>
    </row>
    <row r="20" spans="1:19" s="17" customFormat="1" ht="33" customHeight="1">
      <c r="A20" s="425"/>
      <c r="B20" s="399">
        <v>46025</v>
      </c>
      <c r="C20" s="4"/>
      <c r="D20" s="4"/>
      <c r="E20" s="31"/>
      <c r="F20" s="31"/>
      <c r="G20" s="16"/>
      <c r="H20" s="193"/>
      <c r="I20" s="193"/>
      <c r="J20" s="193"/>
      <c r="K20" s="125"/>
      <c r="L20" s="16"/>
      <c r="M20" s="8"/>
      <c r="N20" s="31"/>
      <c r="O20" s="432"/>
      <c r="P20" s="365"/>
    </row>
    <row r="21" spans="1:19" s="17" customFormat="1" ht="27" customHeight="1">
      <c r="A21" s="426" t="s">
        <v>0</v>
      </c>
      <c r="B21" s="323" t="s">
        <v>1</v>
      </c>
      <c r="C21" s="322" t="s">
        <v>2</v>
      </c>
      <c r="D21" s="322" t="s">
        <v>3</v>
      </c>
      <c r="E21" s="322" t="s">
        <v>4</v>
      </c>
      <c r="F21" s="322" t="s">
        <v>5</v>
      </c>
      <c r="G21" s="322" t="s">
        <v>6</v>
      </c>
      <c r="H21" s="324" t="s">
        <v>7</v>
      </c>
      <c r="I21" s="322" t="s">
        <v>8</v>
      </c>
      <c r="J21" s="322" t="s">
        <v>9</v>
      </c>
      <c r="K21" s="325" t="s">
        <v>10</v>
      </c>
      <c r="L21" s="326" t="s">
        <v>11</v>
      </c>
      <c r="M21" s="322" t="s">
        <v>12</v>
      </c>
      <c r="N21" s="327" t="s">
        <v>13</v>
      </c>
      <c r="O21" s="427" t="s">
        <v>63</v>
      </c>
      <c r="P21" s="365"/>
    </row>
    <row r="22" spans="1:19" s="17" customFormat="1" ht="33" customHeight="1">
      <c r="A22" s="423" t="s">
        <v>3271</v>
      </c>
      <c r="B22" s="399">
        <v>46027</v>
      </c>
      <c r="C22" s="4" t="s">
        <v>21</v>
      </c>
      <c r="D22" s="4" t="s">
        <v>14</v>
      </c>
      <c r="E22" s="31" t="s">
        <v>140</v>
      </c>
      <c r="F22" s="193" t="s">
        <v>3272</v>
      </c>
      <c r="G22" s="16" t="s">
        <v>3273</v>
      </c>
      <c r="H22" s="193" t="s">
        <v>4351</v>
      </c>
      <c r="I22" s="31" t="s">
        <v>3274</v>
      </c>
      <c r="J22" s="31" t="s">
        <v>3275</v>
      </c>
      <c r="K22" s="125" t="s">
        <v>3276</v>
      </c>
      <c r="L22" s="16"/>
      <c r="M22" s="8">
        <v>2</v>
      </c>
      <c r="N22" s="31"/>
      <c r="O22" s="433" t="s">
        <v>3277</v>
      </c>
      <c r="P22" s="941"/>
      <c r="Q22" s="942"/>
      <c r="R22" s="942"/>
      <c r="S22" s="942"/>
    </row>
    <row r="23" spans="1:19" s="17" customFormat="1" ht="33" customHeight="1">
      <c r="A23" s="424"/>
      <c r="B23" s="399">
        <v>46027</v>
      </c>
      <c r="C23" s="4" t="s">
        <v>3278</v>
      </c>
      <c r="D23" s="4" t="s">
        <v>3279</v>
      </c>
      <c r="E23" s="31" t="s">
        <v>3280</v>
      </c>
      <c r="F23" s="193" t="s">
        <v>2817</v>
      </c>
      <c r="G23" s="16" t="s">
        <v>3281</v>
      </c>
      <c r="H23" s="193" t="s">
        <v>4311</v>
      </c>
      <c r="I23" s="193"/>
      <c r="J23" s="193" t="s">
        <v>3282</v>
      </c>
      <c r="K23" s="125" t="s">
        <v>84</v>
      </c>
      <c r="L23" s="16">
        <v>9080</v>
      </c>
      <c r="M23" s="8">
        <v>3</v>
      </c>
      <c r="N23" s="31"/>
      <c r="O23" s="429" t="s">
        <v>4470</v>
      </c>
      <c r="P23" s="711"/>
      <c r="Q23" s="383"/>
      <c r="R23" s="383"/>
    </row>
    <row r="24" spans="1:19" s="17" customFormat="1" ht="33" customHeight="1">
      <c r="A24" s="424"/>
      <c r="B24" s="399">
        <v>46027</v>
      </c>
      <c r="C24" s="4" t="s">
        <v>3278</v>
      </c>
      <c r="D24" s="4" t="s">
        <v>3283</v>
      </c>
      <c r="E24" s="31" t="s">
        <v>4310</v>
      </c>
      <c r="F24" s="31" t="s">
        <v>3285</v>
      </c>
      <c r="G24" s="16" t="s">
        <v>3287</v>
      </c>
      <c r="H24" s="193" t="s">
        <v>4312</v>
      </c>
      <c r="I24" s="31"/>
      <c r="J24" s="193" t="s">
        <v>3288</v>
      </c>
      <c r="K24" s="125" t="s">
        <v>84</v>
      </c>
      <c r="L24" s="16"/>
      <c r="M24" s="8">
        <v>5</v>
      </c>
      <c r="N24" s="31"/>
      <c r="O24" s="434" t="s">
        <v>3289</v>
      </c>
      <c r="P24" s="711"/>
      <c r="Q24" s="383"/>
      <c r="R24" s="383"/>
    </row>
    <row r="25" spans="1:19" s="17" customFormat="1" ht="33" customHeight="1">
      <c r="A25" s="424"/>
      <c r="B25" s="399">
        <v>46028</v>
      </c>
      <c r="C25" s="4" t="s">
        <v>21</v>
      </c>
      <c r="D25" s="4" t="s">
        <v>3290</v>
      </c>
      <c r="E25" s="193" t="s">
        <v>3291</v>
      </c>
      <c r="F25" s="31">
        <v>7060</v>
      </c>
      <c r="G25" s="16" t="s">
        <v>4391</v>
      </c>
      <c r="H25" s="193" t="s">
        <v>4392</v>
      </c>
      <c r="I25" s="31"/>
      <c r="J25" s="31" t="s">
        <v>4337</v>
      </c>
      <c r="K25" s="125" t="s">
        <v>84</v>
      </c>
      <c r="L25" s="16"/>
      <c r="M25" s="8">
        <v>2</v>
      </c>
      <c r="N25" s="31" t="s">
        <v>4349</v>
      </c>
      <c r="O25" s="428" t="s">
        <v>4411</v>
      </c>
      <c r="P25" s="711"/>
    </row>
    <row r="26" spans="1:19" s="17" customFormat="1" ht="33" customHeight="1">
      <c r="A26" s="424"/>
      <c r="B26" s="399">
        <v>46028</v>
      </c>
      <c r="C26" s="4" t="s">
        <v>3292</v>
      </c>
      <c r="D26" s="4" t="s">
        <v>3290</v>
      </c>
      <c r="E26" s="193" t="s">
        <v>78</v>
      </c>
      <c r="F26" s="31">
        <v>7060</v>
      </c>
      <c r="G26" s="16" t="s">
        <v>3293</v>
      </c>
      <c r="H26" s="193" t="s">
        <v>4556</v>
      </c>
      <c r="I26" s="31" t="s">
        <v>3274</v>
      </c>
      <c r="J26" s="31" t="s">
        <v>4320</v>
      </c>
      <c r="K26" s="125" t="s">
        <v>84</v>
      </c>
      <c r="L26" s="16"/>
      <c r="M26" s="8">
        <v>3</v>
      </c>
      <c r="N26" s="31"/>
      <c r="O26" s="428" t="s">
        <v>3404</v>
      </c>
      <c r="P26" s="365"/>
      <c r="Q26"/>
    </row>
    <row r="27" spans="1:19" s="17" customFormat="1" ht="33" customHeight="1">
      <c r="A27" s="424"/>
      <c r="B27" s="399">
        <v>46028</v>
      </c>
      <c r="C27" s="4" t="s">
        <v>64</v>
      </c>
      <c r="D27" s="4" t="s">
        <v>70</v>
      </c>
      <c r="E27" s="31" t="s">
        <v>4310</v>
      </c>
      <c r="F27" s="31" t="s">
        <v>2916</v>
      </c>
      <c r="G27" s="16" t="s">
        <v>2917</v>
      </c>
      <c r="H27" s="193" t="s">
        <v>4318</v>
      </c>
      <c r="I27" s="31"/>
      <c r="J27" s="193" t="s">
        <v>4319</v>
      </c>
      <c r="K27" s="125" t="s">
        <v>66</v>
      </c>
      <c r="L27" s="16"/>
      <c r="M27" s="8">
        <v>5</v>
      </c>
      <c r="N27" s="31"/>
      <c r="O27" s="434" t="s">
        <v>4339</v>
      </c>
      <c r="P27" s="941"/>
      <c r="Q27" s="942"/>
      <c r="R27" s="942"/>
      <c r="S27" s="942"/>
    </row>
    <row r="28" spans="1:19" s="17" customFormat="1" ht="33" customHeight="1">
      <c r="A28" s="424"/>
      <c r="B28" s="399">
        <v>46029</v>
      </c>
      <c r="C28" s="59" t="s">
        <v>3278</v>
      </c>
      <c r="D28" s="59" t="s">
        <v>3294</v>
      </c>
      <c r="E28" s="311" t="s">
        <v>1787</v>
      </c>
      <c r="F28" s="311" t="s">
        <v>3295</v>
      </c>
      <c r="G28" s="197" t="s">
        <v>3296</v>
      </c>
      <c r="H28" s="310" t="s">
        <v>4316</v>
      </c>
      <c r="I28" s="311" t="s">
        <v>3297</v>
      </c>
      <c r="J28" s="310" t="s">
        <v>3298</v>
      </c>
      <c r="K28" s="309" t="s">
        <v>3276</v>
      </c>
      <c r="L28" s="197"/>
      <c r="M28" s="182">
        <v>2</v>
      </c>
      <c r="N28" s="31" t="s">
        <v>4349</v>
      </c>
      <c r="O28" s="435" t="s">
        <v>3405</v>
      </c>
      <c r="P28" s="711"/>
      <c r="Q28" s="402"/>
    </row>
    <row r="29" spans="1:19" s="17" customFormat="1" ht="33" customHeight="1">
      <c r="A29" s="424"/>
      <c r="B29" s="399">
        <v>46029</v>
      </c>
      <c r="C29" s="4" t="s">
        <v>3292</v>
      </c>
      <c r="D29" s="4" t="s">
        <v>3290</v>
      </c>
      <c r="E29" s="314" t="s">
        <v>3299</v>
      </c>
      <c r="F29" s="31" t="s">
        <v>4343</v>
      </c>
      <c r="G29" s="16" t="s">
        <v>3392</v>
      </c>
      <c r="H29" s="193" t="s">
        <v>3396</v>
      </c>
      <c r="I29" s="31" t="s">
        <v>3302</v>
      </c>
      <c r="J29" s="193"/>
      <c r="K29" s="125" t="s">
        <v>3303</v>
      </c>
      <c r="L29" s="16" t="s">
        <v>3304</v>
      </c>
      <c r="M29" s="8">
        <v>1</v>
      </c>
      <c r="N29" s="31"/>
      <c r="O29" s="431" t="s">
        <v>3305</v>
      </c>
      <c r="P29" s="711"/>
      <c r="Q29" s="320"/>
    </row>
    <row r="30" spans="1:19" s="17" customFormat="1" ht="33" customHeight="1">
      <c r="A30" s="424"/>
      <c r="B30" s="399">
        <v>46029</v>
      </c>
      <c r="C30" s="4" t="s">
        <v>64</v>
      </c>
      <c r="D30" s="4" t="s">
        <v>70</v>
      </c>
      <c r="E30" s="31" t="s">
        <v>4321</v>
      </c>
      <c r="F30" s="31">
        <v>1017</v>
      </c>
      <c r="G30" s="16" t="s">
        <v>106</v>
      </c>
      <c r="H30" s="193" t="s">
        <v>4336</v>
      </c>
      <c r="I30" s="31" t="s">
        <v>90</v>
      </c>
      <c r="J30" s="31" t="s">
        <v>4322</v>
      </c>
      <c r="K30" s="125" t="s">
        <v>66</v>
      </c>
      <c r="L30" s="16"/>
      <c r="M30" s="8">
        <v>2</v>
      </c>
      <c r="N30" s="31"/>
      <c r="O30" s="428" t="s">
        <v>4324</v>
      </c>
      <c r="P30" s="711"/>
      <c r="Q30" s="320"/>
    </row>
    <row r="31" spans="1:19" s="17" customFormat="1" ht="33" customHeight="1">
      <c r="A31" s="424"/>
      <c r="B31" s="399">
        <v>46029</v>
      </c>
      <c r="C31" s="59" t="s">
        <v>64</v>
      </c>
      <c r="D31" s="59" t="s">
        <v>70</v>
      </c>
      <c r="E31" s="311" t="s">
        <v>211</v>
      </c>
      <c r="F31" s="311" t="s">
        <v>2916</v>
      </c>
      <c r="G31" s="197" t="s">
        <v>2917</v>
      </c>
      <c r="H31" s="310" t="s">
        <v>4342</v>
      </c>
      <c r="I31" s="311"/>
      <c r="J31" s="311" t="s">
        <v>4338</v>
      </c>
      <c r="K31" s="309" t="s">
        <v>4366</v>
      </c>
      <c r="L31" s="197">
        <v>8585</v>
      </c>
      <c r="M31" s="182">
        <v>2</v>
      </c>
      <c r="N31" s="311"/>
      <c r="O31" s="436" t="s">
        <v>4340</v>
      </c>
      <c r="P31" s="711"/>
      <c r="Q31" s="320"/>
    </row>
    <row r="32" spans="1:19" s="17" customFormat="1" ht="33" customHeight="1">
      <c r="A32" s="424"/>
      <c r="B32" s="399">
        <v>46030</v>
      </c>
      <c r="C32" s="4" t="s">
        <v>3306</v>
      </c>
      <c r="D32" s="4" t="s">
        <v>3294</v>
      </c>
      <c r="E32" s="31" t="s">
        <v>3280</v>
      </c>
      <c r="F32" s="31" t="s">
        <v>3307</v>
      </c>
      <c r="G32" s="16" t="s">
        <v>4315</v>
      </c>
      <c r="H32" s="193" t="s">
        <v>4350</v>
      </c>
      <c r="I32" s="31" t="s">
        <v>3274</v>
      </c>
      <c r="J32" s="193" t="s">
        <v>3308</v>
      </c>
      <c r="K32" s="125" t="s">
        <v>3303</v>
      </c>
      <c r="L32" s="16"/>
      <c r="M32" s="8">
        <v>2</v>
      </c>
      <c r="N32" s="31" t="s">
        <v>4349</v>
      </c>
      <c r="O32" s="430" t="s">
        <v>4344</v>
      </c>
      <c r="P32" s="711"/>
    </row>
    <row r="33" spans="1:19" s="17" customFormat="1" ht="33" customHeight="1">
      <c r="A33" s="424"/>
      <c r="B33" s="399">
        <v>46030</v>
      </c>
      <c r="C33" s="4" t="s">
        <v>3306</v>
      </c>
      <c r="D33" s="4" t="s">
        <v>3294</v>
      </c>
      <c r="E33" s="31" t="s">
        <v>3280</v>
      </c>
      <c r="F33" s="31" t="s">
        <v>3307</v>
      </c>
      <c r="G33" s="16" t="s">
        <v>4376</v>
      </c>
      <c r="H33" s="193" t="s">
        <v>4361</v>
      </c>
      <c r="I33" s="31"/>
      <c r="J33" s="31" t="s">
        <v>3394</v>
      </c>
      <c r="K33" s="125" t="s">
        <v>3303</v>
      </c>
      <c r="L33" s="16"/>
      <c r="M33" s="8">
        <v>1</v>
      </c>
      <c r="N33" s="31"/>
      <c r="O33" s="428" t="s">
        <v>4345</v>
      </c>
      <c r="P33" s="711"/>
    </row>
    <row r="34" spans="1:19" s="17" customFormat="1" ht="33" customHeight="1">
      <c r="A34" s="424"/>
      <c r="B34" s="399">
        <v>46030</v>
      </c>
      <c r="C34" s="4" t="s">
        <v>21</v>
      </c>
      <c r="D34" s="4" t="s">
        <v>14</v>
      </c>
      <c r="E34" s="31" t="s">
        <v>3372</v>
      </c>
      <c r="F34" s="193">
        <v>7064</v>
      </c>
      <c r="G34" s="16" t="s">
        <v>207</v>
      </c>
      <c r="H34" s="193" t="s">
        <v>4378</v>
      </c>
      <c r="I34" s="31"/>
      <c r="J34" s="31" t="s">
        <v>4325</v>
      </c>
      <c r="K34" s="125" t="s">
        <v>3303</v>
      </c>
      <c r="L34" s="16">
        <v>9080</v>
      </c>
      <c r="M34" s="8">
        <v>2</v>
      </c>
      <c r="N34" s="31"/>
      <c r="O34" s="428" t="s">
        <v>4353</v>
      </c>
      <c r="P34" s="709"/>
    </row>
    <row r="35" spans="1:19" s="17" customFormat="1" ht="33" customHeight="1">
      <c r="A35" s="424"/>
      <c r="B35" s="399">
        <v>46030</v>
      </c>
      <c r="C35" s="4" t="s">
        <v>21</v>
      </c>
      <c r="D35" s="4" t="s">
        <v>4355</v>
      </c>
      <c r="E35" s="31" t="s">
        <v>4356</v>
      </c>
      <c r="F35" s="193" t="s">
        <v>4357</v>
      </c>
      <c r="G35" s="16" t="s">
        <v>4358</v>
      </c>
      <c r="H35" s="193" t="s">
        <v>4359</v>
      </c>
      <c r="I35" s="31"/>
      <c r="J35" s="31" t="s">
        <v>4360</v>
      </c>
      <c r="K35" s="125" t="s">
        <v>15</v>
      </c>
      <c r="L35" s="16"/>
      <c r="M35" s="8">
        <v>2</v>
      </c>
      <c r="N35" s="31"/>
      <c r="O35" s="428" t="s">
        <v>4368</v>
      </c>
      <c r="P35" s="709"/>
    </row>
    <row r="36" spans="1:19" s="17" customFormat="1" ht="33" customHeight="1">
      <c r="A36" s="424"/>
      <c r="B36" s="399">
        <v>46031</v>
      </c>
      <c r="C36" s="4" t="s">
        <v>21</v>
      </c>
      <c r="D36" s="4" t="s">
        <v>3283</v>
      </c>
      <c r="E36" s="193" t="s">
        <v>3309</v>
      </c>
      <c r="F36" s="31" t="s">
        <v>3310</v>
      </c>
      <c r="G36" s="16" t="s">
        <v>3311</v>
      </c>
      <c r="H36" s="193" t="s">
        <v>3411</v>
      </c>
      <c r="I36" s="31" t="s">
        <v>4323</v>
      </c>
      <c r="J36" s="31" t="s">
        <v>932</v>
      </c>
      <c r="K36" s="125" t="s">
        <v>3312</v>
      </c>
      <c r="L36" s="16"/>
      <c r="M36" s="8">
        <v>2</v>
      </c>
      <c r="N36" s="31" t="s">
        <v>4373</v>
      </c>
      <c r="O36" s="429" t="s">
        <v>4569</v>
      </c>
      <c r="P36" s="941"/>
      <c r="Q36" s="942"/>
      <c r="R36" s="942"/>
      <c r="S36" s="942"/>
    </row>
    <row r="37" spans="1:19" s="17" customFormat="1" ht="33" customHeight="1">
      <c r="A37" s="424"/>
      <c r="B37" s="399">
        <v>46031</v>
      </c>
      <c r="C37" s="4" t="s">
        <v>21</v>
      </c>
      <c r="D37" s="4" t="s">
        <v>70</v>
      </c>
      <c r="E37" s="6" t="s">
        <v>4321</v>
      </c>
      <c r="F37" s="6">
        <v>1017</v>
      </c>
      <c r="G37" s="277" t="s">
        <v>23</v>
      </c>
      <c r="H37" s="125" t="s">
        <v>4394</v>
      </c>
      <c r="I37" s="6"/>
      <c r="J37" s="6" t="s">
        <v>4362</v>
      </c>
      <c r="K37" s="125" t="s">
        <v>15</v>
      </c>
      <c r="L37" s="277"/>
      <c r="M37" s="417">
        <v>2</v>
      </c>
      <c r="N37" s="6" t="s">
        <v>4370</v>
      </c>
      <c r="O37" s="437" t="s">
        <v>4369</v>
      </c>
      <c r="P37" s="941"/>
      <c r="Q37" s="942"/>
      <c r="R37" s="942"/>
      <c r="S37" s="942"/>
    </row>
    <row r="38" spans="1:19" s="17" customFormat="1" ht="33" customHeight="1">
      <c r="A38" s="424"/>
      <c r="B38" s="399">
        <v>46031</v>
      </c>
      <c r="C38" s="4" t="s">
        <v>21</v>
      </c>
      <c r="D38" s="4" t="s">
        <v>4381</v>
      </c>
      <c r="E38" s="31" t="s">
        <v>1787</v>
      </c>
      <c r="F38" s="31" t="s">
        <v>2135</v>
      </c>
      <c r="G38" s="16" t="s">
        <v>205</v>
      </c>
      <c r="H38" s="125" t="s">
        <v>4382</v>
      </c>
      <c r="I38" s="6"/>
      <c r="J38" s="6" t="s">
        <v>4380</v>
      </c>
      <c r="K38" s="125" t="s">
        <v>15</v>
      </c>
      <c r="L38" s="277"/>
      <c r="M38" s="417">
        <v>1</v>
      </c>
      <c r="N38" s="6"/>
      <c r="O38" s="428" t="s">
        <v>4345</v>
      </c>
      <c r="P38" s="709"/>
      <c r="Q38" s="320"/>
    </row>
    <row r="39" spans="1:19" s="17" customFormat="1" ht="33" customHeight="1">
      <c r="A39" s="424"/>
      <c r="B39" s="399">
        <v>46032</v>
      </c>
      <c r="C39" s="4"/>
      <c r="D39" s="4"/>
      <c r="E39" s="31"/>
      <c r="F39" s="31"/>
      <c r="G39" s="16"/>
      <c r="H39" s="193"/>
      <c r="I39" s="31"/>
      <c r="J39" s="31"/>
      <c r="K39" s="125"/>
      <c r="L39" s="16"/>
      <c r="M39" s="8"/>
      <c r="N39" s="31"/>
      <c r="O39" s="428"/>
      <c r="P39" s="709"/>
    </row>
    <row r="40" spans="1:19" s="17" customFormat="1" ht="33" customHeight="1">
      <c r="A40" s="425"/>
      <c r="B40" s="399">
        <v>46032</v>
      </c>
      <c r="C40" s="4"/>
      <c r="D40" s="4"/>
      <c r="E40" s="31"/>
      <c r="F40" s="31"/>
      <c r="G40" s="16"/>
      <c r="H40" s="193"/>
      <c r="I40" s="31"/>
      <c r="J40" s="31"/>
      <c r="K40" s="125"/>
      <c r="L40" s="16"/>
      <c r="M40" s="8"/>
      <c r="N40" s="31"/>
      <c r="O40" s="428"/>
      <c r="P40" s="941"/>
      <c r="Q40" s="942"/>
      <c r="R40" s="942"/>
      <c r="S40" s="942"/>
    </row>
    <row r="41" spans="1:19" s="17" customFormat="1" ht="27" customHeight="1">
      <c r="A41" s="426" t="s">
        <v>3314</v>
      </c>
      <c r="B41" s="323" t="s">
        <v>1</v>
      </c>
      <c r="C41" s="322" t="s">
        <v>2</v>
      </c>
      <c r="D41" s="322" t="s">
        <v>3</v>
      </c>
      <c r="E41" s="322" t="s">
        <v>4</v>
      </c>
      <c r="F41" s="322" t="s">
        <v>5</v>
      </c>
      <c r="G41" s="322" t="s">
        <v>6</v>
      </c>
      <c r="H41" s="324" t="s">
        <v>7</v>
      </c>
      <c r="I41" s="322" t="s">
        <v>3315</v>
      </c>
      <c r="J41" s="322" t="s">
        <v>9</v>
      </c>
      <c r="K41" s="325" t="s">
        <v>3316</v>
      </c>
      <c r="L41" s="326" t="s">
        <v>3317</v>
      </c>
      <c r="M41" s="322" t="s">
        <v>3318</v>
      </c>
      <c r="N41" s="327" t="s">
        <v>3319</v>
      </c>
      <c r="O41" s="427" t="s">
        <v>3320</v>
      </c>
      <c r="P41" s="941"/>
      <c r="Q41" s="942"/>
      <c r="R41" s="942"/>
      <c r="S41" s="942"/>
    </row>
    <row r="42" spans="1:19" s="17" customFormat="1" ht="33" customHeight="1">
      <c r="A42" s="423" t="s">
        <v>3321</v>
      </c>
      <c r="B42" s="399">
        <v>46034</v>
      </c>
      <c r="C42" s="4" t="s">
        <v>21</v>
      </c>
      <c r="D42" s="4" t="s">
        <v>17</v>
      </c>
      <c r="E42" s="193" t="s">
        <v>4375</v>
      </c>
      <c r="F42" s="31" t="s">
        <v>4387</v>
      </c>
      <c r="G42" s="16" t="s">
        <v>4763</v>
      </c>
      <c r="H42" s="193" t="s">
        <v>4374</v>
      </c>
      <c r="I42" s="31" t="s">
        <v>4371</v>
      </c>
      <c r="J42" s="31" t="s">
        <v>4372</v>
      </c>
      <c r="K42" s="125" t="s">
        <v>15</v>
      </c>
      <c r="L42" s="16">
        <v>8585</v>
      </c>
      <c r="M42" s="8">
        <v>3</v>
      </c>
      <c r="N42" s="31"/>
      <c r="O42" s="428" t="s">
        <v>4768</v>
      </c>
      <c r="P42" s="709" t="s">
        <v>4309</v>
      </c>
    </row>
    <row r="43" spans="1:19" s="17" customFormat="1" ht="33" customHeight="1">
      <c r="A43" s="424"/>
      <c r="B43" s="399">
        <v>46034</v>
      </c>
      <c r="C43" s="4"/>
      <c r="D43" s="4"/>
      <c r="E43" s="291"/>
      <c r="F43" s="31"/>
      <c r="G43" s="16"/>
      <c r="H43" s="193"/>
      <c r="I43" s="31"/>
      <c r="J43" s="31"/>
      <c r="K43" s="125"/>
      <c r="L43" s="16"/>
      <c r="M43" s="8"/>
      <c r="N43" s="31"/>
      <c r="O43" s="431"/>
      <c r="P43" s="941" t="s">
        <v>4390</v>
      </c>
      <c r="Q43" s="942"/>
      <c r="R43" s="942"/>
      <c r="S43" s="942"/>
    </row>
    <row r="44" spans="1:19" s="17" customFormat="1" ht="33" customHeight="1">
      <c r="A44" s="424"/>
      <c r="B44" s="399">
        <v>46035</v>
      </c>
      <c r="C44" s="59" t="s">
        <v>3278</v>
      </c>
      <c r="D44" s="59" t="s">
        <v>3279</v>
      </c>
      <c r="E44" s="311" t="s">
        <v>3280</v>
      </c>
      <c r="F44" s="311" t="s">
        <v>3295</v>
      </c>
      <c r="G44" s="197" t="s">
        <v>3296</v>
      </c>
      <c r="H44" s="310" t="s">
        <v>4317</v>
      </c>
      <c r="I44" s="311" t="s">
        <v>3274</v>
      </c>
      <c r="J44" s="310" t="s">
        <v>3323</v>
      </c>
      <c r="K44" s="309" t="s">
        <v>3324</v>
      </c>
      <c r="L44" s="197"/>
      <c r="M44" s="182">
        <v>7</v>
      </c>
      <c r="N44" s="31" t="s">
        <v>4393</v>
      </c>
      <c r="O44" s="435" t="s">
        <v>3325</v>
      </c>
      <c r="P44" s="710"/>
    </row>
    <row r="45" spans="1:19" s="17" customFormat="1" ht="33" customHeight="1">
      <c r="A45" s="424"/>
      <c r="B45" s="399">
        <v>46035</v>
      </c>
      <c r="C45" s="4" t="s">
        <v>3322</v>
      </c>
      <c r="D45" s="4" t="s">
        <v>4326</v>
      </c>
      <c r="E45" s="291" t="s">
        <v>4409</v>
      </c>
      <c r="F45" s="31" t="s">
        <v>4327</v>
      </c>
      <c r="G45" s="16" t="s">
        <v>4328</v>
      </c>
      <c r="H45" s="193" t="s">
        <v>4334</v>
      </c>
      <c r="I45" s="31"/>
      <c r="J45" s="31" t="s">
        <v>4330</v>
      </c>
      <c r="K45" s="125" t="s">
        <v>4331</v>
      </c>
      <c r="L45" s="16">
        <v>9080</v>
      </c>
      <c r="M45" s="8">
        <v>2</v>
      </c>
      <c r="N45" s="31"/>
      <c r="O45" s="428" t="s">
        <v>4395</v>
      </c>
      <c r="P45" s="710"/>
      <c r="Q45"/>
    </row>
    <row r="46" spans="1:19" s="17" customFormat="1" ht="33" customHeight="1">
      <c r="A46" s="424"/>
      <c r="B46" s="399">
        <v>46035</v>
      </c>
      <c r="C46" s="4" t="s">
        <v>21</v>
      </c>
      <c r="D46" s="4" t="s">
        <v>77</v>
      </c>
      <c r="E46" s="193" t="s">
        <v>4548</v>
      </c>
      <c r="F46" s="31" t="s">
        <v>4352</v>
      </c>
      <c r="G46" s="16" t="s">
        <v>4549</v>
      </c>
      <c r="H46" s="193" t="s">
        <v>4557</v>
      </c>
      <c r="I46" s="31"/>
      <c r="J46" s="31" t="s">
        <v>4377</v>
      </c>
      <c r="K46" s="125" t="s">
        <v>15</v>
      </c>
      <c r="L46" s="418" t="s">
        <v>4379</v>
      </c>
      <c r="M46" s="8">
        <v>2</v>
      </c>
      <c r="N46" s="31"/>
      <c r="O46" s="429" t="s">
        <v>4640</v>
      </c>
      <c r="P46" s="712"/>
      <c r="Q46"/>
    </row>
    <row r="47" spans="1:19" s="17" customFormat="1" ht="33" customHeight="1">
      <c r="A47" s="424"/>
      <c r="B47" s="399">
        <v>46035</v>
      </c>
      <c r="C47" s="4" t="s">
        <v>21</v>
      </c>
      <c r="D47" s="4" t="s">
        <v>14</v>
      </c>
      <c r="E47" s="6" t="s">
        <v>4321</v>
      </c>
      <c r="F47" s="6">
        <v>1017</v>
      </c>
      <c r="G47" s="277" t="s">
        <v>23</v>
      </c>
      <c r="H47" s="193" t="s">
        <v>4415</v>
      </c>
      <c r="I47" s="193" t="s">
        <v>4410</v>
      </c>
      <c r="J47" s="193" t="s">
        <v>4414</v>
      </c>
      <c r="K47" s="125" t="s">
        <v>15</v>
      </c>
      <c r="L47" s="16">
        <v>8585</v>
      </c>
      <c r="M47" s="8">
        <v>2</v>
      </c>
      <c r="N47" s="422"/>
      <c r="O47" s="430" t="s">
        <v>4416</v>
      </c>
      <c r="P47" s="712"/>
      <c r="Q47"/>
    </row>
    <row r="48" spans="1:19" s="17" customFormat="1" ht="33" customHeight="1">
      <c r="A48" s="424"/>
      <c r="B48" s="399">
        <v>46036</v>
      </c>
      <c r="C48" s="4" t="s">
        <v>3306</v>
      </c>
      <c r="D48" s="4" t="s">
        <v>3329</v>
      </c>
      <c r="E48" s="31" t="s">
        <v>3280</v>
      </c>
      <c r="F48" s="31" t="s">
        <v>3295</v>
      </c>
      <c r="G48" s="16" t="s">
        <v>205</v>
      </c>
      <c r="H48" s="193" t="s">
        <v>4412</v>
      </c>
      <c r="I48" s="31" t="s">
        <v>4425</v>
      </c>
      <c r="J48" s="193" t="s">
        <v>4419</v>
      </c>
      <c r="K48" s="125" t="s">
        <v>3276</v>
      </c>
      <c r="L48" s="16"/>
      <c r="M48" s="8">
        <v>2</v>
      </c>
      <c r="N48" s="422"/>
      <c r="O48" s="430" t="s">
        <v>4396</v>
      </c>
      <c r="P48" s="711"/>
      <c r="Q48" s="416"/>
    </row>
    <row r="49" spans="1:19" s="17" customFormat="1" ht="33" customHeight="1">
      <c r="A49" s="424"/>
      <c r="B49" s="399">
        <v>46036</v>
      </c>
      <c r="C49" s="4" t="s">
        <v>311</v>
      </c>
      <c r="D49" s="4" t="s">
        <v>675</v>
      </c>
      <c r="E49" s="31" t="s">
        <v>337</v>
      </c>
      <c r="F49" s="31" t="s">
        <v>4421</v>
      </c>
      <c r="G49" s="16" t="s">
        <v>4417</v>
      </c>
      <c r="H49" s="193" t="s">
        <v>4418</v>
      </c>
      <c r="I49" s="31"/>
      <c r="J49" s="193" t="s">
        <v>4420</v>
      </c>
      <c r="K49" s="125" t="s">
        <v>4401</v>
      </c>
      <c r="L49" s="16"/>
      <c r="M49" s="8">
        <v>2</v>
      </c>
      <c r="N49" s="422"/>
      <c r="O49" s="430" t="s">
        <v>4422</v>
      </c>
      <c r="P49" s="711"/>
      <c r="Q49" s="416"/>
    </row>
    <row r="50" spans="1:19" s="17" customFormat="1" ht="33" customHeight="1">
      <c r="A50" s="424"/>
      <c r="B50" s="399">
        <v>46036</v>
      </c>
      <c r="C50" s="4" t="s">
        <v>21</v>
      </c>
      <c r="D50" s="4" t="s">
        <v>17</v>
      </c>
      <c r="E50" s="291" t="s">
        <v>4333</v>
      </c>
      <c r="F50" s="31" t="s">
        <v>4327</v>
      </c>
      <c r="G50" s="16" t="s">
        <v>4328</v>
      </c>
      <c r="H50" s="193" t="s">
        <v>4329</v>
      </c>
      <c r="I50" s="31"/>
      <c r="J50" s="31" t="s">
        <v>487</v>
      </c>
      <c r="K50" s="125" t="s">
        <v>15</v>
      </c>
      <c r="L50" s="16">
        <v>9080</v>
      </c>
      <c r="M50" s="8">
        <v>2</v>
      </c>
      <c r="N50" s="31"/>
      <c r="O50" s="432" t="s">
        <v>4332</v>
      </c>
      <c r="P50" s="711"/>
      <c r="Q50" s="320"/>
    </row>
    <row r="51" spans="1:19" s="17" customFormat="1" ht="33" customHeight="1">
      <c r="A51" s="424"/>
      <c r="B51" s="399">
        <v>46036</v>
      </c>
      <c r="C51" s="4" t="s">
        <v>21</v>
      </c>
      <c r="D51" s="4" t="s">
        <v>4432</v>
      </c>
      <c r="E51" s="314" t="s">
        <v>4427</v>
      </c>
      <c r="F51" s="31" t="s">
        <v>4426</v>
      </c>
      <c r="G51" s="16" t="s">
        <v>4431</v>
      </c>
      <c r="H51" s="193" t="s">
        <v>4428</v>
      </c>
      <c r="I51" s="31" t="s">
        <v>4429</v>
      </c>
      <c r="J51" s="31" t="s">
        <v>4430</v>
      </c>
      <c r="K51" s="125" t="s">
        <v>15</v>
      </c>
      <c r="L51" s="16">
        <v>8585</v>
      </c>
      <c r="M51" s="8">
        <v>2</v>
      </c>
      <c r="N51" s="31"/>
      <c r="O51" s="428" t="s">
        <v>4433</v>
      </c>
      <c r="P51" s="711"/>
      <c r="Q51" s="320"/>
    </row>
    <row r="52" spans="1:19" s="17" customFormat="1" ht="33" customHeight="1">
      <c r="A52" s="424"/>
      <c r="B52" s="399">
        <v>46037</v>
      </c>
      <c r="C52" s="59" t="s">
        <v>3306</v>
      </c>
      <c r="D52" s="59" t="s">
        <v>3329</v>
      </c>
      <c r="E52" s="311" t="s">
        <v>3280</v>
      </c>
      <c r="F52" s="311" t="s">
        <v>4346</v>
      </c>
      <c r="G52" s="197" t="s">
        <v>4341</v>
      </c>
      <c r="H52" s="310" t="s">
        <v>4347</v>
      </c>
      <c r="I52" s="311"/>
      <c r="J52" s="310" t="s">
        <v>3331</v>
      </c>
      <c r="K52" s="309" t="s">
        <v>4331</v>
      </c>
      <c r="L52" s="197"/>
      <c r="M52" s="182">
        <v>1</v>
      </c>
      <c r="N52" s="415"/>
      <c r="O52" s="435" t="s">
        <v>4348</v>
      </c>
      <c r="P52" s="711"/>
    </row>
    <row r="53" spans="1:19" s="17" customFormat="1" ht="33" customHeight="1">
      <c r="A53" s="424"/>
      <c r="B53" s="399">
        <v>46037</v>
      </c>
      <c r="C53" s="4" t="s">
        <v>4383</v>
      </c>
      <c r="D53" s="4" t="s">
        <v>4384</v>
      </c>
      <c r="E53" s="31" t="s">
        <v>1787</v>
      </c>
      <c r="F53" s="31" t="s">
        <v>4385</v>
      </c>
      <c r="G53" s="16" t="s">
        <v>23</v>
      </c>
      <c r="H53" s="193" t="s">
        <v>4386</v>
      </c>
      <c r="I53" s="125" t="s">
        <v>4413</v>
      </c>
      <c r="J53" s="193"/>
      <c r="K53" s="125" t="s">
        <v>15</v>
      </c>
      <c r="L53" s="16"/>
      <c r="M53" s="8">
        <v>3</v>
      </c>
      <c r="N53" s="422"/>
      <c r="O53" s="430" t="s">
        <v>4408</v>
      </c>
      <c r="P53" s="711"/>
    </row>
    <row r="54" spans="1:19" s="17" customFormat="1" ht="33" customHeight="1">
      <c r="A54" s="424"/>
      <c r="B54" s="399">
        <v>46037</v>
      </c>
      <c r="C54" s="4" t="s">
        <v>21</v>
      </c>
      <c r="D54" s="4" t="s">
        <v>14</v>
      </c>
      <c r="E54" s="31" t="s">
        <v>1787</v>
      </c>
      <c r="F54" s="193" t="s">
        <v>4466</v>
      </c>
      <c r="G54" s="16" t="s">
        <v>4407</v>
      </c>
      <c r="H54" s="193" t="s">
        <v>4388</v>
      </c>
      <c r="I54" s="193"/>
      <c r="J54" s="193" t="s">
        <v>4389</v>
      </c>
      <c r="K54" s="125" t="s">
        <v>15</v>
      </c>
      <c r="L54" s="16">
        <v>9080</v>
      </c>
      <c r="M54" s="8">
        <v>2</v>
      </c>
      <c r="N54" s="422"/>
      <c r="O54" s="429" t="s">
        <v>4729</v>
      </c>
      <c r="P54" s="711"/>
    </row>
    <row r="55" spans="1:19" s="17" customFormat="1" ht="33" customHeight="1">
      <c r="A55" s="424"/>
      <c r="B55" s="399">
        <v>46037</v>
      </c>
      <c r="C55" s="4" t="s">
        <v>21</v>
      </c>
      <c r="D55" s="4" t="s">
        <v>14</v>
      </c>
      <c r="E55" s="6" t="s">
        <v>4321</v>
      </c>
      <c r="F55" s="6">
        <v>1017</v>
      </c>
      <c r="G55" s="277" t="s">
        <v>23</v>
      </c>
      <c r="H55" s="193" t="s">
        <v>4423</v>
      </c>
      <c r="I55" s="193"/>
      <c r="J55" s="193" t="s">
        <v>4435</v>
      </c>
      <c r="K55" s="125" t="s">
        <v>15</v>
      </c>
      <c r="L55" s="16">
        <v>8585</v>
      </c>
      <c r="M55" s="8">
        <v>2</v>
      </c>
      <c r="N55" s="422"/>
      <c r="O55" s="430" t="s">
        <v>4324</v>
      </c>
      <c r="P55" s="711"/>
    </row>
    <row r="56" spans="1:19" s="17" customFormat="1" ht="33" customHeight="1">
      <c r="A56" s="424"/>
      <c r="B56" s="399">
        <v>46038</v>
      </c>
      <c r="C56" s="4" t="s">
        <v>21</v>
      </c>
      <c r="D56" s="4" t="s">
        <v>77</v>
      </c>
      <c r="E56" s="31" t="s">
        <v>140</v>
      </c>
      <c r="F56" s="31" t="s">
        <v>270</v>
      </c>
      <c r="G56" s="16" t="s">
        <v>3269</v>
      </c>
      <c r="H56" s="314" t="s">
        <v>4540</v>
      </c>
      <c r="I56" s="31" t="s">
        <v>120</v>
      </c>
      <c r="J56" s="193" t="s">
        <v>686</v>
      </c>
      <c r="K56" s="125" t="s">
        <v>15</v>
      </c>
      <c r="L56" s="16"/>
      <c r="M56" s="8">
        <v>2</v>
      </c>
      <c r="N56" s="422"/>
      <c r="O56" s="429" t="s">
        <v>4521</v>
      </c>
      <c r="P56" s="711"/>
    </row>
    <row r="57" spans="1:19" s="17" customFormat="1" ht="33" customHeight="1">
      <c r="A57" s="424"/>
      <c r="B57" s="399">
        <v>46038</v>
      </c>
      <c r="C57" s="4" t="s">
        <v>21</v>
      </c>
      <c r="D57" s="4" t="s">
        <v>14</v>
      </c>
      <c r="E57" s="6" t="s">
        <v>4321</v>
      </c>
      <c r="F57" s="6">
        <v>1017</v>
      </c>
      <c r="G57" s="277" t="s">
        <v>23</v>
      </c>
      <c r="H57" s="193" t="s">
        <v>4423</v>
      </c>
      <c r="I57" s="193"/>
      <c r="J57" s="193" t="s">
        <v>4435</v>
      </c>
      <c r="K57" s="125" t="s">
        <v>15</v>
      </c>
      <c r="L57" s="16">
        <v>8585</v>
      </c>
      <c r="M57" s="8">
        <v>2</v>
      </c>
      <c r="N57" s="422"/>
      <c r="O57" s="430" t="s">
        <v>4324</v>
      </c>
      <c r="P57" s="711"/>
      <c r="Q57" s="320"/>
    </row>
    <row r="58" spans="1:19" s="17" customFormat="1" ht="33" customHeight="1">
      <c r="A58" s="424"/>
      <c r="B58" s="399">
        <v>46039</v>
      </c>
      <c r="C58" s="4"/>
      <c r="D58" s="4"/>
      <c r="E58" s="6"/>
      <c r="F58" s="6"/>
      <c r="G58" s="277"/>
      <c r="H58" s="193"/>
      <c r="I58" s="193"/>
      <c r="J58" s="193"/>
      <c r="K58" s="125"/>
      <c r="L58" s="16"/>
      <c r="M58" s="8"/>
      <c r="N58" s="422"/>
      <c r="O58" s="430"/>
      <c r="P58" s="365"/>
    </row>
    <row r="59" spans="1:19" s="17" customFormat="1" ht="33" customHeight="1">
      <c r="A59" s="425"/>
      <c r="B59" s="399">
        <v>46039</v>
      </c>
      <c r="C59" s="4"/>
      <c r="D59" s="4"/>
      <c r="E59" s="291"/>
      <c r="F59" s="31"/>
      <c r="G59" s="16"/>
      <c r="H59" s="193"/>
      <c r="I59" s="31"/>
      <c r="J59" s="31"/>
      <c r="K59" s="125"/>
      <c r="L59" s="16"/>
      <c r="M59" s="8"/>
      <c r="N59" s="31"/>
      <c r="O59" s="432"/>
      <c r="P59" s="365"/>
    </row>
    <row r="60" spans="1:19" s="17" customFormat="1" ht="33" customHeight="1">
      <c r="A60" s="426" t="s">
        <v>0</v>
      </c>
      <c r="B60" s="323" t="s">
        <v>1</v>
      </c>
      <c r="C60" s="322" t="s">
        <v>2</v>
      </c>
      <c r="D60" s="322" t="s">
        <v>3</v>
      </c>
      <c r="E60" s="322" t="s">
        <v>4</v>
      </c>
      <c r="F60" s="322" t="s">
        <v>5</v>
      </c>
      <c r="G60" s="322" t="s">
        <v>6</v>
      </c>
      <c r="H60" s="324" t="s">
        <v>7</v>
      </c>
      <c r="I60" s="322" t="s">
        <v>8</v>
      </c>
      <c r="J60" s="322" t="s">
        <v>9</v>
      </c>
      <c r="K60" s="325" t="s">
        <v>10</v>
      </c>
      <c r="L60" s="326" t="s">
        <v>11</v>
      </c>
      <c r="M60" s="322" t="s">
        <v>12</v>
      </c>
      <c r="N60" s="327" t="s">
        <v>13</v>
      </c>
      <c r="O60" s="427" t="s">
        <v>63</v>
      </c>
      <c r="P60" s="365"/>
    </row>
    <row r="61" spans="1:19" s="17" customFormat="1" ht="33" customHeight="1">
      <c r="A61" s="423" t="s">
        <v>4448</v>
      </c>
      <c r="B61" s="399">
        <v>46041</v>
      </c>
      <c r="C61" s="4" t="s">
        <v>64</v>
      </c>
      <c r="D61" s="4" t="s">
        <v>77</v>
      </c>
      <c r="E61" s="31" t="s">
        <v>3326</v>
      </c>
      <c r="F61" s="31" t="s">
        <v>362</v>
      </c>
      <c r="G61" s="16" t="s">
        <v>3327</v>
      </c>
      <c r="H61" s="193" t="s">
        <v>4424</v>
      </c>
      <c r="I61" s="31"/>
      <c r="J61" s="193" t="s">
        <v>3974</v>
      </c>
      <c r="K61" s="125" t="s">
        <v>4364</v>
      </c>
      <c r="L61" s="16"/>
      <c r="M61" s="8">
        <v>2</v>
      </c>
      <c r="N61" s="422"/>
      <c r="O61" s="430" t="s">
        <v>4746</v>
      </c>
      <c r="P61" s="941"/>
      <c r="Q61" s="942"/>
      <c r="R61" s="942"/>
      <c r="S61" s="942"/>
    </row>
    <row r="62" spans="1:19" s="17" customFormat="1" ht="33" customHeight="1">
      <c r="A62" s="424"/>
      <c r="B62" s="399">
        <v>46041</v>
      </c>
      <c r="C62" s="4" t="s">
        <v>21</v>
      </c>
      <c r="D62" s="4" t="s">
        <v>17</v>
      </c>
      <c r="E62" s="193" t="s">
        <v>78</v>
      </c>
      <c r="F62" s="31" t="s">
        <v>4363</v>
      </c>
      <c r="G62" s="16" t="s">
        <v>4367</v>
      </c>
      <c r="H62" s="193" t="s">
        <v>4405</v>
      </c>
      <c r="I62" s="31" t="s">
        <v>4443</v>
      </c>
      <c r="J62" s="31"/>
      <c r="K62" s="125" t="s">
        <v>4364</v>
      </c>
      <c r="L62" s="16"/>
      <c r="M62" s="8">
        <v>2</v>
      </c>
      <c r="N62" s="31"/>
      <c r="O62" s="431" t="s">
        <v>4406</v>
      </c>
      <c r="P62" s="365"/>
    </row>
    <row r="63" spans="1:19" s="17" customFormat="1" ht="33" customHeight="1">
      <c r="A63" s="424"/>
      <c r="B63" s="399">
        <v>46041</v>
      </c>
      <c r="C63" s="4" t="s">
        <v>21</v>
      </c>
      <c r="D63" s="4" t="s">
        <v>14</v>
      </c>
      <c r="E63" s="314" t="s">
        <v>1893</v>
      </c>
      <c r="F63" s="31" t="s">
        <v>3833</v>
      </c>
      <c r="G63" s="16" t="s">
        <v>1382</v>
      </c>
      <c r="H63" s="193" t="s">
        <v>4446</v>
      </c>
      <c r="I63" s="31"/>
      <c r="J63" s="31" t="s">
        <v>641</v>
      </c>
      <c r="K63" s="125" t="s">
        <v>15</v>
      </c>
      <c r="L63" s="16"/>
      <c r="M63" s="8">
        <v>2</v>
      </c>
      <c r="N63" s="31"/>
      <c r="O63" s="428" t="s">
        <v>4447</v>
      </c>
      <c r="P63" s="365"/>
    </row>
    <row r="64" spans="1:19" s="17" customFormat="1" ht="33" customHeight="1">
      <c r="A64" s="424"/>
      <c r="B64" s="399">
        <v>46042</v>
      </c>
      <c r="C64" s="4" t="s">
        <v>21</v>
      </c>
      <c r="D64" s="4" t="s">
        <v>4434</v>
      </c>
      <c r="E64" s="193" t="s">
        <v>4438</v>
      </c>
      <c r="F64" s="193" t="s">
        <v>4437</v>
      </c>
      <c r="G64" s="16" t="s">
        <v>23</v>
      </c>
      <c r="H64" s="193" t="s">
        <v>4445</v>
      </c>
      <c r="I64" s="31"/>
      <c r="J64" s="31" t="s">
        <v>487</v>
      </c>
      <c r="K64" s="125" t="s">
        <v>15</v>
      </c>
      <c r="L64" s="16">
        <v>9080</v>
      </c>
      <c r="M64" s="8">
        <v>2</v>
      </c>
      <c r="N64" s="31"/>
      <c r="O64" s="431" t="s">
        <v>4436</v>
      </c>
      <c r="P64" s="941"/>
      <c r="Q64" s="942"/>
      <c r="R64" s="942"/>
      <c r="S64" s="942"/>
    </row>
    <row r="65" spans="1:19" s="17" customFormat="1" ht="33" customHeight="1">
      <c r="A65" s="424"/>
      <c r="B65" s="399">
        <v>46042</v>
      </c>
      <c r="C65" s="4" t="s">
        <v>21</v>
      </c>
      <c r="D65" s="4" t="s">
        <v>14</v>
      </c>
      <c r="E65" s="31" t="s">
        <v>107</v>
      </c>
      <c r="F65" s="193" t="s">
        <v>4460</v>
      </c>
      <c r="G65" s="16" t="s">
        <v>1391</v>
      </c>
      <c r="H65" s="193" t="s">
        <v>4478</v>
      </c>
      <c r="I65" s="193"/>
      <c r="J65" s="193" t="s">
        <v>4463</v>
      </c>
      <c r="K65" s="125" t="s">
        <v>4365</v>
      </c>
      <c r="L65" s="16"/>
      <c r="M65" s="8">
        <v>1</v>
      </c>
      <c r="N65" s="31"/>
      <c r="O65" s="429" t="s">
        <v>4486</v>
      </c>
      <c r="P65" s="365"/>
    </row>
    <row r="66" spans="1:19" s="17" customFormat="1" ht="33" customHeight="1">
      <c r="A66" s="424"/>
      <c r="B66" s="399">
        <v>46042</v>
      </c>
      <c r="C66" s="4" t="s">
        <v>21</v>
      </c>
      <c r="D66" s="4" t="s">
        <v>17</v>
      </c>
      <c r="E66" s="31" t="s">
        <v>107</v>
      </c>
      <c r="F66" s="31" t="s">
        <v>4461</v>
      </c>
      <c r="G66" s="16" t="s">
        <v>4453</v>
      </c>
      <c r="H66" s="314" t="s">
        <v>4541</v>
      </c>
      <c r="I66" s="31" t="s">
        <v>90</v>
      </c>
      <c r="J66" s="125" t="s">
        <v>686</v>
      </c>
      <c r="K66" s="125" t="s">
        <v>15</v>
      </c>
      <c r="L66" s="16"/>
      <c r="M66" s="8">
        <v>2</v>
      </c>
      <c r="N66" s="422"/>
      <c r="O66" s="429" t="s">
        <v>4462</v>
      </c>
      <c r="P66" s="365"/>
    </row>
    <row r="67" spans="1:19" s="17" customFormat="1" ht="33" customHeight="1">
      <c r="A67" s="424"/>
      <c r="B67" s="399">
        <v>46043</v>
      </c>
      <c r="C67" s="4" t="s">
        <v>21</v>
      </c>
      <c r="D67" s="4" t="s">
        <v>31</v>
      </c>
      <c r="E67" s="193" t="s">
        <v>78</v>
      </c>
      <c r="F67" s="31">
        <v>7060</v>
      </c>
      <c r="G67" s="16" t="s">
        <v>4679</v>
      </c>
      <c r="H67" s="314" t="s">
        <v>4465</v>
      </c>
      <c r="I67" s="31" t="s">
        <v>90</v>
      </c>
      <c r="J67" s="31" t="s">
        <v>4354</v>
      </c>
      <c r="K67" s="125" t="s">
        <v>15</v>
      </c>
      <c r="L67" s="16"/>
      <c r="M67" s="8">
        <v>3</v>
      </c>
      <c r="N67" s="31"/>
      <c r="O67" s="428" t="s">
        <v>4585</v>
      </c>
      <c r="P67" s="941"/>
      <c r="Q67" s="942"/>
      <c r="R67" s="942"/>
      <c r="S67" s="942"/>
    </row>
    <row r="68" spans="1:19" s="17" customFormat="1" ht="33" customHeight="1">
      <c r="A68" s="424"/>
      <c r="B68" s="399">
        <v>46043</v>
      </c>
      <c r="C68" s="4"/>
      <c r="D68" s="4"/>
      <c r="E68" s="291"/>
      <c r="F68" s="31"/>
      <c r="G68" s="16"/>
      <c r="H68" s="193"/>
      <c r="I68" s="31"/>
      <c r="J68" s="31"/>
      <c r="K68" s="125"/>
      <c r="L68" s="16"/>
      <c r="M68" s="8"/>
      <c r="N68" s="31"/>
      <c r="O68" s="432"/>
      <c r="P68" s="365"/>
    </row>
    <row r="69" spans="1:19" s="17" customFormat="1" ht="33" customHeight="1">
      <c r="A69" s="424"/>
      <c r="B69" s="399">
        <v>46044</v>
      </c>
      <c r="C69" s="4" t="s">
        <v>4457</v>
      </c>
      <c r="D69" s="4" t="s">
        <v>4398</v>
      </c>
      <c r="E69" s="193" t="s">
        <v>622</v>
      </c>
      <c r="F69" s="31" t="s">
        <v>2834</v>
      </c>
      <c r="G69" s="16" t="s">
        <v>4399</v>
      </c>
      <c r="H69" s="193" t="s">
        <v>4492</v>
      </c>
      <c r="I69" s="31" t="s">
        <v>4400</v>
      </c>
      <c r="J69" s="31"/>
      <c r="K69" s="125" t="s">
        <v>4401</v>
      </c>
      <c r="L69" s="16"/>
      <c r="M69" s="8">
        <v>2</v>
      </c>
      <c r="N69" s="31"/>
      <c r="O69" s="431" t="s">
        <v>4404</v>
      </c>
      <c r="P69" s="365"/>
    </row>
    <row r="70" spans="1:19" s="17" customFormat="1" ht="33" customHeight="1">
      <c r="A70" s="424"/>
      <c r="B70" s="399">
        <v>46044</v>
      </c>
      <c r="C70" s="4" t="s">
        <v>21</v>
      </c>
      <c r="D70" s="4" t="s">
        <v>17</v>
      </c>
      <c r="E70" s="193" t="s">
        <v>78</v>
      </c>
      <c r="F70" s="31">
        <v>7060</v>
      </c>
      <c r="G70" s="16" t="s">
        <v>4559</v>
      </c>
      <c r="H70" s="193" t="s">
        <v>4485</v>
      </c>
      <c r="I70" s="31"/>
      <c r="J70" s="31" t="s">
        <v>4484</v>
      </c>
      <c r="K70" s="125" t="s">
        <v>15</v>
      </c>
      <c r="L70" s="16"/>
      <c r="M70" s="8">
        <v>3</v>
      </c>
      <c r="N70" s="31"/>
      <c r="O70" s="428" t="s">
        <v>4481</v>
      </c>
      <c r="P70" s="365"/>
    </row>
    <row r="71" spans="1:19" s="17" customFormat="1" ht="33" customHeight="1">
      <c r="A71" s="424"/>
      <c r="B71" s="399">
        <v>46044</v>
      </c>
      <c r="C71" s="4" t="s">
        <v>21</v>
      </c>
      <c r="D71" s="4" t="s">
        <v>17</v>
      </c>
      <c r="E71" s="193" t="s">
        <v>78</v>
      </c>
      <c r="F71" s="31">
        <v>7060</v>
      </c>
      <c r="G71" s="16" t="s">
        <v>4558</v>
      </c>
      <c r="H71" s="193" t="s">
        <v>4487</v>
      </c>
      <c r="I71" s="31"/>
      <c r="J71" s="31" t="s">
        <v>4482</v>
      </c>
      <c r="K71" s="125" t="s">
        <v>15</v>
      </c>
      <c r="L71" s="16"/>
      <c r="M71" s="8">
        <v>1</v>
      </c>
      <c r="N71" s="31"/>
      <c r="O71" s="431" t="s">
        <v>4483</v>
      </c>
      <c r="P71" s="365"/>
    </row>
    <row r="72" spans="1:19" s="17" customFormat="1" ht="33" customHeight="1">
      <c r="A72" s="424"/>
      <c r="B72" s="399">
        <v>46045</v>
      </c>
      <c r="C72" s="4" t="s">
        <v>21</v>
      </c>
      <c r="D72" s="4" t="s">
        <v>14</v>
      </c>
      <c r="E72" s="6" t="s">
        <v>4464</v>
      </c>
      <c r="F72" s="6" t="s">
        <v>4522</v>
      </c>
      <c r="G72" s="277" t="s">
        <v>4523</v>
      </c>
      <c r="H72" s="125" t="s">
        <v>4524</v>
      </c>
      <c r="I72" s="6"/>
      <c r="J72" s="6" t="s">
        <v>4490</v>
      </c>
      <c r="K72" s="125" t="s">
        <v>15</v>
      </c>
      <c r="L72" s="277">
        <v>9080</v>
      </c>
      <c r="M72" s="417">
        <v>3</v>
      </c>
      <c r="N72" s="6"/>
      <c r="O72" s="437" t="s">
        <v>4491</v>
      </c>
      <c r="P72" s="365"/>
    </row>
    <row r="73" spans="1:19" s="17" customFormat="1" ht="33" customHeight="1">
      <c r="A73" s="424"/>
      <c r="B73" s="399">
        <v>46045</v>
      </c>
      <c r="C73" s="4"/>
      <c r="D73" s="4"/>
      <c r="E73" s="31"/>
      <c r="F73" s="31"/>
      <c r="G73" s="16"/>
      <c r="H73" s="193"/>
      <c r="I73" s="193"/>
      <c r="J73" s="193"/>
      <c r="K73" s="125"/>
      <c r="L73" s="16"/>
      <c r="M73" s="8"/>
      <c r="N73" s="193"/>
      <c r="O73" s="438"/>
      <c r="P73" s="365"/>
    </row>
    <row r="74" spans="1:19" s="17" customFormat="1" ht="33" customHeight="1">
      <c r="A74" s="424"/>
      <c r="B74" s="399">
        <v>46046</v>
      </c>
      <c r="C74" s="4"/>
      <c r="D74" s="4"/>
      <c r="E74" s="31"/>
      <c r="F74" s="31"/>
      <c r="G74" s="16"/>
      <c r="H74" s="193"/>
      <c r="I74" s="193"/>
      <c r="J74" s="193"/>
      <c r="K74" s="125"/>
      <c r="L74" s="16"/>
      <c r="M74" s="8"/>
      <c r="N74" s="193"/>
      <c r="O74" s="438"/>
      <c r="P74" s="941"/>
      <c r="Q74" s="942"/>
      <c r="R74" s="942"/>
      <c r="S74" s="942"/>
    </row>
    <row r="75" spans="1:19" s="17" customFormat="1" ht="33" customHeight="1">
      <c r="A75" s="425"/>
      <c r="B75" s="399">
        <v>46046</v>
      </c>
      <c r="C75" s="4"/>
      <c r="D75" s="4"/>
      <c r="E75" s="31"/>
      <c r="F75" s="31"/>
      <c r="G75" s="16"/>
      <c r="H75" s="193"/>
      <c r="I75" s="193"/>
      <c r="J75" s="193"/>
      <c r="K75" s="125"/>
      <c r="L75" s="16"/>
      <c r="M75" s="8"/>
      <c r="N75" s="31"/>
      <c r="O75" s="432"/>
      <c r="P75" s="365"/>
    </row>
    <row r="76" spans="1:19" s="17" customFormat="1" ht="33" customHeight="1">
      <c r="A76" s="426" t="s">
        <v>0</v>
      </c>
      <c r="B76" s="323" t="s">
        <v>1</v>
      </c>
      <c r="C76" s="322" t="s">
        <v>2</v>
      </c>
      <c r="D76" s="322" t="s">
        <v>3</v>
      </c>
      <c r="E76" s="322" t="s">
        <v>4</v>
      </c>
      <c r="F76" s="322" t="s">
        <v>5</v>
      </c>
      <c r="G76" s="322" t="s">
        <v>6</v>
      </c>
      <c r="H76" s="324" t="s">
        <v>7</v>
      </c>
      <c r="I76" s="322" t="s">
        <v>8</v>
      </c>
      <c r="J76" s="322" t="s">
        <v>9</v>
      </c>
      <c r="K76" s="325" t="s">
        <v>10</v>
      </c>
      <c r="L76" s="326" t="s">
        <v>11</v>
      </c>
      <c r="M76" s="322" t="s">
        <v>12</v>
      </c>
      <c r="N76" s="327" t="s">
        <v>13</v>
      </c>
      <c r="O76" s="427" t="s">
        <v>63</v>
      </c>
      <c r="P76" s="365"/>
    </row>
    <row r="77" spans="1:19" s="17" customFormat="1" ht="33" customHeight="1">
      <c r="A77" s="423" t="s">
        <v>4449</v>
      </c>
      <c r="B77" s="399">
        <v>46048</v>
      </c>
      <c r="C77" s="4" t="s">
        <v>3407</v>
      </c>
      <c r="D77" s="4" t="s">
        <v>3408</v>
      </c>
      <c r="E77" s="31" t="s">
        <v>3406</v>
      </c>
      <c r="F77" s="193">
        <v>3006</v>
      </c>
      <c r="G77" s="16" t="s">
        <v>3409</v>
      </c>
      <c r="H77" s="314" t="s">
        <v>4528</v>
      </c>
      <c r="I77" s="31"/>
      <c r="J77" s="31" t="s">
        <v>3410</v>
      </c>
      <c r="K77" s="125" t="s">
        <v>4403</v>
      </c>
      <c r="L77" s="16"/>
      <c r="M77" s="8">
        <v>2</v>
      </c>
      <c r="N77" s="31"/>
      <c r="O77" s="431" t="s">
        <v>4441</v>
      </c>
      <c r="P77" s="713" t="s">
        <v>4335</v>
      </c>
    </row>
    <row r="78" spans="1:19" s="17" customFormat="1" ht="33" customHeight="1">
      <c r="A78" s="424"/>
      <c r="B78" s="399">
        <v>46048</v>
      </c>
      <c r="C78" s="4" t="s">
        <v>4458</v>
      </c>
      <c r="D78" s="4" t="s">
        <v>4454</v>
      </c>
      <c r="E78" s="193" t="s">
        <v>4533</v>
      </c>
      <c r="F78" s="31" t="s">
        <v>4455</v>
      </c>
      <c r="G78" s="16" t="s">
        <v>4459</v>
      </c>
      <c r="H78" s="193" t="s">
        <v>4531</v>
      </c>
      <c r="I78" s="31" t="s">
        <v>4456</v>
      </c>
      <c r="J78" s="31"/>
      <c r="K78" s="125" t="s">
        <v>15</v>
      </c>
      <c r="L78" s="16" t="s">
        <v>4525</v>
      </c>
      <c r="M78" s="8">
        <v>2</v>
      </c>
      <c r="N78" s="31"/>
      <c r="O78" s="431" t="s">
        <v>4532</v>
      </c>
      <c r="P78" s="365"/>
    </row>
    <row r="79" spans="1:19" s="17" customFormat="1" ht="33" customHeight="1">
      <c r="A79" s="424"/>
      <c r="B79" s="399">
        <v>46048</v>
      </c>
      <c r="C79" s="59" t="s">
        <v>21</v>
      </c>
      <c r="D79" s="59" t="s">
        <v>17</v>
      </c>
      <c r="E79" s="311" t="s">
        <v>78</v>
      </c>
      <c r="F79" s="311" t="s">
        <v>1645</v>
      </c>
      <c r="G79" s="197" t="s">
        <v>23</v>
      </c>
      <c r="H79" s="310" t="s">
        <v>4479</v>
      </c>
      <c r="I79" s="311" t="s">
        <v>4474</v>
      </c>
      <c r="J79" s="311" t="s">
        <v>4480</v>
      </c>
      <c r="K79" s="309" t="s">
        <v>15</v>
      </c>
      <c r="L79" s="197"/>
      <c r="M79" s="182">
        <v>4</v>
      </c>
      <c r="N79" s="311"/>
      <c r="O79" s="439" t="s">
        <v>4475</v>
      </c>
      <c r="P79" s="365"/>
    </row>
    <row r="80" spans="1:19" s="17" customFormat="1" ht="33" customHeight="1">
      <c r="A80" s="424"/>
      <c r="B80" s="399">
        <v>46049</v>
      </c>
      <c r="C80" s="4" t="s">
        <v>3407</v>
      </c>
      <c r="D80" s="4" t="s">
        <v>3408</v>
      </c>
      <c r="E80" s="31" t="s">
        <v>3406</v>
      </c>
      <c r="F80" s="193">
        <v>3006</v>
      </c>
      <c r="G80" s="16" t="s">
        <v>3409</v>
      </c>
      <c r="H80" s="314" t="s">
        <v>4440</v>
      </c>
      <c r="I80" s="31"/>
      <c r="J80" s="31" t="s">
        <v>3410</v>
      </c>
      <c r="K80" s="125" t="s">
        <v>4402</v>
      </c>
      <c r="L80" s="16"/>
      <c r="M80" s="8">
        <v>2</v>
      </c>
      <c r="N80" s="193" t="s">
        <v>4535</v>
      </c>
      <c r="O80" s="431" t="s">
        <v>4441</v>
      </c>
      <c r="P80" s="714"/>
    </row>
    <row r="81" spans="1:19" s="17" customFormat="1" ht="33" customHeight="1">
      <c r="A81" s="424"/>
      <c r="B81" s="399">
        <v>46049</v>
      </c>
      <c r="C81" s="4" t="s">
        <v>24</v>
      </c>
      <c r="D81" s="4" t="s">
        <v>4624</v>
      </c>
      <c r="E81" s="193" t="s">
        <v>4439</v>
      </c>
      <c r="F81" s="31">
        <v>222003</v>
      </c>
      <c r="G81" s="16" t="s">
        <v>4477</v>
      </c>
      <c r="H81" s="314" t="s">
        <v>4732</v>
      </c>
      <c r="I81" s="31" t="s">
        <v>4400</v>
      </c>
      <c r="J81" s="31" t="s">
        <v>4476</v>
      </c>
      <c r="K81" s="125" t="s">
        <v>15</v>
      </c>
      <c r="L81" s="16">
        <v>8585</v>
      </c>
      <c r="M81" s="8">
        <v>4</v>
      </c>
      <c r="N81" s="31"/>
      <c r="O81" s="431" t="s">
        <v>4530</v>
      </c>
      <c r="P81" s="714"/>
    </row>
    <row r="82" spans="1:19" s="17" customFormat="1" ht="33" customHeight="1">
      <c r="A82" s="424"/>
      <c r="B82" s="399">
        <v>46049</v>
      </c>
      <c r="C82" s="4" t="s">
        <v>21</v>
      </c>
      <c r="D82" s="4" t="s">
        <v>14</v>
      </c>
      <c r="E82" s="193" t="s">
        <v>4519</v>
      </c>
      <c r="F82" s="31" t="s">
        <v>108</v>
      </c>
      <c r="G82" s="16" t="s">
        <v>4518</v>
      </c>
      <c r="H82" s="314" t="s">
        <v>4731</v>
      </c>
      <c r="I82" s="31" t="s">
        <v>4520</v>
      </c>
      <c r="J82" s="31" t="s">
        <v>4526</v>
      </c>
      <c r="K82" s="125" t="s">
        <v>15</v>
      </c>
      <c r="L82" s="16">
        <v>9080</v>
      </c>
      <c r="M82" s="8">
        <v>2</v>
      </c>
      <c r="N82" s="31"/>
      <c r="O82" s="431" t="s">
        <v>4527</v>
      </c>
      <c r="P82" s="714"/>
    </row>
    <row r="83" spans="1:19" s="17" customFormat="1" ht="33" customHeight="1">
      <c r="A83" s="424"/>
      <c r="B83" s="399">
        <v>46050</v>
      </c>
      <c r="C83" s="59" t="s">
        <v>21</v>
      </c>
      <c r="D83" s="59" t="s">
        <v>3264</v>
      </c>
      <c r="E83" s="311" t="s">
        <v>1787</v>
      </c>
      <c r="F83" s="311" t="s">
        <v>2135</v>
      </c>
      <c r="G83" s="197" t="s">
        <v>1306</v>
      </c>
      <c r="H83" s="310" t="s">
        <v>4442</v>
      </c>
      <c r="I83" s="311" t="s">
        <v>4536</v>
      </c>
      <c r="J83" s="310"/>
      <c r="K83" s="309" t="s">
        <v>3265</v>
      </c>
      <c r="L83" s="197"/>
      <c r="M83" s="182">
        <v>2</v>
      </c>
      <c r="N83" s="422" t="s">
        <v>4471</v>
      </c>
      <c r="O83" s="440" t="s">
        <v>4537</v>
      </c>
      <c r="P83" s="941"/>
      <c r="Q83" s="942"/>
      <c r="R83" s="942"/>
      <c r="S83" s="942"/>
    </row>
    <row r="84" spans="1:19" s="17" customFormat="1" ht="33" customHeight="1">
      <c r="A84" s="424"/>
      <c r="B84" s="399">
        <v>46050</v>
      </c>
      <c r="C84" s="4" t="s">
        <v>21</v>
      </c>
      <c r="D84" s="4" t="s">
        <v>14</v>
      </c>
      <c r="E84" s="31" t="s">
        <v>211</v>
      </c>
      <c r="F84" s="31" t="s">
        <v>2916</v>
      </c>
      <c r="G84" s="16" t="s">
        <v>2917</v>
      </c>
      <c r="H84" s="193" t="s">
        <v>4733</v>
      </c>
      <c r="I84" s="31" t="s">
        <v>4510</v>
      </c>
      <c r="J84" s="31" t="s">
        <v>4509</v>
      </c>
      <c r="K84" s="125" t="s">
        <v>15</v>
      </c>
      <c r="L84" s="16">
        <v>8585</v>
      </c>
      <c r="M84" s="8">
        <v>2</v>
      </c>
      <c r="N84" s="31"/>
      <c r="O84" s="428" t="s">
        <v>4545</v>
      </c>
      <c r="P84" s="714"/>
    </row>
    <row r="85" spans="1:19" s="17" customFormat="1" ht="33" customHeight="1">
      <c r="A85" s="424"/>
      <c r="B85" s="399">
        <v>46050</v>
      </c>
      <c r="C85" s="4" t="s">
        <v>21</v>
      </c>
      <c r="D85" s="4" t="s">
        <v>17</v>
      </c>
      <c r="E85" s="193" t="s">
        <v>4544</v>
      </c>
      <c r="F85" s="291" t="s">
        <v>4397</v>
      </c>
      <c r="G85" s="16" t="s">
        <v>23</v>
      </c>
      <c r="H85" s="193" t="s">
        <v>4546</v>
      </c>
      <c r="I85" s="31" t="s">
        <v>90</v>
      </c>
      <c r="J85" s="193"/>
      <c r="K85" s="125" t="s">
        <v>15</v>
      </c>
      <c r="L85" s="16">
        <v>9080</v>
      </c>
      <c r="M85" s="8">
        <v>1</v>
      </c>
      <c r="N85" s="31"/>
      <c r="O85" s="429" t="s">
        <v>4538</v>
      </c>
      <c r="P85" s="941"/>
      <c r="Q85" s="942"/>
      <c r="R85" s="942"/>
      <c r="S85" s="942"/>
    </row>
    <row r="86" spans="1:19" s="17" customFormat="1" ht="33" customHeight="1">
      <c r="A86" s="424"/>
      <c r="B86" s="399">
        <v>46051</v>
      </c>
      <c r="C86" s="4" t="s">
        <v>21</v>
      </c>
      <c r="D86" s="4" t="s">
        <v>14</v>
      </c>
      <c r="E86" s="193" t="s">
        <v>3379</v>
      </c>
      <c r="F86" s="31">
        <v>222003</v>
      </c>
      <c r="G86" s="16" t="s">
        <v>4488</v>
      </c>
      <c r="H86" s="193" t="s">
        <v>4554</v>
      </c>
      <c r="I86" s="31" t="s">
        <v>4489</v>
      </c>
      <c r="J86" s="31"/>
      <c r="K86" s="125" t="s">
        <v>15</v>
      </c>
      <c r="L86" s="16" t="s">
        <v>4550</v>
      </c>
      <c r="M86" s="8">
        <v>1</v>
      </c>
      <c r="N86" s="422" t="s">
        <v>4444</v>
      </c>
      <c r="O86" s="428" t="s">
        <v>4529</v>
      </c>
      <c r="P86" s="365"/>
    </row>
    <row r="87" spans="1:19" s="17" customFormat="1" ht="33" customHeight="1">
      <c r="A87" s="424"/>
      <c r="B87" s="399">
        <v>46051</v>
      </c>
      <c r="C87" s="4" t="s">
        <v>21</v>
      </c>
      <c r="D87" s="4" t="s">
        <v>4514</v>
      </c>
      <c r="E87" s="31" t="s">
        <v>1893</v>
      </c>
      <c r="F87" s="31" t="s">
        <v>4516</v>
      </c>
      <c r="G87" s="16"/>
      <c r="H87" s="193" t="s">
        <v>4742</v>
      </c>
      <c r="I87" s="31"/>
      <c r="J87" s="31" t="s">
        <v>4534</v>
      </c>
      <c r="K87" s="125" t="s">
        <v>4513</v>
      </c>
      <c r="L87" s="16">
        <v>9080</v>
      </c>
      <c r="M87" s="8">
        <v>2</v>
      </c>
      <c r="N87" s="31"/>
      <c r="O87" s="428" t="s">
        <v>4539</v>
      </c>
      <c r="P87" s="365" t="s">
        <v>4743</v>
      </c>
    </row>
    <row r="88" spans="1:19" s="17" customFormat="1" ht="33" customHeight="1">
      <c r="A88" s="424"/>
      <c r="B88" s="399">
        <v>46052</v>
      </c>
      <c r="C88" s="4" t="s">
        <v>21</v>
      </c>
      <c r="D88" s="4" t="s">
        <v>14</v>
      </c>
      <c r="E88" s="31" t="s">
        <v>4547</v>
      </c>
      <c r="F88" s="31" t="s">
        <v>4466</v>
      </c>
      <c r="G88" s="16" t="s">
        <v>4473</v>
      </c>
      <c r="H88" s="291" t="s">
        <v>4587</v>
      </c>
      <c r="I88" s="31" t="s">
        <v>4467</v>
      </c>
      <c r="J88" s="31" t="s">
        <v>4468</v>
      </c>
      <c r="K88" s="125" t="s">
        <v>4469</v>
      </c>
      <c r="L88" s="16"/>
      <c r="M88" s="8">
        <v>2</v>
      </c>
      <c r="N88" s="31" t="s">
        <v>4472</v>
      </c>
      <c r="O88" s="428" t="s">
        <v>4542</v>
      </c>
      <c r="P88" s="365"/>
    </row>
    <row r="89" spans="1:19" s="17" customFormat="1" ht="33" customHeight="1">
      <c r="A89" s="424"/>
      <c r="B89" s="399">
        <v>46052</v>
      </c>
      <c r="C89" s="4" t="s">
        <v>21</v>
      </c>
      <c r="D89" s="4" t="s">
        <v>4514</v>
      </c>
      <c r="E89" s="31" t="s">
        <v>4515</v>
      </c>
      <c r="F89" s="31" t="s">
        <v>4516</v>
      </c>
      <c r="G89" s="16"/>
      <c r="H89" s="193" t="s">
        <v>4570</v>
      </c>
      <c r="I89" s="31"/>
      <c r="J89" s="31" t="s">
        <v>4534</v>
      </c>
      <c r="K89" s="125" t="s">
        <v>4513</v>
      </c>
      <c r="L89" s="16">
        <v>9080</v>
      </c>
      <c r="M89" s="8">
        <v>2</v>
      </c>
      <c r="N89" s="31"/>
      <c r="O89" s="428" t="s">
        <v>4561</v>
      </c>
      <c r="P89" s="365" t="s">
        <v>4743</v>
      </c>
    </row>
    <row r="90" spans="1:19" s="17" customFormat="1" ht="33" customHeight="1">
      <c r="A90" s="424"/>
      <c r="B90" s="399">
        <v>46053</v>
      </c>
      <c r="C90" s="4"/>
      <c r="D90" s="4"/>
      <c r="E90" s="31"/>
      <c r="F90" s="31"/>
      <c r="G90" s="16"/>
      <c r="H90" s="193"/>
      <c r="I90" s="193"/>
      <c r="J90" s="193"/>
      <c r="K90" s="125"/>
      <c r="L90" s="16"/>
      <c r="M90" s="8"/>
      <c r="N90" s="314" t="s">
        <v>4444</v>
      </c>
      <c r="O90" s="438"/>
      <c r="P90" s="365"/>
    </row>
    <row r="91" spans="1:19" s="17" customFormat="1" ht="33" customHeight="1">
      <c r="A91" s="425"/>
      <c r="B91" s="399">
        <v>46053</v>
      </c>
      <c r="C91" s="4"/>
      <c r="D91" s="4"/>
      <c r="E91" s="31"/>
      <c r="F91" s="31"/>
      <c r="G91" s="16"/>
      <c r="H91" s="193"/>
      <c r="I91" s="193"/>
      <c r="J91" s="193"/>
      <c r="K91" s="125"/>
      <c r="L91" s="16"/>
      <c r="M91" s="8"/>
      <c r="N91" s="31"/>
      <c r="O91" s="432"/>
      <c r="P91" s="365"/>
    </row>
    <row r="92" spans="1:19" s="17" customFormat="1" ht="33" customHeight="1">
      <c r="A92" s="426" t="s">
        <v>0</v>
      </c>
      <c r="B92" s="323" t="s">
        <v>1</v>
      </c>
      <c r="C92" s="322" t="s">
        <v>2</v>
      </c>
      <c r="D92" s="322" t="s">
        <v>3</v>
      </c>
      <c r="E92" s="322" t="s">
        <v>4</v>
      </c>
      <c r="F92" s="322" t="s">
        <v>5</v>
      </c>
      <c r="G92" s="322" t="s">
        <v>6</v>
      </c>
      <c r="H92" s="324" t="s">
        <v>7</v>
      </c>
      <c r="I92" s="322" t="s">
        <v>8</v>
      </c>
      <c r="J92" s="322" t="s">
        <v>9</v>
      </c>
      <c r="K92" s="325" t="s">
        <v>10</v>
      </c>
      <c r="L92" s="326" t="s">
        <v>11</v>
      </c>
      <c r="M92" s="322" t="s">
        <v>12</v>
      </c>
      <c r="N92" s="327" t="s">
        <v>13</v>
      </c>
      <c r="O92" s="427" t="s">
        <v>63</v>
      </c>
      <c r="P92" s="365"/>
    </row>
    <row r="93" spans="1:19" s="17" customFormat="1" ht="33" customHeight="1">
      <c r="A93" s="423" t="s">
        <v>4450</v>
      </c>
      <c r="B93" s="399">
        <v>46055</v>
      </c>
      <c r="C93" s="4" t="s">
        <v>21</v>
      </c>
      <c r="D93" s="4" t="s">
        <v>17</v>
      </c>
      <c r="E93" s="6" t="s">
        <v>4321</v>
      </c>
      <c r="F93" s="6">
        <v>1017</v>
      </c>
      <c r="G93" s="277" t="s">
        <v>23</v>
      </c>
      <c r="H93" s="193" t="s">
        <v>4734</v>
      </c>
      <c r="I93" s="193"/>
      <c r="J93" s="193" t="s">
        <v>4571</v>
      </c>
      <c r="K93" s="125" t="s">
        <v>15</v>
      </c>
      <c r="L93" s="16">
        <v>8585</v>
      </c>
      <c r="M93" s="8">
        <v>1</v>
      </c>
      <c r="N93" s="31" t="s">
        <v>4517</v>
      </c>
      <c r="O93" s="430" t="s">
        <v>4324</v>
      </c>
      <c r="P93" s="941" t="s">
        <v>4390</v>
      </c>
      <c r="Q93" s="942"/>
      <c r="R93" s="942"/>
      <c r="S93" s="942"/>
    </row>
    <row r="94" spans="1:19" s="17" customFormat="1" ht="33" customHeight="1">
      <c r="A94" s="424"/>
      <c r="B94" s="399">
        <v>46055</v>
      </c>
      <c r="C94" s="4" t="s">
        <v>21</v>
      </c>
      <c r="D94" s="4" t="s">
        <v>14</v>
      </c>
      <c r="E94" s="314" t="s">
        <v>4565</v>
      </c>
      <c r="F94" s="193" t="s">
        <v>4552</v>
      </c>
      <c r="G94" s="16" t="s">
        <v>4553</v>
      </c>
      <c r="H94" s="193" t="s">
        <v>4592</v>
      </c>
      <c r="I94" s="31" t="s">
        <v>4551</v>
      </c>
      <c r="J94" s="31"/>
      <c r="K94" s="125" t="s">
        <v>15</v>
      </c>
      <c r="L94" s="16"/>
      <c r="M94" s="8">
        <v>1</v>
      </c>
      <c r="N94" s="31" t="s">
        <v>4583</v>
      </c>
      <c r="O94" s="431" t="s">
        <v>4564</v>
      </c>
      <c r="P94" s="365"/>
    </row>
    <row r="95" spans="1:19" s="17" customFormat="1" ht="33" customHeight="1">
      <c r="A95" s="424"/>
      <c r="B95" s="399">
        <v>46056</v>
      </c>
      <c r="C95" s="4" t="s">
        <v>21</v>
      </c>
      <c r="D95" s="4" t="s">
        <v>17</v>
      </c>
      <c r="E95" s="6" t="s">
        <v>4321</v>
      </c>
      <c r="F95" s="6">
        <v>1017</v>
      </c>
      <c r="G95" s="277" t="s">
        <v>23</v>
      </c>
      <c r="H95" s="193" t="s">
        <v>4735</v>
      </c>
      <c r="I95" s="193"/>
      <c r="J95" s="193" t="s">
        <v>4571</v>
      </c>
      <c r="K95" s="125" t="s">
        <v>15</v>
      </c>
      <c r="L95" s="16">
        <v>8585</v>
      </c>
      <c r="M95" s="8">
        <v>1</v>
      </c>
      <c r="N95" s="31" t="s">
        <v>4605</v>
      </c>
      <c r="O95" s="430" t="s">
        <v>4563</v>
      </c>
      <c r="P95" s="365"/>
    </row>
    <row r="96" spans="1:19" s="17" customFormat="1" ht="33" customHeight="1">
      <c r="A96" s="424"/>
      <c r="B96" s="399">
        <v>46056</v>
      </c>
      <c r="C96" s="4" t="s">
        <v>21</v>
      </c>
      <c r="D96" s="4" t="s">
        <v>14</v>
      </c>
      <c r="E96" s="31" t="s">
        <v>1893</v>
      </c>
      <c r="F96" s="31" t="s">
        <v>3589</v>
      </c>
      <c r="G96" s="16"/>
      <c r="H96" s="193" t="s">
        <v>4609</v>
      </c>
      <c r="I96" s="193" t="s">
        <v>4560</v>
      </c>
      <c r="J96" s="193"/>
      <c r="K96" s="125" t="s">
        <v>15</v>
      </c>
      <c r="L96" s="16">
        <v>9080</v>
      </c>
      <c r="M96" s="8">
        <v>1</v>
      </c>
      <c r="N96" s="422"/>
      <c r="O96" s="430" t="s">
        <v>4562</v>
      </c>
      <c r="P96" s="365"/>
    </row>
    <row r="97" spans="1:16" s="17" customFormat="1" ht="33" customHeight="1">
      <c r="A97" s="424"/>
      <c r="B97" s="399">
        <v>46056</v>
      </c>
      <c r="C97" s="4" t="s">
        <v>21</v>
      </c>
      <c r="D97" s="4" t="s">
        <v>14</v>
      </c>
      <c r="E97" s="193" t="s">
        <v>1787</v>
      </c>
      <c r="F97" s="193" t="s">
        <v>2135</v>
      </c>
      <c r="G97" s="16" t="s">
        <v>143</v>
      </c>
      <c r="H97" s="193" t="s">
        <v>4567</v>
      </c>
      <c r="I97" s="193" t="s">
        <v>90</v>
      </c>
      <c r="J97" s="193"/>
      <c r="K97" s="125" t="s">
        <v>15</v>
      </c>
      <c r="L97" s="16"/>
      <c r="M97" s="8">
        <v>1</v>
      </c>
      <c r="N97" s="314"/>
      <c r="O97" s="434" t="s">
        <v>4537</v>
      </c>
      <c r="P97" s="365"/>
    </row>
    <row r="98" spans="1:16" s="17" customFormat="1" ht="33" customHeight="1">
      <c r="A98" s="424"/>
      <c r="B98" s="399">
        <v>46056</v>
      </c>
      <c r="C98" s="4" t="s">
        <v>21</v>
      </c>
      <c r="D98" s="4" t="s">
        <v>17</v>
      </c>
      <c r="E98" s="31" t="s">
        <v>3406</v>
      </c>
      <c r="F98" s="193">
        <v>3006</v>
      </c>
      <c r="G98" s="16" t="s">
        <v>23</v>
      </c>
      <c r="H98" s="314" t="s">
        <v>4610</v>
      </c>
      <c r="I98" s="193"/>
      <c r="J98" s="31" t="s">
        <v>4606</v>
      </c>
      <c r="K98" s="125" t="s">
        <v>15</v>
      </c>
      <c r="L98" s="16"/>
      <c r="M98" s="8">
        <v>2</v>
      </c>
      <c r="N98" s="31"/>
      <c r="O98" s="431" t="s">
        <v>4593</v>
      </c>
      <c r="P98" s="365"/>
    </row>
    <row r="99" spans="1:16" s="17" customFormat="1" ht="33" customHeight="1">
      <c r="A99" s="424"/>
      <c r="B99" s="399">
        <v>46056</v>
      </c>
      <c r="C99" s="4" t="s">
        <v>21</v>
      </c>
      <c r="D99" s="4" t="s">
        <v>14</v>
      </c>
      <c r="E99" s="193" t="s">
        <v>1787</v>
      </c>
      <c r="F99" s="193" t="s">
        <v>4596</v>
      </c>
      <c r="G99" s="16" t="s">
        <v>4590</v>
      </c>
      <c r="H99" s="314" t="s">
        <v>4612</v>
      </c>
      <c r="I99" s="193" t="s">
        <v>90</v>
      </c>
      <c r="J99" s="31" t="s">
        <v>4608</v>
      </c>
      <c r="K99" s="125" t="s">
        <v>15</v>
      </c>
      <c r="L99" s="16"/>
      <c r="M99" s="8">
        <v>2</v>
      </c>
      <c r="N99" s="31"/>
      <c r="O99" s="431" t="s">
        <v>4597</v>
      </c>
      <c r="P99" s="710" t="s">
        <v>4591</v>
      </c>
    </row>
    <row r="100" spans="1:16" s="17" customFormat="1" ht="33" customHeight="1">
      <c r="A100" s="424"/>
      <c r="B100" s="399">
        <v>46056</v>
      </c>
      <c r="C100" s="4" t="s">
        <v>21</v>
      </c>
      <c r="D100" s="4" t="s">
        <v>14</v>
      </c>
      <c r="E100" s="193" t="s">
        <v>4604</v>
      </c>
      <c r="F100" s="193" t="s">
        <v>4607</v>
      </c>
      <c r="G100" s="16" t="s">
        <v>150</v>
      </c>
      <c r="H100" s="314" t="s">
        <v>4611</v>
      </c>
      <c r="I100" s="31"/>
      <c r="J100" s="31" t="s">
        <v>1873</v>
      </c>
      <c r="K100" s="125" t="s">
        <v>15</v>
      </c>
      <c r="L100" s="16"/>
      <c r="M100" s="8">
        <v>2</v>
      </c>
      <c r="N100" s="31"/>
      <c r="O100" s="431" t="s">
        <v>4595</v>
      </c>
      <c r="P100" s="365"/>
    </row>
    <row r="101" spans="1:16" s="17" customFormat="1" ht="33" customHeight="1">
      <c r="A101" s="424"/>
      <c r="B101" s="399">
        <v>46057</v>
      </c>
      <c r="C101" s="4" t="s">
        <v>21</v>
      </c>
      <c r="D101" s="4" t="s">
        <v>14</v>
      </c>
      <c r="E101" s="31" t="s">
        <v>4603</v>
      </c>
      <c r="F101" s="31" t="s">
        <v>2817</v>
      </c>
      <c r="G101" s="16" t="s">
        <v>4601</v>
      </c>
      <c r="H101" s="193" t="s">
        <v>4617</v>
      </c>
      <c r="I101" s="31" t="s">
        <v>4615</v>
      </c>
      <c r="J101" s="31" t="s">
        <v>3074</v>
      </c>
      <c r="K101" s="125" t="s">
        <v>181</v>
      </c>
      <c r="L101" s="16"/>
      <c r="M101" s="8">
        <v>1</v>
      </c>
      <c r="N101" s="31"/>
      <c r="O101" s="430" t="s">
        <v>4566</v>
      </c>
      <c r="P101" s="365"/>
    </row>
    <row r="102" spans="1:16" s="17" customFormat="1" ht="33" customHeight="1">
      <c r="A102" s="424"/>
      <c r="B102" s="399">
        <v>46057</v>
      </c>
      <c r="C102" s="4" t="s">
        <v>21</v>
      </c>
      <c r="D102" s="4" t="s">
        <v>17</v>
      </c>
      <c r="E102" s="31" t="s">
        <v>3406</v>
      </c>
      <c r="F102" s="193">
        <v>3006</v>
      </c>
      <c r="G102" s="16" t="s">
        <v>23</v>
      </c>
      <c r="H102" s="314" t="s">
        <v>4572</v>
      </c>
      <c r="I102" s="31"/>
      <c r="J102" s="31" t="s">
        <v>4573</v>
      </c>
      <c r="K102" s="125" t="s">
        <v>15</v>
      </c>
      <c r="L102" s="16"/>
      <c r="M102" s="8">
        <v>2</v>
      </c>
      <c r="N102" s="31"/>
      <c r="O102" s="431" t="s">
        <v>4579</v>
      </c>
      <c r="P102" s="365"/>
    </row>
    <row r="103" spans="1:16" s="17" customFormat="1" ht="33" customHeight="1">
      <c r="A103" s="424"/>
      <c r="B103" s="399">
        <v>46057</v>
      </c>
      <c r="C103" s="4" t="s">
        <v>21</v>
      </c>
      <c r="D103" s="4" t="s">
        <v>14</v>
      </c>
      <c r="E103" s="31" t="s">
        <v>4618</v>
      </c>
      <c r="F103" s="193">
        <v>222003</v>
      </c>
      <c r="G103" s="16" t="s">
        <v>4619</v>
      </c>
      <c r="H103" s="314" t="s">
        <v>4736</v>
      </c>
      <c r="I103" s="31"/>
      <c r="J103" s="31" t="s">
        <v>4620</v>
      </c>
      <c r="K103" s="125" t="s">
        <v>15</v>
      </c>
      <c r="L103" s="16"/>
      <c r="M103" s="8">
        <v>1</v>
      </c>
      <c r="N103" s="31"/>
      <c r="O103" s="431" t="s">
        <v>4621</v>
      </c>
      <c r="P103" s="365"/>
    </row>
    <row r="104" spans="1:16" s="17" customFormat="1" ht="33" customHeight="1">
      <c r="A104" s="424"/>
      <c r="B104" s="399">
        <v>46058</v>
      </c>
      <c r="C104" s="4" t="s">
        <v>21</v>
      </c>
      <c r="D104" s="4" t="s">
        <v>14</v>
      </c>
      <c r="E104" s="31" t="s">
        <v>4547</v>
      </c>
      <c r="F104" s="31" t="s">
        <v>2817</v>
      </c>
      <c r="G104" s="16" t="s">
        <v>4600</v>
      </c>
      <c r="H104" s="314" t="s">
        <v>4626</v>
      </c>
      <c r="I104" s="31"/>
      <c r="J104" s="31" t="s">
        <v>4543</v>
      </c>
      <c r="K104" s="125" t="s">
        <v>32</v>
      </c>
      <c r="L104" s="16"/>
      <c r="M104" s="8">
        <v>2</v>
      </c>
      <c r="N104" s="31" t="s">
        <v>4628</v>
      </c>
      <c r="O104" s="430" t="s">
        <v>4594</v>
      </c>
      <c r="P104" s="365"/>
    </row>
    <row r="105" spans="1:16" s="17" customFormat="1" ht="33" customHeight="1">
      <c r="A105" s="424"/>
      <c r="B105" s="399">
        <v>46058</v>
      </c>
      <c r="C105" s="4" t="s">
        <v>21</v>
      </c>
      <c r="D105" s="4" t="s">
        <v>14</v>
      </c>
      <c r="E105" s="31" t="s">
        <v>4547</v>
      </c>
      <c r="F105" s="31" t="s">
        <v>2817</v>
      </c>
      <c r="G105" s="16" t="s">
        <v>4600</v>
      </c>
      <c r="H105" s="193" t="s">
        <v>4627</v>
      </c>
      <c r="I105" s="31"/>
      <c r="J105" s="31" t="s">
        <v>4622</v>
      </c>
      <c r="K105" s="125" t="s">
        <v>32</v>
      </c>
      <c r="L105" s="16">
        <v>9080</v>
      </c>
      <c r="M105" s="8">
        <v>2</v>
      </c>
      <c r="N105" s="31"/>
      <c r="O105" s="429" t="s">
        <v>4623</v>
      </c>
      <c r="P105" s="365"/>
    </row>
    <row r="106" spans="1:16" s="17" customFormat="1" ht="33" customHeight="1">
      <c r="A106" s="424"/>
      <c r="B106" s="399">
        <v>46058</v>
      </c>
      <c r="C106" s="4" t="s">
        <v>21</v>
      </c>
      <c r="D106" s="4" t="s">
        <v>14</v>
      </c>
      <c r="E106" s="31" t="s">
        <v>4614</v>
      </c>
      <c r="F106" s="193" t="s">
        <v>3008</v>
      </c>
      <c r="G106" s="16" t="s">
        <v>1382</v>
      </c>
      <c r="H106" s="314" t="s">
        <v>4428</v>
      </c>
      <c r="I106" s="31" t="s">
        <v>202</v>
      </c>
      <c r="J106" s="31"/>
      <c r="K106" s="125" t="s">
        <v>15</v>
      </c>
      <c r="L106" s="16"/>
      <c r="M106" s="8">
        <v>1</v>
      </c>
      <c r="N106" s="31"/>
      <c r="O106" s="431"/>
      <c r="P106" s="365"/>
    </row>
    <row r="107" spans="1:16" s="17" customFormat="1" ht="33" customHeight="1">
      <c r="A107" s="424"/>
      <c r="B107" s="399">
        <v>46059</v>
      </c>
      <c r="C107" s="4" t="s">
        <v>21</v>
      </c>
      <c r="D107" s="4" t="s">
        <v>14</v>
      </c>
      <c r="E107" s="31" t="s">
        <v>4547</v>
      </c>
      <c r="F107" s="31" t="s">
        <v>2817</v>
      </c>
      <c r="G107" s="16" t="s">
        <v>1390</v>
      </c>
      <c r="H107" s="314" t="s">
        <v>4634</v>
      </c>
      <c r="I107" s="31"/>
      <c r="J107" s="31" t="s">
        <v>4632</v>
      </c>
      <c r="K107" s="125" t="s">
        <v>32</v>
      </c>
      <c r="L107" s="16"/>
      <c r="M107" s="8">
        <v>1</v>
      </c>
      <c r="N107" s="193" t="s">
        <v>4635</v>
      </c>
      <c r="O107" s="430" t="s">
        <v>4633</v>
      </c>
      <c r="P107" s="365"/>
    </row>
    <row r="108" spans="1:16" s="17" customFormat="1" ht="33" customHeight="1">
      <c r="A108" s="424"/>
      <c r="B108" s="399">
        <v>46059</v>
      </c>
      <c r="C108" s="4"/>
      <c r="D108" s="4"/>
      <c r="E108" s="31"/>
      <c r="F108" s="31"/>
      <c r="G108" s="16"/>
      <c r="H108" s="193"/>
      <c r="I108" s="31"/>
      <c r="J108" s="31"/>
      <c r="K108" s="125"/>
      <c r="L108" s="16"/>
      <c r="M108" s="8"/>
      <c r="N108" s="31"/>
      <c r="O108" s="428"/>
      <c r="P108" s="365"/>
    </row>
    <row r="109" spans="1:16" s="17" customFormat="1" ht="33" customHeight="1">
      <c r="A109" s="424"/>
      <c r="B109" s="399">
        <v>46060</v>
      </c>
      <c r="C109" s="4" t="s">
        <v>21</v>
      </c>
      <c r="D109" s="4" t="s">
        <v>14</v>
      </c>
      <c r="E109" s="291" t="s">
        <v>107</v>
      </c>
      <c r="F109" s="31" t="s">
        <v>4589</v>
      </c>
      <c r="G109" s="16" t="s">
        <v>4599</v>
      </c>
      <c r="H109" s="193" t="s">
        <v>4598</v>
      </c>
      <c r="I109" s="31"/>
      <c r="J109" s="31" t="s">
        <v>4588</v>
      </c>
      <c r="K109" s="125" t="s">
        <v>15</v>
      </c>
      <c r="L109" s="16"/>
      <c r="M109" s="8">
        <v>3</v>
      </c>
      <c r="N109" s="31"/>
      <c r="O109" s="431" t="s">
        <v>4586</v>
      </c>
      <c r="P109" s="365"/>
    </row>
    <row r="110" spans="1:16" s="17" customFormat="1" ht="33" customHeight="1">
      <c r="A110" s="425"/>
      <c r="B110" s="399">
        <v>46060</v>
      </c>
      <c r="C110" s="4"/>
      <c r="D110" s="4"/>
      <c r="E110" s="31"/>
      <c r="F110" s="31"/>
      <c r="G110" s="16"/>
      <c r="H110" s="193"/>
      <c r="I110" s="193"/>
      <c r="J110" s="193"/>
      <c r="K110" s="125"/>
      <c r="L110" s="16"/>
      <c r="M110" s="8"/>
      <c r="N110" s="31"/>
      <c r="O110" s="432"/>
      <c r="P110" s="365"/>
    </row>
    <row r="111" spans="1:16" s="17" customFormat="1" ht="33" customHeight="1">
      <c r="A111" s="426" t="s">
        <v>0</v>
      </c>
      <c r="B111" s="323" t="s">
        <v>1</v>
      </c>
      <c r="C111" s="322" t="s">
        <v>2</v>
      </c>
      <c r="D111" s="322" t="s">
        <v>3</v>
      </c>
      <c r="E111" s="322" t="s">
        <v>4</v>
      </c>
      <c r="F111" s="322" t="s">
        <v>5</v>
      </c>
      <c r="G111" s="322" t="s">
        <v>6</v>
      </c>
      <c r="H111" s="324" t="s">
        <v>7</v>
      </c>
      <c r="I111" s="322" t="s">
        <v>8</v>
      </c>
      <c r="J111" s="322" t="s">
        <v>9</v>
      </c>
      <c r="K111" s="325" t="s">
        <v>10</v>
      </c>
      <c r="L111" s="326" t="s">
        <v>11</v>
      </c>
      <c r="M111" s="322" t="s">
        <v>12</v>
      </c>
      <c r="N111" s="327" t="s">
        <v>13</v>
      </c>
      <c r="O111" s="427" t="s">
        <v>63</v>
      </c>
      <c r="P111" s="365"/>
    </row>
    <row r="112" spans="1:16" s="17" customFormat="1" ht="33" customHeight="1">
      <c r="A112" s="423" t="s">
        <v>3262</v>
      </c>
      <c r="B112" s="399">
        <v>46062</v>
      </c>
      <c r="C112" s="4" t="s">
        <v>21</v>
      </c>
      <c r="D112" s="4" t="s">
        <v>14</v>
      </c>
      <c r="E112" s="291" t="s">
        <v>107</v>
      </c>
      <c r="F112" s="31" t="s">
        <v>4576</v>
      </c>
      <c r="G112" s="16" t="s">
        <v>4578</v>
      </c>
      <c r="H112" s="193" t="s">
        <v>4577</v>
      </c>
      <c r="I112" s="31" t="s">
        <v>4584</v>
      </c>
      <c r="J112" s="193" t="s">
        <v>4645</v>
      </c>
      <c r="K112" s="125" t="s">
        <v>4625</v>
      </c>
      <c r="L112" s="16">
        <v>9080</v>
      </c>
      <c r="M112" s="8">
        <v>6</v>
      </c>
      <c r="N112" s="31"/>
      <c r="O112" s="431" t="s">
        <v>4586</v>
      </c>
      <c r="P112" s="365"/>
    </row>
    <row r="113" spans="1:16" s="17" customFormat="1" ht="33" customHeight="1">
      <c r="A113" s="424"/>
      <c r="B113" s="399">
        <v>46062</v>
      </c>
      <c r="C113" s="4"/>
      <c r="D113" s="4"/>
      <c r="E113" s="193"/>
      <c r="F113" s="31"/>
      <c r="G113" s="16"/>
      <c r="H113" s="314"/>
      <c r="I113" s="31"/>
      <c r="J113" s="193"/>
      <c r="K113" s="125"/>
      <c r="L113" s="16"/>
      <c r="M113" s="8"/>
      <c r="N113" s="31"/>
      <c r="O113" s="432"/>
      <c r="P113" s="365"/>
    </row>
    <row r="114" spans="1:16" s="17" customFormat="1" ht="33" customHeight="1">
      <c r="A114" s="424"/>
      <c r="B114" s="399">
        <v>46063</v>
      </c>
      <c r="C114" s="4" t="s">
        <v>21</v>
      </c>
      <c r="D114" s="4" t="s">
        <v>14</v>
      </c>
      <c r="E114" s="314" t="s">
        <v>1787</v>
      </c>
      <c r="F114" s="193" t="s">
        <v>2135</v>
      </c>
      <c r="G114" s="16" t="s">
        <v>142</v>
      </c>
      <c r="H114" s="193" t="s">
        <v>4737</v>
      </c>
      <c r="I114" s="31" t="s">
        <v>4630</v>
      </c>
      <c r="J114" s="31" t="s">
        <v>3403</v>
      </c>
      <c r="K114" s="125" t="s">
        <v>66</v>
      </c>
      <c r="L114" s="16"/>
      <c r="M114" s="8">
        <v>3</v>
      </c>
      <c r="N114" s="31" t="s">
        <v>90</v>
      </c>
      <c r="O114" s="428" t="s">
        <v>4629</v>
      </c>
      <c r="P114" s="365"/>
    </row>
    <row r="115" spans="1:16" s="17" customFormat="1" ht="33" customHeight="1">
      <c r="A115" s="424"/>
      <c r="B115" s="399">
        <v>46063</v>
      </c>
      <c r="C115" s="59" t="s">
        <v>21</v>
      </c>
      <c r="D115" s="59" t="s">
        <v>4650</v>
      </c>
      <c r="E115" s="420" t="s">
        <v>4649</v>
      </c>
      <c r="F115" s="310">
        <v>222003</v>
      </c>
      <c r="G115" s="197" t="s">
        <v>4648</v>
      </c>
      <c r="H115" s="310" t="s">
        <v>4647</v>
      </c>
      <c r="I115" s="311"/>
      <c r="J115" s="311" t="s">
        <v>4651</v>
      </c>
      <c r="K115" s="309" t="s">
        <v>66</v>
      </c>
      <c r="L115" s="197"/>
      <c r="M115" s="182">
        <v>1</v>
      </c>
      <c r="N115" s="31" t="s">
        <v>4653</v>
      </c>
      <c r="O115" s="436" t="s">
        <v>4652</v>
      </c>
      <c r="P115" s="365"/>
    </row>
    <row r="116" spans="1:16" s="17" customFormat="1" ht="33" customHeight="1">
      <c r="A116" s="424"/>
      <c r="B116" s="399">
        <v>46063</v>
      </c>
      <c r="C116" s="4" t="s">
        <v>21</v>
      </c>
      <c r="D116" s="4" t="s">
        <v>14</v>
      </c>
      <c r="E116" s="291" t="s">
        <v>107</v>
      </c>
      <c r="F116" s="31" t="s">
        <v>4656</v>
      </c>
      <c r="G116" s="16" t="s">
        <v>4655</v>
      </c>
      <c r="H116" s="193" t="s">
        <v>4658</v>
      </c>
      <c r="I116" s="31"/>
      <c r="J116" s="193" t="s">
        <v>3074</v>
      </c>
      <c r="K116" s="125" t="s">
        <v>181</v>
      </c>
      <c r="L116" s="16"/>
      <c r="M116" s="8">
        <v>1</v>
      </c>
      <c r="N116" s="31"/>
      <c r="O116" s="431" t="s">
        <v>4586</v>
      </c>
      <c r="P116" s="365"/>
    </row>
    <row r="117" spans="1:16" s="17" customFormat="1" ht="33" customHeight="1">
      <c r="A117" s="424"/>
      <c r="B117" s="399">
        <v>46064</v>
      </c>
      <c r="C117" s="4" t="s">
        <v>21</v>
      </c>
      <c r="D117" s="4" t="s">
        <v>14</v>
      </c>
      <c r="E117" s="291" t="s">
        <v>107</v>
      </c>
      <c r="F117" s="31" t="s">
        <v>141</v>
      </c>
      <c r="G117" s="16" t="s">
        <v>142</v>
      </c>
      <c r="H117" s="193" t="s">
        <v>4574</v>
      </c>
      <c r="I117" s="31" t="s">
        <v>202</v>
      </c>
      <c r="J117" s="193" t="s">
        <v>4575</v>
      </c>
      <c r="K117" s="125" t="s">
        <v>181</v>
      </c>
      <c r="L117" s="16">
        <v>9080</v>
      </c>
      <c r="M117" s="8">
        <v>6</v>
      </c>
      <c r="N117" s="31"/>
      <c r="O117" s="431" t="s">
        <v>4646</v>
      </c>
      <c r="P117" s="365"/>
    </row>
    <row r="118" spans="1:16" s="17" customFormat="1" ht="33" customHeight="1">
      <c r="A118" s="424"/>
      <c r="B118" s="399">
        <v>46064</v>
      </c>
      <c r="C118" s="4" t="s">
        <v>21</v>
      </c>
      <c r="D118" s="4" t="s">
        <v>17</v>
      </c>
      <c r="E118" s="193" t="s">
        <v>78</v>
      </c>
      <c r="F118" s="31">
        <v>7060</v>
      </c>
      <c r="G118" s="16" t="s">
        <v>2854</v>
      </c>
      <c r="H118" s="314" t="s">
        <v>4631</v>
      </c>
      <c r="I118" s="31" t="s">
        <v>90</v>
      </c>
      <c r="J118" s="193" t="s">
        <v>3075</v>
      </c>
      <c r="K118" s="125" t="s">
        <v>32</v>
      </c>
      <c r="L118" s="16"/>
      <c r="M118" s="8">
        <v>2</v>
      </c>
      <c r="N118" s="31"/>
      <c r="O118" s="429" t="s">
        <v>4654</v>
      </c>
      <c r="P118" s="365"/>
    </row>
    <row r="119" spans="1:16" s="17" customFormat="1" ht="33" customHeight="1">
      <c r="A119" s="424"/>
      <c r="B119" s="399">
        <v>46065</v>
      </c>
      <c r="C119" s="4" t="s">
        <v>21</v>
      </c>
      <c r="D119" s="4" t="s">
        <v>14</v>
      </c>
      <c r="E119" s="291" t="s">
        <v>107</v>
      </c>
      <c r="F119" s="31" t="s">
        <v>141</v>
      </c>
      <c r="G119" s="16" t="s">
        <v>142</v>
      </c>
      <c r="H119" s="193" t="s">
        <v>4574</v>
      </c>
      <c r="I119" s="31" t="s">
        <v>202</v>
      </c>
      <c r="J119" s="193" t="s">
        <v>4575</v>
      </c>
      <c r="K119" s="125" t="s">
        <v>181</v>
      </c>
      <c r="L119" s="16">
        <v>9080</v>
      </c>
      <c r="M119" s="8">
        <v>6</v>
      </c>
      <c r="N119" s="31" t="s">
        <v>4643</v>
      </c>
      <c r="O119" s="431" t="s">
        <v>4646</v>
      </c>
      <c r="P119" s="365"/>
    </row>
    <row r="120" spans="1:16" s="17" customFormat="1" ht="33" customHeight="1">
      <c r="A120" s="424"/>
      <c r="B120" s="399">
        <v>46065</v>
      </c>
      <c r="C120" s="4"/>
      <c r="D120" s="4"/>
      <c r="E120" s="291"/>
      <c r="F120" s="31"/>
      <c r="G120" s="16"/>
      <c r="H120" s="193"/>
      <c r="I120" s="31"/>
      <c r="J120" s="31"/>
      <c r="K120" s="125"/>
      <c r="L120" s="16"/>
      <c r="M120" s="8"/>
      <c r="N120" s="31"/>
      <c r="O120" s="432"/>
      <c r="P120" s="365"/>
    </row>
    <row r="121" spans="1:16" s="17" customFormat="1" ht="33" customHeight="1">
      <c r="A121" s="424"/>
      <c r="B121" s="399">
        <v>46066</v>
      </c>
      <c r="C121" s="4" t="s">
        <v>21</v>
      </c>
      <c r="D121" s="4" t="s">
        <v>14</v>
      </c>
      <c r="E121" s="291" t="s">
        <v>107</v>
      </c>
      <c r="F121" s="31" t="s">
        <v>4421</v>
      </c>
      <c r="G121" s="16" t="s">
        <v>4417</v>
      </c>
      <c r="H121" s="193" t="s">
        <v>4678</v>
      </c>
      <c r="I121" s="31" t="s">
        <v>202</v>
      </c>
      <c r="J121" s="193" t="s">
        <v>4575</v>
      </c>
      <c r="K121" s="125" t="s">
        <v>181</v>
      </c>
      <c r="L121" s="16">
        <v>9080</v>
      </c>
      <c r="M121" s="8">
        <v>6</v>
      </c>
      <c r="N121" s="31" t="s">
        <v>4616</v>
      </c>
      <c r="O121" s="431" t="s">
        <v>4586</v>
      </c>
      <c r="P121" s="365"/>
    </row>
    <row r="122" spans="1:16" s="17" customFormat="1" ht="33" customHeight="1">
      <c r="A122" s="424"/>
      <c r="B122" s="399">
        <v>46066</v>
      </c>
      <c r="C122" s="4" t="s">
        <v>21</v>
      </c>
      <c r="D122" s="4" t="s">
        <v>14</v>
      </c>
      <c r="E122" s="314" t="s">
        <v>4637</v>
      </c>
      <c r="F122" s="31" t="s">
        <v>4741</v>
      </c>
      <c r="G122" s="16" t="s">
        <v>1382</v>
      </c>
      <c r="H122" s="314" t="s">
        <v>4638</v>
      </c>
      <c r="I122" s="31" t="s">
        <v>4657</v>
      </c>
      <c r="J122" s="31" t="s">
        <v>2828</v>
      </c>
      <c r="K122" s="125" t="s">
        <v>32</v>
      </c>
      <c r="L122" s="419" t="s">
        <v>4639</v>
      </c>
      <c r="M122" s="8">
        <v>2</v>
      </c>
      <c r="N122" s="31"/>
      <c r="O122" s="428" t="s">
        <v>4642</v>
      </c>
      <c r="P122" s="710" t="s">
        <v>4663</v>
      </c>
    </row>
    <row r="123" spans="1:16" s="17" customFormat="1" ht="33" customHeight="1">
      <c r="A123" s="424"/>
      <c r="B123" s="399">
        <v>46067</v>
      </c>
      <c r="C123" s="4"/>
      <c r="D123" s="4"/>
      <c r="E123" s="31"/>
      <c r="F123" s="31"/>
      <c r="G123" s="16"/>
      <c r="H123" s="193"/>
      <c r="I123" s="193"/>
      <c r="J123" s="193"/>
      <c r="K123" s="125"/>
      <c r="L123" s="16"/>
      <c r="M123" s="8"/>
      <c r="N123" s="31" t="s">
        <v>4602</v>
      </c>
      <c r="O123" s="432"/>
      <c r="P123" s="365"/>
    </row>
    <row r="124" spans="1:16" s="17" customFormat="1" ht="33" customHeight="1">
      <c r="A124" s="425"/>
      <c r="B124" s="399">
        <v>46067</v>
      </c>
      <c r="C124" s="4"/>
      <c r="D124" s="4"/>
      <c r="E124" s="31"/>
      <c r="F124" s="31"/>
      <c r="G124" s="16"/>
      <c r="H124" s="193"/>
      <c r="I124" s="193"/>
      <c r="J124" s="193"/>
      <c r="K124" s="125"/>
      <c r="L124" s="16"/>
      <c r="M124" s="8"/>
      <c r="N124" s="16"/>
      <c r="O124" s="441"/>
      <c r="P124" s="365"/>
    </row>
    <row r="125" spans="1:16" s="17" customFormat="1" ht="33" customHeight="1">
      <c r="A125" s="426" t="s">
        <v>0</v>
      </c>
      <c r="B125" s="323" t="s">
        <v>1</v>
      </c>
      <c r="C125" s="322" t="s">
        <v>2</v>
      </c>
      <c r="D125" s="322" t="s">
        <v>3</v>
      </c>
      <c r="E125" s="322" t="s">
        <v>4</v>
      </c>
      <c r="F125" s="322" t="s">
        <v>5</v>
      </c>
      <c r="G125" s="322" t="s">
        <v>6</v>
      </c>
      <c r="H125" s="324" t="s">
        <v>7</v>
      </c>
      <c r="I125" s="322" t="s">
        <v>8</v>
      </c>
      <c r="J125" s="322" t="s">
        <v>9</v>
      </c>
      <c r="K125" s="325" t="s">
        <v>10</v>
      </c>
      <c r="L125" s="326" t="s">
        <v>11</v>
      </c>
      <c r="M125" s="322" t="s">
        <v>12</v>
      </c>
      <c r="N125" s="327" t="s">
        <v>13</v>
      </c>
      <c r="O125" s="427" t="s">
        <v>63</v>
      </c>
      <c r="P125" s="365"/>
    </row>
    <row r="126" spans="1:16" s="17" customFormat="1" ht="33" customHeight="1">
      <c r="A126" s="423" t="s">
        <v>3263</v>
      </c>
      <c r="B126" s="399">
        <v>46069</v>
      </c>
      <c r="C126" s="4"/>
      <c r="D126" s="4"/>
      <c r="E126" s="291"/>
      <c r="F126" s="31"/>
      <c r="G126" s="16"/>
      <c r="H126" s="404" t="s">
        <v>4580</v>
      </c>
      <c r="I126" s="31"/>
      <c r="J126" s="31"/>
      <c r="K126" s="125"/>
      <c r="L126" s="16"/>
      <c r="M126" s="8"/>
      <c r="N126" s="31"/>
      <c r="O126" s="431"/>
      <c r="P126" s="365"/>
    </row>
    <row r="127" spans="1:16" s="17" customFormat="1" ht="33" customHeight="1">
      <c r="A127" s="424"/>
      <c r="B127" s="399">
        <v>46069</v>
      </c>
      <c r="C127" s="4"/>
      <c r="D127" s="4"/>
      <c r="E127" s="291"/>
      <c r="F127" s="31"/>
      <c r="G127" s="16"/>
      <c r="H127" s="404"/>
      <c r="I127" s="31"/>
      <c r="J127" s="31"/>
      <c r="K127" s="125"/>
      <c r="L127" s="16"/>
      <c r="M127" s="8"/>
      <c r="N127" s="31"/>
      <c r="O127" s="431"/>
      <c r="P127" s="365"/>
    </row>
    <row r="128" spans="1:16" s="17" customFormat="1" ht="33" customHeight="1">
      <c r="A128" s="424"/>
      <c r="B128" s="399">
        <v>46070</v>
      </c>
      <c r="C128" s="4"/>
      <c r="D128" s="4"/>
      <c r="E128" s="31"/>
      <c r="F128" s="31"/>
      <c r="G128" s="16"/>
      <c r="H128" s="404" t="s">
        <v>4581</v>
      </c>
      <c r="I128" s="31"/>
      <c r="J128" s="193"/>
      <c r="K128" s="125"/>
      <c r="L128" s="16"/>
      <c r="M128" s="8"/>
      <c r="N128" s="422"/>
      <c r="O128" s="430"/>
      <c r="P128" s="365"/>
    </row>
    <row r="129" spans="1:16" s="17" customFormat="1" ht="33" customHeight="1">
      <c r="A129" s="424"/>
      <c r="B129" s="399">
        <v>46070</v>
      </c>
      <c r="C129" s="4"/>
      <c r="D129" s="4"/>
      <c r="E129" s="31"/>
      <c r="F129" s="31"/>
      <c r="G129" s="16"/>
      <c r="H129" s="404"/>
      <c r="I129" s="31"/>
      <c r="J129" s="193"/>
      <c r="K129" s="125"/>
      <c r="L129" s="16"/>
      <c r="M129" s="8"/>
      <c r="N129" s="422"/>
      <c r="O129" s="430"/>
      <c r="P129" s="365"/>
    </row>
    <row r="130" spans="1:16" s="17" customFormat="1" ht="33" customHeight="1">
      <c r="A130" s="424"/>
      <c r="B130" s="399">
        <v>46071</v>
      </c>
      <c r="C130" s="4"/>
      <c r="D130" s="4"/>
      <c r="E130" s="31"/>
      <c r="F130" s="31"/>
      <c r="G130" s="16"/>
      <c r="H130" s="404" t="s">
        <v>4582</v>
      </c>
      <c r="I130" s="31"/>
      <c r="J130" s="193"/>
      <c r="K130" s="125"/>
      <c r="L130" s="16"/>
      <c r="M130" s="8"/>
      <c r="N130" s="422"/>
      <c r="O130" s="430"/>
      <c r="P130" s="365"/>
    </row>
    <row r="131" spans="1:16" s="17" customFormat="1" ht="33" customHeight="1">
      <c r="A131" s="424"/>
      <c r="B131" s="399">
        <v>46071</v>
      </c>
      <c r="C131" s="4"/>
      <c r="D131" s="4"/>
      <c r="E131" s="291"/>
      <c r="F131" s="31"/>
      <c r="G131" s="16"/>
      <c r="H131" s="193"/>
      <c r="I131" s="31"/>
      <c r="J131" s="31"/>
      <c r="K131" s="125"/>
      <c r="L131" s="16"/>
      <c r="M131" s="8"/>
      <c r="N131" s="31"/>
      <c r="O131" s="432"/>
      <c r="P131" s="365"/>
    </row>
    <row r="132" spans="1:16" s="17" customFormat="1" ht="33" customHeight="1">
      <c r="A132" s="424"/>
      <c r="B132" s="399">
        <v>46072</v>
      </c>
      <c r="C132" s="4" t="s">
        <v>21</v>
      </c>
      <c r="D132" s="4" t="s">
        <v>17</v>
      </c>
      <c r="E132" s="291" t="s">
        <v>4660</v>
      </c>
      <c r="F132" s="31">
        <v>3307</v>
      </c>
      <c r="G132" s="16" t="s">
        <v>811</v>
      </c>
      <c r="H132" s="193" t="s">
        <v>4730</v>
      </c>
      <c r="I132" s="31" t="s">
        <v>4686</v>
      </c>
      <c r="J132" s="31" t="s">
        <v>4661</v>
      </c>
      <c r="K132" s="125"/>
      <c r="L132" s="16"/>
      <c r="M132" s="8">
        <v>2</v>
      </c>
      <c r="N132" s="291" t="s">
        <v>4689</v>
      </c>
      <c r="O132" s="432"/>
      <c r="P132" s="365"/>
    </row>
    <row r="133" spans="1:16" s="17" customFormat="1" ht="33" customHeight="1">
      <c r="A133" s="424"/>
      <c r="B133" s="399">
        <v>46072</v>
      </c>
      <c r="C133" s="4"/>
      <c r="D133" s="4"/>
      <c r="E133" s="291"/>
      <c r="F133" s="31"/>
      <c r="G133" s="16"/>
      <c r="H133" s="193"/>
      <c r="I133" s="31"/>
      <c r="J133" s="31"/>
      <c r="K133" s="125"/>
      <c r="L133" s="16"/>
      <c r="M133" s="8"/>
      <c r="N133" s="422" t="s">
        <v>4687</v>
      </c>
      <c r="O133" s="432"/>
      <c r="P133" s="365"/>
    </row>
    <row r="134" spans="1:16" s="17" customFormat="1" ht="33" customHeight="1">
      <c r="A134" s="424"/>
      <c r="B134" s="399">
        <v>46073</v>
      </c>
      <c r="C134" s="4" t="s">
        <v>21</v>
      </c>
      <c r="D134" s="4" t="s">
        <v>14</v>
      </c>
      <c r="E134" s="31" t="s">
        <v>1787</v>
      </c>
      <c r="F134" s="193" t="s">
        <v>2135</v>
      </c>
      <c r="G134" s="16" t="s">
        <v>142</v>
      </c>
      <c r="H134" s="193" t="s">
        <v>4738</v>
      </c>
      <c r="I134" s="31" t="s">
        <v>4671</v>
      </c>
      <c r="J134" s="193" t="s">
        <v>4670</v>
      </c>
      <c r="K134" s="125" t="s">
        <v>15</v>
      </c>
      <c r="L134" s="16"/>
      <c r="M134" s="8">
        <v>4</v>
      </c>
      <c r="N134" s="422" t="s">
        <v>4698</v>
      </c>
      <c r="O134" s="430" t="s">
        <v>4710</v>
      </c>
      <c r="P134" s="365"/>
    </row>
    <row r="135" spans="1:16" s="17" customFormat="1" ht="33" customHeight="1">
      <c r="A135" s="424"/>
      <c r="B135" s="399">
        <v>46073</v>
      </c>
      <c r="C135" s="4" t="s">
        <v>21</v>
      </c>
      <c r="D135" s="4" t="s">
        <v>14</v>
      </c>
      <c r="E135" s="31" t="s">
        <v>1787</v>
      </c>
      <c r="F135" s="31" t="s">
        <v>4669</v>
      </c>
      <c r="G135" s="16" t="s">
        <v>23</v>
      </c>
      <c r="H135" s="193" t="s">
        <v>4739</v>
      </c>
      <c r="I135" s="125" t="s">
        <v>4674</v>
      </c>
      <c r="J135" s="193" t="s">
        <v>641</v>
      </c>
      <c r="K135" s="125" t="s">
        <v>15</v>
      </c>
      <c r="L135" s="16"/>
      <c r="M135" s="8">
        <v>3</v>
      </c>
      <c r="N135" s="6" t="s">
        <v>4699</v>
      </c>
      <c r="O135" s="430" t="s">
        <v>4666</v>
      </c>
      <c r="P135" s="365"/>
    </row>
    <row r="136" spans="1:16" s="17" customFormat="1" ht="33" customHeight="1">
      <c r="A136" s="424"/>
      <c r="B136" s="399">
        <v>46074</v>
      </c>
      <c r="C136" s="4" t="s">
        <v>21</v>
      </c>
      <c r="D136" s="4" t="s">
        <v>14</v>
      </c>
      <c r="E136" s="31" t="s">
        <v>1787</v>
      </c>
      <c r="F136" s="193" t="s">
        <v>4672</v>
      </c>
      <c r="G136" s="16" t="s">
        <v>4667</v>
      </c>
      <c r="H136" s="193" t="s">
        <v>4714</v>
      </c>
      <c r="I136" s="31"/>
      <c r="J136" s="193" t="s">
        <v>4704</v>
      </c>
      <c r="K136" s="125" t="s">
        <v>15</v>
      </c>
      <c r="L136" s="16">
        <v>9080</v>
      </c>
      <c r="M136" s="8">
        <v>3</v>
      </c>
      <c r="N136" s="422"/>
      <c r="O136" s="430" t="s">
        <v>4673</v>
      </c>
      <c r="P136" s="365"/>
    </row>
    <row r="137" spans="1:16" s="17" customFormat="1" ht="33" customHeight="1">
      <c r="A137" s="424"/>
      <c r="B137" s="399">
        <v>46074</v>
      </c>
      <c r="C137" s="4" t="s">
        <v>21</v>
      </c>
      <c r="D137" s="4" t="s">
        <v>14</v>
      </c>
      <c r="E137" s="31" t="s">
        <v>1787</v>
      </c>
      <c r="F137" s="193" t="s">
        <v>4706</v>
      </c>
      <c r="G137" s="16" t="s">
        <v>4705</v>
      </c>
      <c r="H137" s="193" t="s">
        <v>4707</v>
      </c>
      <c r="I137" s="31"/>
      <c r="J137" s="193" t="s">
        <v>4704</v>
      </c>
      <c r="K137" s="125" t="s">
        <v>4708</v>
      </c>
      <c r="L137" s="16"/>
      <c r="M137" s="8">
        <v>3</v>
      </c>
      <c r="N137" s="422"/>
      <c r="O137" s="430" t="s">
        <v>4711</v>
      </c>
      <c r="P137" s="365"/>
    </row>
    <row r="138" spans="1:16" s="17" customFormat="1" ht="33" customHeight="1">
      <c r="A138" s="425"/>
      <c r="B138" s="399">
        <v>46074</v>
      </c>
      <c r="C138" s="4" t="s">
        <v>21</v>
      </c>
      <c r="D138" s="4" t="s">
        <v>4680</v>
      </c>
      <c r="E138" s="31" t="s">
        <v>4681</v>
      </c>
      <c r="F138" s="31">
        <v>222003</v>
      </c>
      <c r="G138" s="16" t="s">
        <v>4682</v>
      </c>
      <c r="H138" s="193" t="s">
        <v>4684</v>
      </c>
      <c r="I138" s="193"/>
      <c r="J138" s="193" t="s">
        <v>4690</v>
      </c>
      <c r="K138" s="125" t="s">
        <v>4709</v>
      </c>
      <c r="L138" s="16"/>
      <c r="M138" s="8">
        <v>1</v>
      </c>
      <c r="N138" s="31"/>
      <c r="O138" s="428" t="s">
        <v>4683</v>
      </c>
      <c r="P138" s="365"/>
    </row>
    <row r="139" spans="1:16" s="17" customFormat="1" ht="33" customHeight="1">
      <c r="A139" s="426" t="s">
        <v>0</v>
      </c>
      <c r="B139" s="323" t="s">
        <v>1</v>
      </c>
      <c r="C139" s="322" t="s">
        <v>2</v>
      </c>
      <c r="D139" s="322" t="s">
        <v>3</v>
      </c>
      <c r="E139" s="322" t="s">
        <v>4</v>
      </c>
      <c r="F139" s="322" t="s">
        <v>5</v>
      </c>
      <c r="G139" s="322" t="s">
        <v>6</v>
      </c>
      <c r="H139" s="324" t="s">
        <v>7</v>
      </c>
      <c r="I139" s="322" t="s">
        <v>8</v>
      </c>
      <c r="J139" s="322" t="s">
        <v>9</v>
      </c>
      <c r="K139" s="325" t="s">
        <v>10</v>
      </c>
      <c r="L139" s="326" t="s">
        <v>11</v>
      </c>
      <c r="M139" s="322" t="s">
        <v>12</v>
      </c>
      <c r="N139" s="327" t="s">
        <v>13</v>
      </c>
      <c r="O139" s="427" t="s">
        <v>63</v>
      </c>
      <c r="P139" s="365"/>
    </row>
    <row r="140" spans="1:16" s="17" customFormat="1" ht="33" customHeight="1">
      <c r="A140" s="423" t="s">
        <v>4451</v>
      </c>
      <c r="B140" s="399">
        <v>46076</v>
      </c>
      <c r="C140" s="4" t="s">
        <v>21</v>
      </c>
      <c r="D140" s="4" t="s">
        <v>3264</v>
      </c>
      <c r="E140" s="31" t="s">
        <v>1787</v>
      </c>
      <c r="F140" s="31" t="s">
        <v>2135</v>
      </c>
      <c r="G140" s="16" t="s">
        <v>4641</v>
      </c>
      <c r="H140" s="193" t="s">
        <v>213</v>
      </c>
      <c r="I140" s="31" t="s">
        <v>4675</v>
      </c>
      <c r="J140" s="193"/>
      <c r="K140" s="125" t="s">
        <v>3265</v>
      </c>
      <c r="L140" s="16"/>
      <c r="M140" s="8">
        <v>1</v>
      </c>
      <c r="N140" s="31" t="s">
        <v>4722</v>
      </c>
      <c r="O140" s="431" t="s">
        <v>3266</v>
      </c>
      <c r="P140" s="710"/>
    </row>
    <row r="141" spans="1:16" s="17" customFormat="1" ht="33" customHeight="1">
      <c r="A141" s="424"/>
      <c r="B141" s="399">
        <v>46076</v>
      </c>
      <c r="C141" s="4" t="s">
        <v>21</v>
      </c>
      <c r="D141" s="4" t="s">
        <v>14</v>
      </c>
      <c r="E141" s="31" t="s">
        <v>1787</v>
      </c>
      <c r="F141" s="31" t="s">
        <v>2817</v>
      </c>
      <c r="G141" s="16" t="s">
        <v>205</v>
      </c>
      <c r="H141" s="193" t="s">
        <v>4713</v>
      </c>
      <c r="I141" s="31"/>
      <c r="J141" s="193" t="s">
        <v>3403</v>
      </c>
      <c r="K141" s="125" t="s">
        <v>15</v>
      </c>
      <c r="L141" s="16"/>
      <c r="M141" s="8">
        <v>2</v>
      </c>
      <c r="N141" s="422"/>
      <c r="O141" s="430" t="s">
        <v>4685</v>
      </c>
      <c r="P141" s="710"/>
    </row>
    <row r="142" spans="1:16" s="17" customFormat="1" ht="33" customHeight="1">
      <c r="A142" s="424"/>
      <c r="B142" s="399">
        <v>46077</v>
      </c>
      <c r="C142" s="4" t="s">
        <v>21</v>
      </c>
      <c r="D142" s="4" t="s">
        <v>3264</v>
      </c>
      <c r="E142" s="31" t="s">
        <v>1787</v>
      </c>
      <c r="F142" s="31" t="s">
        <v>2135</v>
      </c>
      <c r="G142" s="16" t="s">
        <v>3267</v>
      </c>
      <c r="H142" s="193" t="s">
        <v>4677</v>
      </c>
      <c r="I142" s="31" t="s">
        <v>4675</v>
      </c>
      <c r="J142" s="193"/>
      <c r="K142" s="125" t="s">
        <v>3265</v>
      </c>
      <c r="L142" s="16"/>
      <c r="M142" s="8">
        <v>1</v>
      </c>
      <c r="N142" s="193" t="s">
        <v>4725</v>
      </c>
      <c r="O142" s="431" t="s">
        <v>3266</v>
      </c>
      <c r="P142" s="365"/>
    </row>
    <row r="143" spans="1:16" s="17" customFormat="1" ht="33" customHeight="1">
      <c r="A143" s="424"/>
      <c r="B143" s="399">
        <v>46077</v>
      </c>
      <c r="C143" s="4" t="s">
        <v>21</v>
      </c>
      <c r="D143" s="4" t="s">
        <v>30</v>
      </c>
      <c r="E143" s="31" t="s">
        <v>4702</v>
      </c>
      <c r="F143" s="31" t="s">
        <v>2817</v>
      </c>
      <c r="G143" s="16" t="s">
        <v>205</v>
      </c>
      <c r="H143" s="193" t="s">
        <v>4412</v>
      </c>
      <c r="I143" s="31"/>
      <c r="J143" s="193" t="s">
        <v>4659</v>
      </c>
      <c r="K143" s="125" t="s">
        <v>32</v>
      </c>
      <c r="L143" s="16"/>
      <c r="M143" s="8">
        <v>1</v>
      </c>
      <c r="N143" s="422"/>
      <c r="O143" s="437" t="s">
        <v>4703</v>
      </c>
      <c r="P143" s="365"/>
    </row>
    <row r="144" spans="1:16" s="17" customFormat="1" ht="33" customHeight="1">
      <c r="A144" s="424"/>
      <c r="B144" s="399">
        <v>46077</v>
      </c>
      <c r="C144" s="4" t="s">
        <v>21</v>
      </c>
      <c r="D144" s="4" t="s">
        <v>17</v>
      </c>
      <c r="E144" s="193" t="s">
        <v>3309</v>
      </c>
      <c r="F144" s="291" t="s">
        <v>4668</v>
      </c>
      <c r="G144" s="409" t="s">
        <v>4568</v>
      </c>
      <c r="H144" s="193" t="s">
        <v>4636</v>
      </c>
      <c r="I144" s="31"/>
      <c r="J144" s="193" t="s">
        <v>641</v>
      </c>
      <c r="K144" s="125" t="s">
        <v>15</v>
      </c>
      <c r="L144" s="16"/>
      <c r="M144" s="8">
        <v>2</v>
      </c>
      <c r="N144" s="291"/>
      <c r="O144" s="429" t="s">
        <v>4728</v>
      </c>
      <c r="P144" s="365"/>
    </row>
    <row r="145" spans="1:19" s="17" customFormat="1" ht="33" customHeight="1">
      <c r="A145" s="424"/>
      <c r="B145" s="399">
        <v>46078</v>
      </c>
      <c r="C145" s="4" t="s">
        <v>21</v>
      </c>
      <c r="D145" s="4" t="s">
        <v>3264</v>
      </c>
      <c r="E145" s="31" t="s">
        <v>1787</v>
      </c>
      <c r="F145" s="31" t="s">
        <v>2135</v>
      </c>
      <c r="G145" s="16" t="s">
        <v>3268</v>
      </c>
      <c r="H145" s="193" t="s">
        <v>4676</v>
      </c>
      <c r="I145" s="31" t="s">
        <v>4675</v>
      </c>
      <c r="J145" s="193"/>
      <c r="K145" s="125" t="s">
        <v>3265</v>
      </c>
      <c r="L145" s="16"/>
      <c r="M145" s="8">
        <v>1</v>
      </c>
      <c r="N145" s="193" t="s">
        <v>4726</v>
      </c>
      <c r="O145" s="431" t="s">
        <v>3266</v>
      </c>
      <c r="P145" s="365"/>
    </row>
    <row r="146" spans="1:19" s="17" customFormat="1" ht="33" customHeight="1">
      <c r="A146" s="424"/>
      <c r="B146" s="399">
        <v>46078</v>
      </c>
      <c r="C146" s="4" t="s">
        <v>4691</v>
      </c>
      <c r="D146" s="4" t="s">
        <v>4692</v>
      </c>
      <c r="E146" s="314" t="s">
        <v>4693</v>
      </c>
      <c r="F146" s="31" t="s">
        <v>4694</v>
      </c>
      <c r="G146" s="16" t="s">
        <v>4695</v>
      </c>
      <c r="H146" s="193" t="s">
        <v>4740</v>
      </c>
      <c r="I146" s="31"/>
      <c r="J146" s="31" t="s">
        <v>4696</v>
      </c>
      <c r="K146" s="125" t="s">
        <v>4697</v>
      </c>
      <c r="L146" s="16"/>
      <c r="M146" s="8">
        <v>1</v>
      </c>
      <c r="N146" s="31"/>
      <c r="O146" s="428" t="s">
        <v>4712</v>
      </c>
      <c r="P146" s="365"/>
    </row>
    <row r="147" spans="1:19" s="17" customFormat="1" ht="33" customHeight="1">
      <c r="A147" s="424"/>
      <c r="B147" s="399">
        <v>46078</v>
      </c>
      <c r="C147" s="4" t="s">
        <v>4719</v>
      </c>
      <c r="D147" s="4" t="s">
        <v>14</v>
      </c>
      <c r="E147" s="31" t="s">
        <v>158</v>
      </c>
      <c r="F147" s="31">
        <v>222003</v>
      </c>
      <c r="G147" s="16" t="s">
        <v>2690</v>
      </c>
      <c r="H147" s="193" t="s">
        <v>4720</v>
      </c>
      <c r="I147" s="31" t="s">
        <v>90</v>
      </c>
      <c r="J147" s="193"/>
      <c r="K147" s="125" t="s">
        <v>66</v>
      </c>
      <c r="L147" s="16"/>
      <c r="M147" s="8">
        <v>1</v>
      </c>
      <c r="N147" s="31"/>
      <c r="O147" s="428" t="s">
        <v>4721</v>
      </c>
      <c r="P147" s="365"/>
    </row>
    <row r="148" spans="1:19" s="17" customFormat="1" ht="33" customHeight="1">
      <c r="A148" s="424"/>
      <c r="B148" s="399">
        <v>46079</v>
      </c>
      <c r="C148" s="4"/>
      <c r="D148" s="4"/>
      <c r="E148" s="291"/>
      <c r="F148" s="31"/>
      <c r="G148" s="16"/>
      <c r="H148" s="193"/>
      <c r="I148" s="31"/>
      <c r="J148" s="31"/>
      <c r="K148" s="125"/>
      <c r="L148" s="16"/>
      <c r="M148" s="8"/>
      <c r="N148" s="31" t="s">
        <v>4644</v>
      </c>
      <c r="O148" s="432"/>
      <c r="P148" s="365"/>
    </row>
    <row r="149" spans="1:19" s="17" customFormat="1" ht="33" customHeight="1">
      <c r="A149" s="424"/>
      <c r="B149" s="399">
        <v>46079</v>
      </c>
      <c r="C149" s="4"/>
      <c r="D149" s="4"/>
      <c r="E149" s="291"/>
      <c r="F149" s="31"/>
      <c r="G149" s="16"/>
      <c r="H149" s="193"/>
      <c r="I149" s="31"/>
      <c r="J149" s="31"/>
      <c r="K149" s="125"/>
      <c r="L149" s="16"/>
      <c r="M149" s="8"/>
      <c r="N149" s="31"/>
      <c r="O149" s="432"/>
      <c r="P149" s="365"/>
    </row>
    <row r="150" spans="1:19" s="17" customFormat="1" ht="33" customHeight="1">
      <c r="A150" s="424"/>
      <c r="B150" s="399">
        <v>46080</v>
      </c>
      <c r="C150" s="59" t="s">
        <v>21</v>
      </c>
      <c r="D150" s="59" t="s">
        <v>14</v>
      </c>
      <c r="E150" s="311" t="s">
        <v>107</v>
      </c>
      <c r="F150" s="197" t="s">
        <v>1968</v>
      </c>
      <c r="G150" s="197" t="s">
        <v>376</v>
      </c>
      <c r="H150" s="310" t="s">
        <v>4754</v>
      </c>
      <c r="I150" s="311" t="s">
        <v>90</v>
      </c>
      <c r="J150" s="310" t="s">
        <v>4700</v>
      </c>
      <c r="K150" s="309" t="s">
        <v>15</v>
      </c>
      <c r="L150" s="197" t="s">
        <v>4717</v>
      </c>
      <c r="M150" s="182">
        <v>3</v>
      </c>
      <c r="N150" s="310"/>
      <c r="O150" s="436" t="s">
        <v>4701</v>
      </c>
      <c r="P150" s="365"/>
    </row>
    <row r="151" spans="1:19" s="17" customFormat="1" ht="33" customHeight="1">
      <c r="A151" s="424"/>
      <c r="B151" s="399">
        <v>46080</v>
      </c>
      <c r="C151" s="4" t="s">
        <v>64</v>
      </c>
      <c r="D151" s="4" t="s">
        <v>77</v>
      </c>
      <c r="E151" s="31" t="s">
        <v>4748</v>
      </c>
      <c r="F151" s="31" t="s">
        <v>362</v>
      </c>
      <c r="G151" s="16" t="s">
        <v>3327</v>
      </c>
      <c r="H151" s="193" t="s">
        <v>4749</v>
      </c>
      <c r="I151" s="31"/>
      <c r="J151" s="193" t="s">
        <v>3974</v>
      </c>
      <c r="K151" s="125" t="s">
        <v>105</v>
      </c>
      <c r="L151" s="16"/>
      <c r="M151" s="8">
        <v>2</v>
      </c>
      <c r="N151" s="422"/>
      <c r="O151" s="430" t="s">
        <v>4747</v>
      </c>
      <c r="P151" s="365"/>
    </row>
    <row r="152" spans="1:19" s="17" customFormat="1" ht="33" customHeight="1">
      <c r="A152" s="424"/>
      <c r="B152" s="399">
        <v>46081</v>
      </c>
      <c r="C152" s="4" t="s">
        <v>21</v>
      </c>
      <c r="D152" s="4" t="s">
        <v>14</v>
      </c>
      <c r="E152" s="31" t="s">
        <v>107</v>
      </c>
      <c r="F152" s="16" t="s">
        <v>1968</v>
      </c>
      <c r="G152" s="16" t="s">
        <v>376</v>
      </c>
      <c r="H152" s="314" t="s">
        <v>4774</v>
      </c>
      <c r="I152" s="193"/>
      <c r="J152" s="193" t="s">
        <v>4715</v>
      </c>
      <c r="K152" s="125" t="s">
        <v>4716</v>
      </c>
      <c r="L152" s="16"/>
      <c r="M152" s="8">
        <v>2</v>
      </c>
      <c r="N152" s="193"/>
      <c r="O152" s="428" t="s">
        <v>4701</v>
      </c>
      <c r="P152" s="365"/>
    </row>
    <row r="153" spans="1:19" s="17" customFormat="1" ht="33" customHeight="1">
      <c r="A153" s="425"/>
      <c r="B153" s="369">
        <v>46081</v>
      </c>
      <c r="C153" s="4"/>
      <c r="D153" s="4"/>
      <c r="E153" s="31"/>
      <c r="F153" s="31"/>
      <c r="G153" s="16"/>
      <c r="H153" s="193"/>
      <c r="I153" s="193"/>
      <c r="J153" s="193"/>
      <c r="K153" s="125"/>
      <c r="L153" s="16"/>
      <c r="M153" s="8"/>
      <c r="N153" s="31"/>
      <c r="O153" s="432"/>
      <c r="P153" s="365" t="s">
        <v>4770</v>
      </c>
    </row>
    <row r="154" spans="1:19" s="17" customFormat="1" ht="33" customHeight="1">
      <c r="A154" s="426" t="s">
        <v>0</v>
      </c>
      <c r="B154" s="323" t="s">
        <v>1</v>
      </c>
      <c r="C154" s="322" t="s">
        <v>2</v>
      </c>
      <c r="D154" s="322" t="s">
        <v>3</v>
      </c>
      <c r="E154" s="322" t="s">
        <v>4</v>
      </c>
      <c r="F154" s="322" t="s">
        <v>5</v>
      </c>
      <c r="G154" s="322" t="s">
        <v>6</v>
      </c>
      <c r="H154" s="324" t="s">
        <v>7</v>
      </c>
      <c r="I154" s="322" t="s">
        <v>8</v>
      </c>
      <c r="J154" s="322" t="s">
        <v>9</v>
      </c>
      <c r="K154" s="325" t="s">
        <v>10</v>
      </c>
      <c r="L154" s="326" t="s">
        <v>11</v>
      </c>
      <c r="M154" s="322" t="s">
        <v>12</v>
      </c>
      <c r="N154" s="327" t="s">
        <v>13</v>
      </c>
      <c r="O154" s="427" t="s">
        <v>63</v>
      </c>
      <c r="P154" s="365"/>
    </row>
    <row r="155" spans="1:19" s="17" customFormat="1" ht="33" customHeight="1">
      <c r="A155" s="423" t="s">
        <v>2712</v>
      </c>
      <c r="B155" s="399">
        <v>46083</v>
      </c>
      <c r="C155" s="4"/>
      <c r="D155" s="4"/>
      <c r="E155" s="291"/>
      <c r="F155" s="31"/>
      <c r="G155" s="16"/>
      <c r="H155" s="421" t="s">
        <v>4662</v>
      </c>
      <c r="I155" s="31"/>
      <c r="J155" s="31"/>
      <c r="K155" s="125"/>
      <c r="L155" s="16"/>
      <c r="M155" s="8"/>
      <c r="N155" s="31"/>
      <c r="O155" s="431"/>
      <c r="P155" s="715"/>
      <c r="Q155" s="447"/>
      <c r="R155" s="447"/>
      <c r="S155" s="447"/>
    </row>
    <row r="156" spans="1:19" s="17" customFormat="1" ht="33" customHeight="1">
      <c r="A156" s="424"/>
      <c r="B156" s="399">
        <v>46083</v>
      </c>
      <c r="C156" s="4"/>
      <c r="D156" s="4"/>
      <c r="E156" s="291"/>
      <c r="F156" s="31"/>
      <c r="G156" s="16"/>
      <c r="H156" s="193"/>
      <c r="I156" s="31"/>
      <c r="J156" s="31"/>
      <c r="K156" s="125"/>
      <c r="L156" s="16"/>
      <c r="M156" s="8"/>
      <c r="N156" s="31"/>
      <c r="O156" s="431"/>
      <c r="P156" s="715"/>
      <c r="Q156" s="447"/>
      <c r="R156" s="447"/>
      <c r="S156" s="447"/>
    </row>
    <row r="157" spans="1:19" s="17" customFormat="1" ht="33" customHeight="1">
      <c r="A157" s="424"/>
      <c r="B157" s="399">
        <v>46084</v>
      </c>
      <c r="C157" s="4" t="s">
        <v>21</v>
      </c>
      <c r="D157" s="4" t="s">
        <v>14</v>
      </c>
      <c r="E157" s="31" t="s">
        <v>107</v>
      </c>
      <c r="F157" s="193" t="s">
        <v>4723</v>
      </c>
      <c r="G157" s="16" t="s">
        <v>3327</v>
      </c>
      <c r="H157" s="193" t="s">
        <v>4775</v>
      </c>
      <c r="I157" s="31" t="s">
        <v>90</v>
      </c>
      <c r="J157" s="193" t="s">
        <v>686</v>
      </c>
      <c r="K157" s="125" t="s">
        <v>15</v>
      </c>
      <c r="L157" s="16"/>
      <c r="M157" s="8">
        <v>2</v>
      </c>
      <c r="N157" s="422" t="s">
        <v>4724</v>
      </c>
      <c r="O157" s="429" t="s">
        <v>4759</v>
      </c>
      <c r="P157" s="715"/>
    </row>
    <row r="158" spans="1:19" s="17" customFormat="1" ht="33" customHeight="1">
      <c r="A158" s="424"/>
      <c r="B158" s="399">
        <v>46084</v>
      </c>
      <c r="C158" s="4" t="s">
        <v>21</v>
      </c>
      <c r="D158" s="4" t="s">
        <v>14</v>
      </c>
      <c r="E158" s="31" t="s">
        <v>4767</v>
      </c>
      <c r="F158" s="193" t="s">
        <v>4762</v>
      </c>
      <c r="G158" s="16" t="s">
        <v>4764</v>
      </c>
      <c r="H158" s="193" t="s">
        <v>4766</v>
      </c>
      <c r="I158" s="31"/>
      <c r="J158" s="193" t="s">
        <v>4765</v>
      </c>
      <c r="K158" s="125" t="s">
        <v>15</v>
      </c>
      <c r="L158" s="16"/>
      <c r="M158" s="8">
        <v>1</v>
      </c>
      <c r="N158" s="31"/>
      <c r="O158" s="429" t="s">
        <v>4769</v>
      </c>
      <c r="P158" s="365"/>
    </row>
    <row r="159" spans="1:19" s="17" customFormat="1" ht="33" customHeight="1">
      <c r="A159" s="424"/>
      <c r="B159" s="399">
        <v>46084</v>
      </c>
      <c r="C159" s="4" t="s">
        <v>21</v>
      </c>
      <c r="D159" s="4" t="s">
        <v>14</v>
      </c>
      <c r="E159" s="193" t="s">
        <v>4761</v>
      </c>
      <c r="F159" s="31" t="s">
        <v>108</v>
      </c>
      <c r="G159" s="16" t="s">
        <v>142</v>
      </c>
      <c r="H159" s="291" t="s">
        <v>4771</v>
      </c>
      <c r="I159" s="31"/>
      <c r="J159" s="31" t="s">
        <v>4772</v>
      </c>
      <c r="K159" s="125" t="s">
        <v>15</v>
      </c>
      <c r="L159" s="16">
        <v>9080</v>
      </c>
      <c r="M159" s="8">
        <v>1</v>
      </c>
      <c r="N159" s="31"/>
      <c r="O159" s="446" t="s">
        <v>4760</v>
      </c>
      <c r="P159" s="365"/>
    </row>
    <row r="160" spans="1:19" s="17" customFormat="1" ht="33" customHeight="1">
      <c r="A160" s="424"/>
      <c r="B160" s="399">
        <v>46085</v>
      </c>
      <c r="C160" s="4" t="s">
        <v>21</v>
      </c>
      <c r="D160" s="4" t="s">
        <v>14</v>
      </c>
      <c r="E160" s="31" t="s">
        <v>107</v>
      </c>
      <c r="F160" s="16" t="s">
        <v>1968</v>
      </c>
      <c r="G160" s="16" t="s">
        <v>376</v>
      </c>
      <c r="H160" s="314" t="s">
        <v>4782</v>
      </c>
      <c r="I160" s="31"/>
      <c r="J160" s="193" t="s">
        <v>68</v>
      </c>
      <c r="K160" s="125" t="s">
        <v>15</v>
      </c>
      <c r="L160" s="16"/>
      <c r="M160" s="8">
        <v>1</v>
      </c>
      <c r="N160" s="16" t="s">
        <v>4665</v>
      </c>
      <c r="O160" s="428" t="s">
        <v>4779</v>
      </c>
      <c r="P160" s="365"/>
    </row>
    <row r="161" spans="1:19" s="17" customFormat="1" ht="33" customHeight="1">
      <c r="A161" s="424"/>
      <c r="B161" s="399">
        <v>46085</v>
      </c>
      <c r="C161" s="4" t="s">
        <v>21</v>
      </c>
      <c r="D161" s="4" t="s">
        <v>14</v>
      </c>
      <c r="E161" s="31" t="s">
        <v>107</v>
      </c>
      <c r="F161" s="16" t="s">
        <v>1968</v>
      </c>
      <c r="G161" s="16" t="s">
        <v>142</v>
      </c>
      <c r="H161" s="193" t="s">
        <v>4781</v>
      </c>
      <c r="I161" s="31" t="s">
        <v>202</v>
      </c>
      <c r="J161" s="31"/>
      <c r="K161" s="125" t="s">
        <v>15</v>
      </c>
      <c r="L161" s="16">
        <v>9080</v>
      </c>
      <c r="M161" s="8">
        <v>1</v>
      </c>
      <c r="N161" s="31"/>
      <c r="O161" s="432" t="s">
        <v>4780</v>
      </c>
      <c r="P161" s="365"/>
    </row>
    <row r="162" spans="1:19" s="17" customFormat="1" ht="33" customHeight="1">
      <c r="A162" s="424"/>
      <c r="B162" s="399">
        <v>46085</v>
      </c>
      <c r="C162" s="4" t="s">
        <v>21</v>
      </c>
      <c r="D162" s="4" t="s">
        <v>14</v>
      </c>
      <c r="E162" s="31" t="s">
        <v>1787</v>
      </c>
      <c r="F162" s="448" t="s">
        <v>2135</v>
      </c>
      <c r="G162" s="16" t="s">
        <v>23</v>
      </c>
      <c r="H162" s="193" t="s">
        <v>4784</v>
      </c>
      <c r="I162" s="31"/>
      <c r="J162" s="193" t="s">
        <v>686</v>
      </c>
      <c r="K162" s="125" t="s">
        <v>15</v>
      </c>
      <c r="L162" s="16"/>
      <c r="M162" s="8">
        <v>1</v>
      </c>
      <c r="N162" s="31"/>
      <c r="O162" s="428" t="s">
        <v>4790</v>
      </c>
      <c r="P162" s="365"/>
    </row>
    <row r="163" spans="1:19" s="17" customFormat="1" ht="33" customHeight="1">
      <c r="A163" s="424"/>
      <c r="B163" s="399">
        <v>46086</v>
      </c>
      <c r="C163" s="4" t="s">
        <v>21</v>
      </c>
      <c r="D163" s="4" t="s">
        <v>17</v>
      </c>
      <c r="E163" s="193" t="s">
        <v>78</v>
      </c>
      <c r="F163" s="31">
        <v>7060</v>
      </c>
      <c r="G163" s="16" t="s">
        <v>4757</v>
      </c>
      <c r="H163" s="314" t="s">
        <v>4797</v>
      </c>
      <c r="I163" s="31"/>
      <c r="J163" s="31" t="s">
        <v>4756</v>
      </c>
      <c r="K163" s="125" t="s">
        <v>15</v>
      </c>
      <c r="L163" s="16"/>
      <c r="M163" s="8">
        <v>1</v>
      </c>
      <c r="N163" s="31"/>
      <c r="O163" s="431" t="s">
        <v>4758</v>
      </c>
      <c r="P163" s="365"/>
    </row>
    <row r="164" spans="1:19" s="17" customFormat="1" ht="33" customHeight="1">
      <c r="A164" s="424"/>
      <c r="B164" s="399">
        <v>46086</v>
      </c>
      <c r="C164" s="4" t="s">
        <v>21</v>
      </c>
      <c r="D164" s="4" t="s">
        <v>14</v>
      </c>
      <c r="E164" s="291" t="s">
        <v>107</v>
      </c>
      <c r="F164" s="31" t="s">
        <v>2959</v>
      </c>
      <c r="G164" s="16" t="s">
        <v>376</v>
      </c>
      <c r="H164" s="193" t="s">
        <v>4793</v>
      </c>
      <c r="I164" s="31" t="s">
        <v>90</v>
      </c>
      <c r="J164" s="31" t="s">
        <v>641</v>
      </c>
      <c r="K164" s="125" t="s">
        <v>15</v>
      </c>
      <c r="L164" s="16"/>
      <c r="M164" s="8">
        <v>3</v>
      </c>
      <c r="N164" s="31"/>
      <c r="O164" s="428" t="s">
        <v>4789</v>
      </c>
      <c r="P164" s="365"/>
    </row>
    <row r="165" spans="1:19" s="17" customFormat="1" ht="33" customHeight="1">
      <c r="A165" s="424"/>
      <c r="B165" s="399">
        <v>46087</v>
      </c>
      <c r="C165" s="4" t="s">
        <v>21</v>
      </c>
      <c r="D165" s="4" t="s">
        <v>675</v>
      </c>
      <c r="E165" s="31" t="s">
        <v>1788</v>
      </c>
      <c r="F165" s="291" t="s">
        <v>3332</v>
      </c>
      <c r="G165" s="16" t="s">
        <v>23</v>
      </c>
      <c r="H165" s="193" t="s">
        <v>4744</v>
      </c>
      <c r="I165" s="31"/>
      <c r="J165" s="193" t="s">
        <v>641</v>
      </c>
      <c r="K165" s="125" t="s">
        <v>15</v>
      </c>
      <c r="L165" s="16"/>
      <c r="M165" s="8">
        <v>2</v>
      </c>
      <c r="N165" s="16" t="s">
        <v>4778</v>
      </c>
      <c r="O165" s="429" t="s">
        <v>4777</v>
      </c>
      <c r="P165" s="365"/>
    </row>
    <row r="166" spans="1:19" s="17" customFormat="1" ht="33" customHeight="1">
      <c r="A166" s="424"/>
      <c r="B166" s="399">
        <v>46087</v>
      </c>
      <c r="C166" s="4" t="s">
        <v>21</v>
      </c>
      <c r="D166" s="4" t="s">
        <v>17</v>
      </c>
      <c r="E166" s="31" t="s">
        <v>4794</v>
      </c>
      <c r="F166" s="31">
        <v>7064</v>
      </c>
      <c r="G166" s="16" t="s">
        <v>83</v>
      </c>
      <c r="H166" s="193" t="s">
        <v>4795</v>
      </c>
      <c r="I166" s="193" t="s">
        <v>202</v>
      </c>
      <c r="J166" s="193" t="s">
        <v>68</v>
      </c>
      <c r="K166" s="125" t="s">
        <v>15</v>
      </c>
      <c r="L166" s="16"/>
      <c r="M166" s="8">
        <v>2</v>
      </c>
      <c r="N166" s="31"/>
      <c r="O166" s="431" t="s">
        <v>4796</v>
      </c>
      <c r="P166" s="365"/>
    </row>
    <row r="167" spans="1:19" s="17" customFormat="1" ht="33" customHeight="1">
      <c r="A167" s="424"/>
      <c r="B167" s="399">
        <v>46088</v>
      </c>
      <c r="C167" s="4" t="s">
        <v>21</v>
      </c>
      <c r="D167" s="4" t="s">
        <v>14</v>
      </c>
      <c r="E167" s="31" t="s">
        <v>1893</v>
      </c>
      <c r="F167" s="31" t="s">
        <v>3589</v>
      </c>
      <c r="G167" s="16" t="s">
        <v>34</v>
      </c>
      <c r="H167" s="193" t="s">
        <v>4798</v>
      </c>
      <c r="I167" s="193"/>
      <c r="J167" s="193" t="s">
        <v>2838</v>
      </c>
      <c r="K167" s="125" t="s">
        <v>15</v>
      </c>
      <c r="L167" s="16">
        <v>9080</v>
      </c>
      <c r="M167" s="8">
        <v>2</v>
      </c>
      <c r="N167" s="31"/>
      <c r="O167" s="437" t="s">
        <v>4801</v>
      </c>
      <c r="P167" s="365"/>
    </row>
    <row r="168" spans="1:19" s="17" customFormat="1" ht="33" customHeight="1">
      <c r="A168" s="425"/>
      <c r="B168" s="369">
        <v>46088</v>
      </c>
      <c r="C168" s="4"/>
      <c r="D168" s="4"/>
      <c r="E168" s="31"/>
      <c r="F168" s="31"/>
      <c r="G168" s="16"/>
      <c r="H168" s="193"/>
      <c r="I168" s="193"/>
      <c r="J168" s="193"/>
      <c r="K168" s="125"/>
      <c r="L168" s="16"/>
      <c r="M168" s="8"/>
      <c r="N168" s="31"/>
      <c r="O168" s="432"/>
      <c r="P168" s="715"/>
      <c r="Q168" s="447"/>
      <c r="R168" s="447"/>
      <c r="S168" s="447"/>
    </row>
    <row r="169" spans="1:19" s="17" customFormat="1" ht="33" customHeight="1">
      <c r="A169" s="426" t="s">
        <v>0</v>
      </c>
      <c r="B169" s="323" t="s">
        <v>1</v>
      </c>
      <c r="C169" s="322" t="s">
        <v>2</v>
      </c>
      <c r="D169" s="322" t="s">
        <v>3</v>
      </c>
      <c r="E169" s="322" t="s">
        <v>4</v>
      </c>
      <c r="F169" s="322" t="s">
        <v>5</v>
      </c>
      <c r="G169" s="322" t="s">
        <v>6</v>
      </c>
      <c r="H169" s="324" t="s">
        <v>7</v>
      </c>
      <c r="I169" s="322" t="s">
        <v>8</v>
      </c>
      <c r="J169" s="322" t="s">
        <v>9</v>
      </c>
      <c r="K169" s="325" t="s">
        <v>10</v>
      </c>
      <c r="L169" s="326" t="s">
        <v>11</v>
      </c>
      <c r="M169" s="322" t="s">
        <v>12</v>
      </c>
      <c r="N169" s="452" t="s">
        <v>13</v>
      </c>
      <c r="O169" s="427" t="s">
        <v>63</v>
      </c>
      <c r="P169" s="939"/>
      <c r="Q169" s="940"/>
      <c r="R169" s="940"/>
      <c r="S169" s="940"/>
    </row>
    <row r="170" spans="1:19" s="17" customFormat="1" ht="33" customHeight="1">
      <c r="A170" s="423" t="s">
        <v>4452</v>
      </c>
      <c r="B170" s="399">
        <v>46090</v>
      </c>
      <c r="C170" s="4" t="s">
        <v>21</v>
      </c>
      <c r="D170" s="4" t="s">
        <v>14</v>
      </c>
      <c r="E170" s="31" t="s">
        <v>107</v>
      </c>
      <c r="F170" s="16" t="s">
        <v>1968</v>
      </c>
      <c r="G170" s="16" t="s">
        <v>376</v>
      </c>
      <c r="H170" s="314" t="s">
        <v>4755</v>
      </c>
      <c r="I170" s="31" t="s">
        <v>4456</v>
      </c>
      <c r="J170" s="193" t="s">
        <v>487</v>
      </c>
      <c r="K170" s="125" t="s">
        <v>15</v>
      </c>
      <c r="L170" s="16" t="s">
        <v>3304</v>
      </c>
      <c r="M170" s="8">
        <v>3</v>
      </c>
      <c r="N170" s="422" t="s">
        <v>4665</v>
      </c>
      <c r="O170" s="431" t="s">
        <v>4799</v>
      </c>
      <c r="P170" s="365"/>
    </row>
    <row r="171" spans="1:19" s="17" customFormat="1" ht="33" customHeight="1">
      <c r="A171" s="424"/>
      <c r="B171" s="399">
        <v>46090</v>
      </c>
      <c r="C171" s="4"/>
      <c r="D171" s="4"/>
      <c r="E171" s="31"/>
      <c r="F171" s="31"/>
      <c r="G171" s="16"/>
      <c r="H171" s="193"/>
      <c r="I171" s="31"/>
      <c r="J171" s="193"/>
      <c r="K171" s="125"/>
      <c r="L171" s="16"/>
      <c r="M171" s="8"/>
      <c r="N171" s="422"/>
      <c r="O171" s="430"/>
      <c r="P171" s="365"/>
    </row>
    <row r="172" spans="1:19" s="17" customFormat="1" ht="33" customHeight="1">
      <c r="A172" s="424"/>
      <c r="B172" s="399">
        <v>46091</v>
      </c>
      <c r="C172" s="4" t="s">
        <v>21</v>
      </c>
      <c r="D172" s="4" t="s">
        <v>17</v>
      </c>
      <c r="E172" s="31" t="s">
        <v>78</v>
      </c>
      <c r="F172" s="31" t="s">
        <v>1645</v>
      </c>
      <c r="G172" s="16" t="s">
        <v>23</v>
      </c>
      <c r="H172" s="193" t="s">
        <v>4815</v>
      </c>
      <c r="I172" s="31" t="s">
        <v>90</v>
      </c>
      <c r="J172" s="31" t="s">
        <v>3360</v>
      </c>
      <c r="K172" s="125" t="s">
        <v>15</v>
      </c>
      <c r="L172" s="16"/>
      <c r="M172" s="8">
        <v>3</v>
      </c>
      <c r="N172" s="193" t="s">
        <v>4816</v>
      </c>
      <c r="O172" s="450" t="s">
        <v>4788</v>
      </c>
      <c r="P172" s="365"/>
    </row>
    <row r="173" spans="1:19" s="17" customFormat="1" ht="33" customHeight="1">
      <c r="A173" s="424"/>
      <c r="B173" s="399">
        <v>46091</v>
      </c>
      <c r="C173" s="4" t="s">
        <v>21</v>
      </c>
      <c r="D173" s="4" t="s">
        <v>17</v>
      </c>
      <c r="E173" s="31" t="s">
        <v>78</v>
      </c>
      <c r="F173" s="31" t="s">
        <v>502</v>
      </c>
      <c r="G173" s="16" t="s">
        <v>28</v>
      </c>
      <c r="H173" s="193" t="s">
        <v>4786</v>
      </c>
      <c r="I173" s="31" t="s">
        <v>90</v>
      </c>
      <c r="J173" s="193" t="s">
        <v>686</v>
      </c>
      <c r="K173" s="125" t="s">
        <v>15</v>
      </c>
      <c r="L173" s="16"/>
      <c r="M173" s="8">
        <v>2</v>
      </c>
      <c r="N173" s="31"/>
      <c r="O173" s="451" t="s">
        <v>4787</v>
      </c>
      <c r="P173" s="365"/>
    </row>
    <row r="174" spans="1:19" s="17" customFormat="1" ht="33" customHeight="1">
      <c r="A174" s="424"/>
      <c r="B174" s="399">
        <v>46091</v>
      </c>
      <c r="C174" s="4" t="s">
        <v>21</v>
      </c>
      <c r="D174" s="4" t="s">
        <v>14</v>
      </c>
      <c r="E174" s="31" t="s">
        <v>107</v>
      </c>
      <c r="F174" s="16" t="s">
        <v>1968</v>
      </c>
      <c r="G174" s="16" t="s">
        <v>376</v>
      </c>
      <c r="H174" s="314" t="s">
        <v>4755</v>
      </c>
      <c r="I174" s="454" t="s">
        <v>202</v>
      </c>
      <c r="J174" s="193" t="s">
        <v>487</v>
      </c>
      <c r="K174" s="125" t="s">
        <v>15</v>
      </c>
      <c r="L174" s="16">
        <v>9080</v>
      </c>
      <c r="M174" s="455">
        <v>3</v>
      </c>
      <c r="N174" s="456"/>
      <c r="O174" s="457" t="s">
        <v>4799</v>
      </c>
      <c r="P174" s="365"/>
    </row>
    <row r="175" spans="1:19" s="17" customFormat="1" ht="33" customHeight="1">
      <c r="A175" s="424"/>
      <c r="B175" s="399">
        <v>46091</v>
      </c>
      <c r="C175" s="4" t="s">
        <v>21</v>
      </c>
      <c r="D175" s="4" t="s">
        <v>14</v>
      </c>
      <c r="E175" s="31" t="s">
        <v>211</v>
      </c>
      <c r="F175" s="31" t="s">
        <v>2916</v>
      </c>
      <c r="G175" s="16" t="s">
        <v>2917</v>
      </c>
      <c r="H175" s="193" t="s">
        <v>4785</v>
      </c>
      <c r="I175" s="31"/>
      <c r="J175" s="193" t="s">
        <v>1873</v>
      </c>
      <c r="K175" s="125" t="s">
        <v>15</v>
      </c>
      <c r="L175" s="16"/>
      <c r="M175" s="8">
        <v>2</v>
      </c>
      <c r="N175" s="422"/>
      <c r="O175" s="429" t="s">
        <v>4802</v>
      </c>
      <c r="P175" s="365"/>
    </row>
    <row r="176" spans="1:19" s="17" customFormat="1" ht="33" customHeight="1">
      <c r="A176" s="424"/>
      <c r="B176" s="399">
        <v>46092</v>
      </c>
      <c r="C176" s="4" t="s">
        <v>21</v>
      </c>
      <c r="D176" s="4" t="s">
        <v>17</v>
      </c>
      <c r="E176" s="193" t="s">
        <v>4818</v>
      </c>
      <c r="F176" s="31" t="s">
        <v>4783</v>
      </c>
      <c r="G176" s="16" t="s">
        <v>102</v>
      </c>
      <c r="H176" s="453" t="s">
        <v>4800</v>
      </c>
      <c r="I176" s="31" t="s">
        <v>90</v>
      </c>
      <c r="J176" s="193" t="s">
        <v>686</v>
      </c>
      <c r="K176" s="125" t="s">
        <v>4817</v>
      </c>
      <c r="L176" s="16"/>
      <c r="M176" s="8">
        <v>2</v>
      </c>
      <c r="N176" s="422" t="s">
        <v>4773</v>
      </c>
      <c r="O176" s="449" t="s">
        <v>4804</v>
      </c>
      <c r="P176" s="365"/>
    </row>
    <row r="177" spans="1:19" s="17" customFormat="1" ht="33" customHeight="1">
      <c r="A177" s="424"/>
      <c r="B177" s="399">
        <v>46093</v>
      </c>
      <c r="C177" s="193"/>
      <c r="D177" s="193"/>
      <c r="E177" s="193"/>
      <c r="F177" s="193"/>
      <c r="G177" s="193"/>
      <c r="H177" s="193"/>
      <c r="I177" s="31"/>
      <c r="J177" s="31"/>
      <c r="K177" s="125"/>
      <c r="L177" s="16"/>
      <c r="M177" s="8"/>
      <c r="N177" s="31"/>
      <c r="O177" s="432"/>
      <c r="P177" s="710"/>
    </row>
    <row r="178" spans="1:19" s="17" customFormat="1" ht="33" customHeight="1">
      <c r="A178" s="424"/>
      <c r="B178" s="399">
        <v>46094</v>
      </c>
      <c r="C178" s="4" t="s">
        <v>21</v>
      </c>
      <c r="D178" s="4" t="s">
        <v>17</v>
      </c>
      <c r="E178" s="193" t="s">
        <v>4745</v>
      </c>
      <c r="F178" s="291" t="s">
        <v>4750</v>
      </c>
      <c r="G178" s="445" t="s">
        <v>23</v>
      </c>
      <c r="H178" s="193" t="s">
        <v>4751</v>
      </c>
      <c r="I178" s="31"/>
      <c r="J178" s="193" t="s">
        <v>641</v>
      </c>
      <c r="K178" s="125" t="s">
        <v>15</v>
      </c>
      <c r="L178" s="16"/>
      <c r="M178" s="8">
        <v>2</v>
      </c>
      <c r="N178" s="314" t="s">
        <v>4835</v>
      </c>
      <c r="O178" s="429" t="s">
        <v>4805</v>
      </c>
      <c r="P178" s="365"/>
    </row>
    <row r="179" spans="1:19" s="17" customFormat="1" ht="33" customHeight="1">
      <c r="A179" s="424"/>
      <c r="B179" s="399">
        <v>46094</v>
      </c>
      <c r="C179" s="4" t="s">
        <v>4838</v>
      </c>
      <c r="D179" s="4" t="s">
        <v>4839</v>
      </c>
      <c r="E179" s="31" t="s">
        <v>4840</v>
      </c>
      <c r="F179" s="31" t="s">
        <v>4841</v>
      </c>
      <c r="G179" s="16" t="s">
        <v>4842</v>
      </c>
      <c r="H179" s="193" t="s">
        <v>4843</v>
      </c>
      <c r="I179" s="31" t="s">
        <v>4844</v>
      </c>
      <c r="J179" s="31" t="s">
        <v>4854</v>
      </c>
      <c r="K179" s="125" t="s">
        <v>15</v>
      </c>
      <c r="L179" s="16">
        <v>9080</v>
      </c>
      <c r="M179" s="8">
        <v>5</v>
      </c>
      <c r="N179" s="31" t="s">
        <v>4814</v>
      </c>
      <c r="O179" s="428"/>
      <c r="P179" s="365"/>
    </row>
    <row r="180" spans="1:19" s="17" customFormat="1" ht="33" customHeight="1">
      <c r="A180" s="424"/>
      <c r="B180" s="399">
        <v>46095</v>
      </c>
      <c r="C180" s="4" t="s">
        <v>4838</v>
      </c>
      <c r="D180" s="4" t="s">
        <v>4839</v>
      </c>
      <c r="E180" s="31" t="s">
        <v>4840</v>
      </c>
      <c r="F180" s="31" t="s">
        <v>4841</v>
      </c>
      <c r="G180" s="16" t="s">
        <v>4842</v>
      </c>
      <c r="H180" s="193" t="s">
        <v>4843</v>
      </c>
      <c r="I180" s="31" t="s">
        <v>4844</v>
      </c>
      <c r="J180" s="31" t="s">
        <v>4854</v>
      </c>
      <c r="K180" s="125" t="s">
        <v>15</v>
      </c>
      <c r="L180" s="16">
        <v>9080</v>
      </c>
      <c r="M180" s="8">
        <v>5</v>
      </c>
      <c r="N180" s="31"/>
      <c r="O180" s="432"/>
      <c r="P180" s="365"/>
    </row>
    <row r="181" spans="1:19" s="17" customFormat="1" ht="33" customHeight="1">
      <c r="A181" s="425"/>
      <c r="B181" s="369">
        <v>46095</v>
      </c>
      <c r="C181" s="4" t="s">
        <v>21</v>
      </c>
      <c r="D181" s="4" t="s">
        <v>14</v>
      </c>
      <c r="E181" s="31" t="s">
        <v>1893</v>
      </c>
      <c r="F181" s="31" t="s">
        <v>3589</v>
      </c>
      <c r="G181" s="16" t="s">
        <v>34</v>
      </c>
      <c r="H181" s="193" t="s">
        <v>4798</v>
      </c>
      <c r="I181" s="193" t="s">
        <v>126</v>
      </c>
      <c r="J181" s="193" t="s">
        <v>4846</v>
      </c>
      <c r="K181" s="125" t="s">
        <v>15</v>
      </c>
      <c r="L181" s="16" t="s">
        <v>33</v>
      </c>
      <c r="M181" s="8">
        <v>3</v>
      </c>
      <c r="N181" s="31"/>
      <c r="O181" s="431" t="s">
        <v>4847</v>
      </c>
      <c r="P181" s="365"/>
    </row>
    <row r="182" spans="1:19" s="17" customFormat="1" ht="33" customHeight="1">
      <c r="A182" s="426" t="s">
        <v>0</v>
      </c>
      <c r="B182" s="323" t="s">
        <v>1</v>
      </c>
      <c r="C182" s="322" t="s">
        <v>2</v>
      </c>
      <c r="D182" s="322" t="s">
        <v>3</v>
      </c>
      <c r="E182" s="322" t="s">
        <v>4</v>
      </c>
      <c r="F182" s="322" t="s">
        <v>5</v>
      </c>
      <c r="G182" s="322" t="s">
        <v>6</v>
      </c>
      <c r="H182" s="324" t="s">
        <v>7</v>
      </c>
      <c r="I182" s="322" t="s">
        <v>8</v>
      </c>
      <c r="J182" s="322" t="s">
        <v>9</v>
      </c>
      <c r="K182" s="325" t="s">
        <v>10</v>
      </c>
      <c r="L182" s="326" t="s">
        <v>11</v>
      </c>
      <c r="M182" s="322" t="s">
        <v>12</v>
      </c>
      <c r="N182" s="327" t="s">
        <v>13</v>
      </c>
      <c r="O182" s="427" t="s">
        <v>63</v>
      </c>
      <c r="P182" s="937" t="s">
        <v>4688</v>
      </c>
      <c r="Q182" s="938"/>
      <c r="R182" s="938"/>
      <c r="S182" s="938"/>
    </row>
    <row r="183" spans="1:19" s="17" customFormat="1" ht="33" customHeight="1">
      <c r="A183" s="423" t="s">
        <v>4493</v>
      </c>
      <c r="B183" s="399">
        <v>46097</v>
      </c>
      <c r="C183" s="3" t="s">
        <v>21</v>
      </c>
      <c r="D183" s="3" t="s">
        <v>4820</v>
      </c>
      <c r="E183" s="458" t="s">
        <v>4836</v>
      </c>
      <c r="F183" s="454">
        <v>3306</v>
      </c>
      <c r="G183" s="459" t="s">
        <v>4837</v>
      </c>
      <c r="H183" s="458" t="s">
        <v>4845</v>
      </c>
      <c r="I183" s="454" t="s">
        <v>4849</v>
      </c>
      <c r="J183" s="453" t="s">
        <v>4848</v>
      </c>
      <c r="K183" s="136" t="s">
        <v>15</v>
      </c>
      <c r="L183" s="459"/>
      <c r="M183" s="8">
        <v>5</v>
      </c>
      <c r="N183" s="314" t="s">
        <v>4881</v>
      </c>
      <c r="O183" s="431"/>
      <c r="P183" s="716"/>
    </row>
    <row r="184" spans="1:19" s="17" customFormat="1" ht="33" customHeight="1">
      <c r="A184" s="424"/>
      <c r="B184" s="399">
        <v>46097</v>
      </c>
      <c r="C184" s="4" t="s">
        <v>21</v>
      </c>
      <c r="D184" s="4" t="s">
        <v>4882</v>
      </c>
      <c r="E184" s="291" t="s">
        <v>4883</v>
      </c>
      <c r="F184" s="31" t="s">
        <v>2916</v>
      </c>
      <c r="G184" s="459" t="s">
        <v>4884</v>
      </c>
      <c r="H184" s="193" t="s">
        <v>4887</v>
      </c>
      <c r="I184" s="31"/>
      <c r="J184" s="31" t="s">
        <v>4885</v>
      </c>
      <c r="K184" s="125" t="s">
        <v>4886</v>
      </c>
      <c r="L184" s="16"/>
      <c r="M184" s="8">
        <v>2</v>
      </c>
      <c r="N184" s="31"/>
      <c r="O184" s="431"/>
      <c r="P184" s="716"/>
    </row>
    <row r="185" spans="1:19" s="17" customFormat="1" ht="33" customHeight="1">
      <c r="A185" s="424"/>
      <c r="B185" s="369">
        <v>46098</v>
      </c>
      <c r="C185" s="4" t="s">
        <v>4827</v>
      </c>
      <c r="D185" s="4" t="s">
        <v>4828</v>
      </c>
      <c r="E185" s="31" t="s">
        <v>4829</v>
      </c>
      <c r="F185" s="31" t="s">
        <v>4830</v>
      </c>
      <c r="G185" s="16" t="s">
        <v>4831</v>
      </c>
      <c r="H185" s="193" t="s">
        <v>4899</v>
      </c>
      <c r="I185" s="31" t="s">
        <v>4832</v>
      </c>
      <c r="J185" s="193" t="s">
        <v>4833</v>
      </c>
      <c r="K185" s="125" t="s">
        <v>4834</v>
      </c>
      <c r="L185" s="16">
        <v>9080</v>
      </c>
      <c r="M185" s="8">
        <v>4</v>
      </c>
      <c r="N185" s="422"/>
      <c r="O185" s="430"/>
      <c r="P185" s="717" t="s">
        <v>4727</v>
      </c>
    </row>
    <row r="186" spans="1:19" s="17" customFormat="1" ht="33" customHeight="1">
      <c r="A186" s="424"/>
      <c r="B186" s="399">
        <v>46098</v>
      </c>
      <c r="C186" s="4" t="s">
        <v>21</v>
      </c>
      <c r="D186" s="4" t="s">
        <v>14</v>
      </c>
      <c r="E186" s="31" t="s">
        <v>107</v>
      </c>
      <c r="F186" s="31" t="s">
        <v>1968</v>
      </c>
      <c r="G186" s="16" t="s">
        <v>4890</v>
      </c>
      <c r="H186" s="193" t="s">
        <v>4891</v>
      </c>
      <c r="I186" s="31" t="s">
        <v>4892</v>
      </c>
      <c r="J186" s="193" t="s">
        <v>4893</v>
      </c>
      <c r="K186" s="125" t="s">
        <v>15</v>
      </c>
      <c r="L186" s="16">
        <v>9080</v>
      </c>
      <c r="M186" s="8">
        <v>3</v>
      </c>
      <c r="N186" s="31"/>
      <c r="O186" s="430"/>
      <c r="P186" s="717"/>
    </row>
    <row r="187" spans="1:19" s="17" customFormat="1" ht="33" customHeight="1">
      <c r="A187" s="424"/>
      <c r="B187" s="399">
        <v>46098</v>
      </c>
      <c r="C187" s="3" t="s">
        <v>4806</v>
      </c>
      <c r="D187" s="3" t="s">
        <v>4807</v>
      </c>
      <c r="E187" s="454" t="s">
        <v>4808</v>
      </c>
      <c r="F187" s="454" t="s">
        <v>4809</v>
      </c>
      <c r="G187" s="459" t="s">
        <v>4810</v>
      </c>
      <c r="H187" s="458" t="s">
        <v>4850</v>
      </c>
      <c r="I187" s="454" t="s">
        <v>4812</v>
      </c>
      <c r="J187" s="453" t="s">
        <v>4851</v>
      </c>
      <c r="K187" s="136" t="s">
        <v>15</v>
      </c>
      <c r="L187" s="459" t="s">
        <v>4813</v>
      </c>
      <c r="M187" s="8">
        <v>2</v>
      </c>
      <c r="N187" s="422"/>
      <c r="O187" s="430" t="s">
        <v>4811</v>
      </c>
      <c r="P187" s="365"/>
    </row>
    <row r="188" spans="1:19" s="17" customFormat="1" ht="33" customHeight="1">
      <c r="A188" s="424"/>
      <c r="B188" s="399">
        <v>46098</v>
      </c>
      <c r="C188" s="3" t="s">
        <v>21</v>
      </c>
      <c r="D188" s="3" t="s">
        <v>17</v>
      </c>
      <c r="E188" s="458" t="s">
        <v>4836</v>
      </c>
      <c r="F188" s="454">
        <v>3306</v>
      </c>
      <c r="G188" s="459" t="s">
        <v>4837</v>
      </c>
      <c r="H188" s="458" t="s">
        <v>4845</v>
      </c>
      <c r="I188" s="454" t="s">
        <v>4849</v>
      </c>
      <c r="J188" s="453" t="s">
        <v>4848</v>
      </c>
      <c r="K188" s="136" t="s">
        <v>15</v>
      </c>
      <c r="L188" s="459"/>
      <c r="M188" s="8">
        <v>5</v>
      </c>
      <c r="N188" s="31"/>
      <c r="O188" s="430"/>
      <c r="P188" s="365"/>
    </row>
    <row r="189" spans="1:19" s="17" customFormat="1" ht="33" customHeight="1">
      <c r="A189" s="424"/>
      <c r="B189" s="399">
        <v>46099</v>
      </c>
      <c r="C189" s="4" t="s">
        <v>4819</v>
      </c>
      <c r="D189" s="4" t="s">
        <v>4820</v>
      </c>
      <c r="E189" s="314" t="s">
        <v>4821</v>
      </c>
      <c r="F189" s="31" t="s">
        <v>4822</v>
      </c>
      <c r="G189" s="16" t="s">
        <v>4823</v>
      </c>
      <c r="H189" s="193" t="s">
        <v>4824</v>
      </c>
      <c r="I189" s="31"/>
      <c r="J189" s="31" t="s">
        <v>4825</v>
      </c>
      <c r="K189" s="125" t="s">
        <v>4826</v>
      </c>
      <c r="L189" s="16">
        <v>9080</v>
      </c>
      <c r="M189" s="8">
        <v>4</v>
      </c>
      <c r="N189" s="31" t="s">
        <v>4665</v>
      </c>
      <c r="O189" s="432"/>
      <c r="P189" s="365"/>
    </row>
    <row r="190" spans="1:19" s="17" customFormat="1" ht="33" customHeight="1">
      <c r="A190" s="424"/>
      <c r="B190" s="399">
        <v>46099</v>
      </c>
      <c r="C190" s="3" t="s">
        <v>21</v>
      </c>
      <c r="D190" s="3" t="s">
        <v>17</v>
      </c>
      <c r="E190" s="458" t="s">
        <v>4836</v>
      </c>
      <c r="F190" s="454">
        <v>3306</v>
      </c>
      <c r="G190" s="459" t="s">
        <v>4837</v>
      </c>
      <c r="H190" s="458" t="s">
        <v>4845</v>
      </c>
      <c r="I190" s="454" t="s">
        <v>4849</v>
      </c>
      <c r="J190" s="453" t="s">
        <v>4848</v>
      </c>
      <c r="K190" s="136" t="s">
        <v>15</v>
      </c>
      <c r="L190" s="459"/>
      <c r="M190" s="8">
        <v>5</v>
      </c>
      <c r="N190" s="31"/>
      <c r="O190" s="432"/>
      <c r="P190" s="365"/>
    </row>
    <row r="191" spans="1:19" s="17" customFormat="1" ht="33" customHeight="1">
      <c r="A191" s="424"/>
      <c r="B191" s="399">
        <v>46100</v>
      </c>
      <c r="C191" s="4" t="s">
        <v>4819</v>
      </c>
      <c r="D191" s="4" t="s">
        <v>4820</v>
      </c>
      <c r="E191" s="314" t="s">
        <v>4821</v>
      </c>
      <c r="F191" s="31" t="s">
        <v>4822</v>
      </c>
      <c r="G191" s="16" t="s">
        <v>4823</v>
      </c>
      <c r="H191" s="193" t="s">
        <v>4824</v>
      </c>
      <c r="I191" s="31"/>
      <c r="J191" s="193" t="s">
        <v>4852</v>
      </c>
      <c r="K191" s="125" t="s">
        <v>4826</v>
      </c>
      <c r="L191" s="16">
        <v>9080</v>
      </c>
      <c r="M191" s="8">
        <v>5</v>
      </c>
      <c r="N191" s="31"/>
      <c r="O191" s="429"/>
      <c r="P191" s="365"/>
    </row>
    <row r="192" spans="1:19" s="17" customFormat="1" ht="33" customHeight="1">
      <c r="A192" s="424"/>
      <c r="B192" s="399">
        <v>46100</v>
      </c>
      <c r="C192" s="3" t="s">
        <v>21</v>
      </c>
      <c r="D192" s="3" t="s">
        <v>17</v>
      </c>
      <c r="E192" s="458" t="s">
        <v>4836</v>
      </c>
      <c r="F192" s="454">
        <v>3306</v>
      </c>
      <c r="G192" s="459" t="s">
        <v>4837</v>
      </c>
      <c r="H192" s="458" t="s">
        <v>4845</v>
      </c>
      <c r="I192" s="454" t="s">
        <v>4849</v>
      </c>
      <c r="J192" s="453" t="s">
        <v>4848</v>
      </c>
      <c r="K192" s="136" t="s">
        <v>15</v>
      </c>
      <c r="L192" s="16"/>
      <c r="M192" s="8"/>
      <c r="N192" s="31"/>
      <c r="O192" s="429"/>
      <c r="P192" s="365"/>
    </row>
    <row r="193" spans="1:17" s="17" customFormat="1" ht="33" customHeight="1">
      <c r="A193" s="424"/>
      <c r="B193" s="399">
        <v>46100</v>
      </c>
      <c r="C193" s="3" t="s">
        <v>4906</v>
      </c>
      <c r="D193" s="3"/>
      <c r="E193" s="454"/>
      <c r="F193" s="454"/>
      <c r="G193" s="459"/>
      <c r="H193" s="453" t="s">
        <v>4908</v>
      </c>
      <c r="I193" s="454"/>
      <c r="J193" s="453" t="s">
        <v>4909</v>
      </c>
      <c r="K193" s="136"/>
      <c r="L193" s="16"/>
      <c r="M193" s="8"/>
      <c r="N193" s="31"/>
      <c r="O193" s="429"/>
      <c r="P193" s="365"/>
    </row>
    <row r="194" spans="1:17" s="17" customFormat="1" ht="33" customHeight="1">
      <c r="A194" s="424"/>
      <c r="B194" s="399">
        <v>46101</v>
      </c>
      <c r="C194" s="4" t="s">
        <v>4819</v>
      </c>
      <c r="D194" s="4" t="s">
        <v>4820</v>
      </c>
      <c r="E194" s="314" t="s">
        <v>4821</v>
      </c>
      <c r="F194" s="31" t="s">
        <v>4822</v>
      </c>
      <c r="G194" s="16" t="s">
        <v>4823</v>
      </c>
      <c r="H194" s="193" t="s">
        <v>4824</v>
      </c>
      <c r="I194" s="31"/>
      <c r="J194" s="193" t="s">
        <v>4852</v>
      </c>
      <c r="K194" s="125" t="s">
        <v>42</v>
      </c>
      <c r="L194" s="16">
        <v>9080</v>
      </c>
      <c r="M194" s="8">
        <v>5</v>
      </c>
      <c r="N194" s="31" t="s">
        <v>4665</v>
      </c>
      <c r="O194" s="428"/>
      <c r="P194" s="365"/>
    </row>
    <row r="195" spans="1:17" s="17" customFormat="1" ht="33" customHeight="1">
      <c r="A195" s="424"/>
      <c r="B195" s="399">
        <v>46101</v>
      </c>
      <c r="C195" s="3" t="s">
        <v>4906</v>
      </c>
      <c r="D195" s="3"/>
      <c r="E195" s="454"/>
      <c r="F195" s="454"/>
      <c r="G195" s="459"/>
      <c r="H195" s="453" t="s">
        <v>4908</v>
      </c>
      <c r="I195" s="454"/>
      <c r="J195" s="453" t="s">
        <v>4909</v>
      </c>
      <c r="K195" s="136"/>
      <c r="L195" s="16"/>
      <c r="M195" s="8"/>
      <c r="N195" s="31"/>
      <c r="O195" s="428"/>
      <c r="P195" s="365"/>
    </row>
    <row r="196" spans="1:17" s="17" customFormat="1" ht="33" customHeight="1">
      <c r="A196" s="425"/>
      <c r="B196" s="399">
        <v>46102</v>
      </c>
      <c r="C196" s="4"/>
      <c r="D196" s="4"/>
      <c r="E196" s="31"/>
      <c r="F196" s="31"/>
      <c r="G196" s="16"/>
      <c r="H196" s="193"/>
      <c r="I196" s="193"/>
      <c r="J196" s="193"/>
      <c r="K196" s="125"/>
      <c r="L196" s="16"/>
      <c r="M196" s="8"/>
      <c r="N196" s="31"/>
      <c r="O196" s="432"/>
      <c r="P196" s="718" t="s">
        <v>4791</v>
      </c>
    </row>
    <row r="197" spans="1:17" s="17" customFormat="1" ht="33" customHeight="1">
      <c r="A197" s="426" t="s">
        <v>0</v>
      </c>
      <c r="B197" s="323" t="s">
        <v>1</v>
      </c>
      <c r="C197" s="322" t="s">
        <v>2</v>
      </c>
      <c r="D197" s="322" t="s">
        <v>3</v>
      </c>
      <c r="E197" s="322" t="s">
        <v>4</v>
      </c>
      <c r="F197" s="322" t="s">
        <v>5</v>
      </c>
      <c r="G197" s="322" t="s">
        <v>6</v>
      </c>
      <c r="H197" s="324" t="s">
        <v>7</v>
      </c>
      <c r="I197" s="322" t="s">
        <v>8</v>
      </c>
      <c r="J197" s="322" t="s">
        <v>9</v>
      </c>
      <c r="K197" s="325" t="s">
        <v>10</v>
      </c>
      <c r="L197" s="326" t="s">
        <v>11</v>
      </c>
      <c r="M197" s="322" t="s">
        <v>12</v>
      </c>
      <c r="N197" s="327" t="s">
        <v>13</v>
      </c>
      <c r="O197" s="427" t="s">
        <v>63</v>
      </c>
      <c r="P197" s="365"/>
    </row>
    <row r="198" spans="1:17" s="17" customFormat="1" ht="33" customHeight="1">
      <c r="A198" s="423" t="s">
        <v>4494</v>
      </c>
      <c r="B198" s="369">
        <v>46104</v>
      </c>
      <c r="C198" s="4" t="s">
        <v>21</v>
      </c>
      <c r="D198" s="4" t="s">
        <v>14</v>
      </c>
      <c r="E198" s="31" t="s">
        <v>1787</v>
      </c>
      <c r="F198" s="31" t="s">
        <v>2817</v>
      </c>
      <c r="G198" s="16" t="s">
        <v>23</v>
      </c>
      <c r="H198" s="193" t="s">
        <v>4853</v>
      </c>
      <c r="I198" s="31" t="s">
        <v>4900</v>
      </c>
      <c r="J198" s="31"/>
      <c r="K198" s="125"/>
      <c r="L198" s="16"/>
      <c r="M198" s="8"/>
      <c r="N198" s="31" t="s">
        <v>4665</v>
      </c>
      <c r="O198" s="431"/>
      <c r="P198" s="365"/>
    </row>
    <row r="199" spans="1:17" s="17" customFormat="1" ht="33" customHeight="1">
      <c r="A199" s="424"/>
      <c r="B199" s="369">
        <v>46104</v>
      </c>
      <c r="C199" s="4" t="s">
        <v>21</v>
      </c>
      <c r="D199" s="4" t="s">
        <v>14</v>
      </c>
      <c r="E199" s="31" t="s">
        <v>1787</v>
      </c>
      <c r="F199" s="31" t="s">
        <v>2817</v>
      </c>
      <c r="G199" s="16" t="s">
        <v>23</v>
      </c>
      <c r="H199" s="193" t="s">
        <v>4933</v>
      </c>
      <c r="I199" s="31"/>
      <c r="J199" s="193" t="s">
        <v>4934</v>
      </c>
      <c r="K199" s="125" t="s">
        <v>4935</v>
      </c>
      <c r="L199" s="16">
        <v>9080</v>
      </c>
      <c r="M199" s="8">
        <v>2</v>
      </c>
      <c r="N199" s="31"/>
      <c r="O199" s="431"/>
      <c r="P199" s="365"/>
    </row>
    <row r="200" spans="1:17" s="17" customFormat="1" ht="33" customHeight="1">
      <c r="A200" s="424"/>
      <c r="B200" s="399">
        <v>46104</v>
      </c>
      <c r="C200" s="4" t="s">
        <v>4906</v>
      </c>
      <c r="D200" s="4"/>
      <c r="E200" s="193" t="s">
        <v>4911</v>
      </c>
      <c r="F200" s="31" t="s">
        <v>3589</v>
      </c>
      <c r="G200" s="16" t="s">
        <v>4912</v>
      </c>
      <c r="H200" s="193" t="s">
        <v>4910</v>
      </c>
      <c r="I200" s="31"/>
      <c r="J200" s="31" t="s">
        <v>4907</v>
      </c>
      <c r="K200" s="125"/>
      <c r="L200" s="16"/>
      <c r="M200" s="8"/>
      <c r="N200" s="31"/>
      <c r="O200" s="431"/>
      <c r="P200" s="365"/>
    </row>
    <row r="201" spans="1:17" s="17" customFormat="1" ht="33" customHeight="1">
      <c r="A201" s="424"/>
      <c r="B201" s="399">
        <v>46105</v>
      </c>
      <c r="C201" s="3" t="s">
        <v>4888</v>
      </c>
      <c r="D201" s="3" t="s">
        <v>4889</v>
      </c>
      <c r="E201" s="454" t="s">
        <v>4894</v>
      </c>
      <c r="F201" s="454" t="s">
        <v>4895</v>
      </c>
      <c r="G201" s="459" t="s">
        <v>4896</v>
      </c>
      <c r="H201" s="453" t="s">
        <v>4931</v>
      </c>
      <c r="I201" s="454" t="s">
        <v>4930</v>
      </c>
      <c r="J201" s="454" t="s">
        <v>4898</v>
      </c>
      <c r="K201" s="136" t="s">
        <v>4897</v>
      </c>
      <c r="L201" s="459">
        <v>9080</v>
      </c>
      <c r="M201" s="455">
        <v>2</v>
      </c>
      <c r="N201" s="456"/>
      <c r="O201" s="460"/>
      <c r="P201" s="365"/>
    </row>
    <row r="202" spans="1:17" s="17" customFormat="1" ht="33" customHeight="1">
      <c r="A202" s="424"/>
      <c r="B202" s="399">
        <v>46105</v>
      </c>
      <c r="C202" s="4" t="s">
        <v>21</v>
      </c>
      <c r="D202" s="4" t="s">
        <v>14</v>
      </c>
      <c r="E202" s="291" t="s">
        <v>107</v>
      </c>
      <c r="F202" s="31" t="s">
        <v>3386</v>
      </c>
      <c r="G202" s="16" t="s">
        <v>23</v>
      </c>
      <c r="H202" s="193" t="s">
        <v>4932</v>
      </c>
      <c r="I202" s="31" t="s">
        <v>90</v>
      </c>
      <c r="J202" s="31" t="s">
        <v>3075</v>
      </c>
      <c r="K202" s="125" t="s">
        <v>15</v>
      </c>
      <c r="L202" s="16" t="s">
        <v>33</v>
      </c>
      <c r="M202" s="8">
        <v>2</v>
      </c>
      <c r="N202" s="422"/>
      <c r="O202" s="430"/>
      <c r="P202" s="365"/>
    </row>
    <row r="203" spans="1:17" s="17" customFormat="1" ht="33" customHeight="1">
      <c r="A203" s="424"/>
      <c r="B203" s="399">
        <v>46106</v>
      </c>
      <c r="C203" s="4" t="s">
        <v>21</v>
      </c>
      <c r="D203" s="4" t="s">
        <v>14</v>
      </c>
      <c r="E203" s="31" t="s">
        <v>1787</v>
      </c>
      <c r="F203" s="31" t="s">
        <v>2817</v>
      </c>
      <c r="G203" s="16" t="s">
        <v>23</v>
      </c>
      <c r="H203" s="193" t="s">
        <v>4792</v>
      </c>
      <c r="I203" s="31"/>
      <c r="J203" s="193" t="s">
        <v>487</v>
      </c>
      <c r="K203" s="125" t="s">
        <v>15</v>
      </c>
      <c r="L203" s="16">
        <v>9080</v>
      </c>
      <c r="M203" s="8">
        <v>2</v>
      </c>
      <c r="N203" s="31" t="s">
        <v>4665</v>
      </c>
      <c r="O203" s="473"/>
      <c r="P203" s="716"/>
      <c r="Q203" s="474"/>
    </row>
    <row r="204" spans="1:17" s="17" customFormat="1" ht="33" customHeight="1">
      <c r="A204" s="424"/>
      <c r="B204" s="399">
        <v>46106</v>
      </c>
      <c r="C204" s="4"/>
      <c r="D204" s="4"/>
      <c r="E204" s="291"/>
      <c r="F204" s="31"/>
      <c r="G204" s="16"/>
      <c r="H204" s="193"/>
      <c r="I204" s="31"/>
      <c r="J204" s="31"/>
      <c r="K204" s="125"/>
      <c r="L204" s="16"/>
      <c r="M204" s="8"/>
      <c r="N204" s="31"/>
      <c r="O204" s="432"/>
      <c r="P204" s="365"/>
    </row>
    <row r="205" spans="1:17" s="17" customFormat="1" ht="33" customHeight="1">
      <c r="A205" s="424"/>
      <c r="B205" s="399">
        <v>46107</v>
      </c>
      <c r="C205" s="3" t="s">
        <v>4928</v>
      </c>
      <c r="D205" s="3" t="s">
        <v>17</v>
      </c>
      <c r="E205" s="454" t="s">
        <v>1788</v>
      </c>
      <c r="F205" s="453" t="s">
        <v>4613</v>
      </c>
      <c r="G205" s="459" t="s">
        <v>23</v>
      </c>
      <c r="H205" s="453" t="s">
        <v>4927</v>
      </c>
      <c r="I205" s="454"/>
      <c r="J205" s="453" t="s">
        <v>487</v>
      </c>
      <c r="K205" s="136" t="s">
        <v>42</v>
      </c>
      <c r="L205" s="459">
        <v>9080</v>
      </c>
      <c r="M205" s="455">
        <v>2</v>
      </c>
      <c r="N205" s="456"/>
      <c r="O205" s="430"/>
      <c r="P205" s="365"/>
    </row>
    <row r="206" spans="1:17" s="17" customFormat="1" ht="33" customHeight="1">
      <c r="A206" s="424"/>
      <c r="B206" s="369">
        <v>46107</v>
      </c>
      <c r="C206" s="3" t="s">
        <v>5245</v>
      </c>
      <c r="D206" s="3" t="s">
        <v>5246</v>
      </c>
      <c r="E206" s="454" t="s">
        <v>5247</v>
      </c>
      <c r="F206" s="454" t="s">
        <v>5248</v>
      </c>
      <c r="G206" s="459" t="s">
        <v>5249</v>
      </c>
      <c r="H206" s="453" t="s">
        <v>5250</v>
      </c>
      <c r="I206" s="454" t="s">
        <v>5244</v>
      </c>
      <c r="J206" s="453" t="s">
        <v>5251</v>
      </c>
      <c r="K206" s="136" t="s">
        <v>5252</v>
      </c>
      <c r="L206" s="459" t="s">
        <v>5253</v>
      </c>
      <c r="M206" s="455">
        <v>1</v>
      </c>
      <c r="N206" s="454"/>
      <c r="O206" s="432"/>
      <c r="P206" s="365"/>
    </row>
    <row r="207" spans="1:17" s="17" customFormat="1" ht="33" customHeight="1">
      <c r="A207" s="424"/>
      <c r="B207" s="369">
        <v>46107</v>
      </c>
      <c r="C207" s="3" t="s">
        <v>5245</v>
      </c>
      <c r="D207" s="3" t="s">
        <v>5246</v>
      </c>
      <c r="E207" s="454" t="s">
        <v>5247</v>
      </c>
      <c r="F207" s="454" t="s">
        <v>5269</v>
      </c>
      <c r="G207" s="16" t="s">
        <v>23</v>
      </c>
      <c r="H207" s="193" t="s">
        <v>5270</v>
      </c>
      <c r="I207" s="454" t="s">
        <v>5244</v>
      </c>
      <c r="J207" s="453" t="s">
        <v>5251</v>
      </c>
      <c r="K207" s="136" t="s">
        <v>5252</v>
      </c>
      <c r="L207" s="459" t="s">
        <v>5253</v>
      </c>
      <c r="M207" s="455">
        <v>1</v>
      </c>
      <c r="N207" s="454"/>
      <c r="O207" s="432"/>
      <c r="P207" s="365"/>
    </row>
    <row r="208" spans="1:17" s="17" customFormat="1" ht="33" customHeight="1">
      <c r="A208" s="424"/>
      <c r="B208" s="369">
        <v>46108</v>
      </c>
      <c r="C208" s="3" t="s">
        <v>4929</v>
      </c>
      <c r="D208" s="3" t="s">
        <v>17</v>
      </c>
      <c r="E208" s="454" t="s">
        <v>1788</v>
      </c>
      <c r="F208" s="453" t="s">
        <v>4613</v>
      </c>
      <c r="G208" s="459" t="s">
        <v>23</v>
      </c>
      <c r="H208" s="453" t="s">
        <v>4927</v>
      </c>
      <c r="I208" s="454"/>
      <c r="J208" s="453" t="s">
        <v>487</v>
      </c>
      <c r="K208" s="136" t="s">
        <v>42</v>
      </c>
      <c r="L208" s="459">
        <v>9080</v>
      </c>
      <c r="M208" s="455">
        <v>2</v>
      </c>
      <c r="N208" s="454" t="s">
        <v>4776</v>
      </c>
      <c r="O208" s="460"/>
      <c r="P208" s="716"/>
    </row>
    <row r="209" spans="1:16" s="17" customFormat="1" ht="33" customHeight="1">
      <c r="A209" s="424"/>
      <c r="B209" s="399">
        <v>46108</v>
      </c>
      <c r="C209" s="3" t="s">
        <v>3650</v>
      </c>
      <c r="D209" s="3" t="s">
        <v>157</v>
      </c>
      <c r="E209" s="453" t="s">
        <v>179</v>
      </c>
      <c r="F209" s="454" t="s">
        <v>5243</v>
      </c>
      <c r="G209" s="459"/>
      <c r="H209" s="453" t="s">
        <v>5267</v>
      </c>
      <c r="I209" s="454" t="s">
        <v>5268</v>
      </c>
      <c r="J209" s="454"/>
      <c r="K209" s="136"/>
      <c r="L209" s="459" t="s">
        <v>5278</v>
      </c>
      <c r="M209" s="455">
        <v>2</v>
      </c>
      <c r="N209" s="31"/>
      <c r="O209" s="428"/>
      <c r="P209" s="365"/>
    </row>
    <row r="210" spans="1:16" s="17" customFormat="1" ht="33" customHeight="1">
      <c r="A210" s="424"/>
      <c r="B210" s="399">
        <v>46109</v>
      </c>
      <c r="C210" s="4"/>
      <c r="D210" s="4"/>
      <c r="E210" s="31"/>
      <c r="F210" s="31"/>
      <c r="G210" s="16"/>
      <c r="H210" s="404" t="s">
        <v>5256</v>
      </c>
      <c r="I210" s="193"/>
      <c r="J210" s="193"/>
      <c r="K210" s="125"/>
      <c r="L210" s="16"/>
      <c r="M210" s="8"/>
      <c r="N210" s="193"/>
      <c r="O210" s="438"/>
      <c r="P210" s="365"/>
    </row>
    <row r="211" spans="1:16" s="17" customFormat="1" ht="33" customHeight="1">
      <c r="A211" s="425"/>
      <c r="B211" s="399">
        <v>46109</v>
      </c>
      <c r="C211" s="4"/>
      <c r="D211" s="4"/>
      <c r="E211" s="31"/>
      <c r="F211" s="31"/>
      <c r="G211" s="16"/>
      <c r="H211" s="193"/>
      <c r="I211" s="193"/>
      <c r="J211" s="193"/>
      <c r="K211" s="125"/>
      <c r="L211" s="16"/>
      <c r="M211" s="8"/>
      <c r="N211" s="31"/>
      <c r="O211" s="432"/>
      <c r="P211" s="365"/>
    </row>
    <row r="212" spans="1:16" s="17" customFormat="1" ht="33" customHeight="1">
      <c r="A212" s="426" t="s">
        <v>0</v>
      </c>
      <c r="B212" s="323" t="s">
        <v>1</v>
      </c>
      <c r="C212" s="322" t="s">
        <v>2</v>
      </c>
      <c r="D212" s="322" t="s">
        <v>3</v>
      </c>
      <c r="E212" s="322" t="s">
        <v>4</v>
      </c>
      <c r="F212" s="322" t="s">
        <v>5</v>
      </c>
      <c r="G212" s="322" t="s">
        <v>6</v>
      </c>
      <c r="H212" s="324" t="s">
        <v>7</v>
      </c>
      <c r="I212" s="322" t="s">
        <v>8</v>
      </c>
      <c r="J212" s="322" t="s">
        <v>9</v>
      </c>
      <c r="K212" s="325" t="s">
        <v>10</v>
      </c>
      <c r="L212" s="326" t="s">
        <v>11</v>
      </c>
      <c r="M212" s="322" t="s">
        <v>12</v>
      </c>
      <c r="N212" s="327" t="s">
        <v>13</v>
      </c>
      <c r="O212" s="427" t="s">
        <v>63</v>
      </c>
      <c r="P212" s="427" t="s">
        <v>5411</v>
      </c>
    </row>
    <row r="213" spans="1:16" s="17" customFormat="1" ht="33" customHeight="1">
      <c r="A213" s="423" t="s">
        <v>4495</v>
      </c>
      <c r="B213" s="399">
        <v>46111</v>
      </c>
      <c r="C213" s="4" t="s">
        <v>5257</v>
      </c>
      <c r="D213" s="4" t="s">
        <v>14</v>
      </c>
      <c r="E213" s="31" t="s">
        <v>1787</v>
      </c>
      <c r="F213" s="31" t="s">
        <v>2135</v>
      </c>
      <c r="G213" s="16" t="s">
        <v>5258</v>
      </c>
      <c r="H213" s="453" t="s">
        <v>5259</v>
      </c>
      <c r="I213" s="453" t="s">
        <v>5280</v>
      </c>
      <c r="J213" s="453" t="s">
        <v>5260</v>
      </c>
      <c r="K213" s="136" t="s">
        <v>5261</v>
      </c>
      <c r="L213" s="459" t="s">
        <v>33</v>
      </c>
      <c r="M213" s="455">
        <v>6</v>
      </c>
      <c r="N213" s="31"/>
      <c r="O213" s="457"/>
      <c r="P213" s="31"/>
    </row>
    <row r="214" spans="1:16" s="17" customFormat="1" ht="33" customHeight="1">
      <c r="A214" s="424"/>
      <c r="B214" s="399">
        <v>46111</v>
      </c>
      <c r="C214" s="4" t="s">
        <v>21</v>
      </c>
      <c r="D214" s="4" t="s">
        <v>14</v>
      </c>
      <c r="E214" s="31" t="s">
        <v>1787</v>
      </c>
      <c r="F214" s="31" t="s">
        <v>2817</v>
      </c>
      <c r="G214" s="16" t="s">
        <v>23</v>
      </c>
      <c r="H214" s="193" t="s">
        <v>5289</v>
      </c>
      <c r="I214" s="453" t="s">
        <v>5280</v>
      </c>
      <c r="J214" s="453" t="s">
        <v>5272</v>
      </c>
      <c r="K214" s="125" t="s">
        <v>15</v>
      </c>
      <c r="L214" s="16" t="s">
        <v>5283</v>
      </c>
      <c r="M214" s="8">
        <v>2</v>
      </c>
      <c r="N214" s="31"/>
      <c r="O214" s="568"/>
      <c r="P214" s="719"/>
    </row>
    <row r="215" spans="1:16" s="17" customFormat="1" ht="33" customHeight="1">
      <c r="A215" s="424"/>
      <c r="B215" s="399">
        <v>46112</v>
      </c>
      <c r="C215" s="4" t="s">
        <v>5257</v>
      </c>
      <c r="D215" s="4" t="s">
        <v>14</v>
      </c>
      <c r="E215" s="31" t="s">
        <v>1787</v>
      </c>
      <c r="F215" s="31" t="s">
        <v>2135</v>
      </c>
      <c r="G215" s="16" t="s">
        <v>5258</v>
      </c>
      <c r="H215" s="453" t="s">
        <v>5259</v>
      </c>
      <c r="I215" s="453" t="s">
        <v>5280</v>
      </c>
      <c r="J215" s="453" t="s">
        <v>5260</v>
      </c>
      <c r="K215" s="136" t="s">
        <v>5261</v>
      </c>
      <c r="L215" s="459" t="s">
        <v>5282</v>
      </c>
      <c r="M215" s="455">
        <v>6</v>
      </c>
      <c r="N215" s="422"/>
      <c r="O215" s="428"/>
      <c r="P215" s="720" t="s">
        <v>5290</v>
      </c>
    </row>
    <row r="216" spans="1:16" s="17" customFormat="1" ht="33" customHeight="1">
      <c r="A216" s="424"/>
      <c r="B216" s="399">
        <v>46113</v>
      </c>
      <c r="C216" s="3" t="s">
        <v>21</v>
      </c>
      <c r="D216" s="3" t="s">
        <v>14</v>
      </c>
      <c r="E216" s="454" t="s">
        <v>5242</v>
      </c>
      <c r="F216" s="472" t="s">
        <v>3332</v>
      </c>
      <c r="G216" s="459" t="s">
        <v>23</v>
      </c>
      <c r="H216" s="453" t="s">
        <v>5399</v>
      </c>
      <c r="I216" s="454"/>
      <c r="J216" s="453" t="s">
        <v>5366</v>
      </c>
      <c r="K216" s="136" t="s">
        <v>15</v>
      </c>
      <c r="L216" s="459">
        <v>9080</v>
      </c>
      <c r="M216" s="455">
        <v>3</v>
      </c>
      <c r="N216" s="31"/>
      <c r="O216" s="428"/>
      <c r="P216" s="720" t="s">
        <v>5290</v>
      </c>
    </row>
    <row r="217" spans="1:16" s="17" customFormat="1" ht="33" customHeight="1">
      <c r="A217" s="424"/>
      <c r="B217" s="369">
        <v>46113</v>
      </c>
      <c r="C217" s="4" t="s">
        <v>5257</v>
      </c>
      <c r="D217" s="4" t="s">
        <v>14</v>
      </c>
      <c r="E217" s="31" t="s">
        <v>1787</v>
      </c>
      <c r="F217" s="31" t="s">
        <v>2135</v>
      </c>
      <c r="G217" s="16" t="s">
        <v>5258</v>
      </c>
      <c r="H217" s="453" t="s">
        <v>5292</v>
      </c>
      <c r="I217" s="453" t="s">
        <v>5281</v>
      </c>
      <c r="J217" s="453" t="s">
        <v>5284</v>
      </c>
      <c r="K217" s="136" t="s">
        <v>5261</v>
      </c>
      <c r="L217" s="459" t="s">
        <v>33</v>
      </c>
      <c r="M217" s="455">
        <v>4</v>
      </c>
      <c r="N217" s="31"/>
      <c r="O217" s="569" t="s">
        <v>5414</v>
      </c>
      <c r="P217" s="422"/>
    </row>
    <row r="218" spans="1:16" s="17" customFormat="1" ht="33" customHeight="1">
      <c r="A218" s="424"/>
      <c r="B218" s="369">
        <v>46113</v>
      </c>
      <c r="C218" s="4" t="s">
        <v>5264</v>
      </c>
      <c r="D218" s="4" t="s">
        <v>5246</v>
      </c>
      <c r="E218" s="31" t="s">
        <v>1787</v>
      </c>
      <c r="F218" s="193" t="s">
        <v>5266</v>
      </c>
      <c r="G218" s="16" t="s">
        <v>5265</v>
      </c>
      <c r="H218" s="453" t="s">
        <v>5286</v>
      </c>
      <c r="I218" s="454"/>
      <c r="J218" s="453" t="s">
        <v>5285</v>
      </c>
      <c r="K218" s="136" t="s">
        <v>5261</v>
      </c>
      <c r="L218" s="459" t="s">
        <v>5262</v>
      </c>
      <c r="M218" s="455">
        <v>3</v>
      </c>
      <c r="N218" s="31"/>
      <c r="O218" s="432"/>
      <c r="P218" s="422"/>
    </row>
    <row r="219" spans="1:16" s="17" customFormat="1" ht="33" customHeight="1">
      <c r="A219" s="424"/>
      <c r="B219" s="369">
        <v>46114</v>
      </c>
      <c r="C219" s="4" t="s">
        <v>138</v>
      </c>
      <c r="D219" s="4" t="s">
        <v>14</v>
      </c>
      <c r="E219" s="31" t="s">
        <v>1787</v>
      </c>
      <c r="F219" s="31" t="s">
        <v>2135</v>
      </c>
      <c r="G219" s="16" t="s">
        <v>142</v>
      </c>
      <c r="H219" s="453" t="s">
        <v>5292</v>
      </c>
      <c r="I219" s="453" t="s">
        <v>90</v>
      </c>
      <c r="J219" s="453" t="s">
        <v>5284</v>
      </c>
      <c r="K219" s="136" t="s">
        <v>105</v>
      </c>
      <c r="L219" s="459" t="s">
        <v>33</v>
      </c>
      <c r="M219" s="455">
        <v>4</v>
      </c>
      <c r="N219" s="422"/>
      <c r="O219" s="438" t="s">
        <v>5413</v>
      </c>
      <c r="P219" s="720" t="s">
        <v>5307</v>
      </c>
    </row>
    <row r="220" spans="1:16" s="17" customFormat="1" ht="33" customHeight="1">
      <c r="A220" s="424"/>
      <c r="B220" s="399">
        <v>46114</v>
      </c>
      <c r="C220" s="4" t="s">
        <v>113</v>
      </c>
      <c r="D220" s="4" t="s">
        <v>139</v>
      </c>
      <c r="E220" s="31" t="s">
        <v>1788</v>
      </c>
      <c r="F220" s="291" t="s">
        <v>3332</v>
      </c>
      <c r="G220" s="16" t="s">
        <v>150</v>
      </c>
      <c r="H220" s="453" t="s">
        <v>5399</v>
      </c>
      <c r="I220" s="31"/>
      <c r="J220" s="453" t="s">
        <v>5366</v>
      </c>
      <c r="K220" s="136" t="s">
        <v>15</v>
      </c>
      <c r="L220" s="459">
        <v>9080</v>
      </c>
      <c r="M220" s="455">
        <v>3</v>
      </c>
      <c r="N220" s="31"/>
      <c r="O220" s="428"/>
      <c r="P220" s="720"/>
    </row>
    <row r="221" spans="1:16" s="17" customFormat="1" ht="33" customHeight="1">
      <c r="A221" s="424"/>
      <c r="B221" s="399">
        <v>46115</v>
      </c>
      <c r="C221" s="3" t="s">
        <v>5291</v>
      </c>
      <c r="D221" s="3" t="s">
        <v>5293</v>
      </c>
      <c r="E221" s="454" t="s">
        <v>5294</v>
      </c>
      <c r="F221" s="454" t="s">
        <v>4939</v>
      </c>
      <c r="G221" s="459" t="s">
        <v>5295</v>
      </c>
      <c r="H221" s="453" t="s">
        <v>5296</v>
      </c>
      <c r="I221" s="453" t="s">
        <v>5279</v>
      </c>
      <c r="J221" s="453" t="s">
        <v>5304</v>
      </c>
      <c r="K221" s="125" t="s">
        <v>15</v>
      </c>
      <c r="L221" s="455">
        <v>9080</v>
      </c>
      <c r="M221" s="455">
        <v>3</v>
      </c>
      <c r="N221" s="31" t="s">
        <v>5288</v>
      </c>
      <c r="O221" s="428"/>
      <c r="P221" s="720" t="s">
        <v>5290</v>
      </c>
    </row>
    <row r="222" spans="1:16" s="17" customFormat="1" ht="33" customHeight="1">
      <c r="A222" s="424"/>
      <c r="B222" s="399">
        <v>46115</v>
      </c>
      <c r="C222" s="4" t="s">
        <v>96</v>
      </c>
      <c r="D222" s="4" t="s">
        <v>139</v>
      </c>
      <c r="E222" s="31" t="s">
        <v>1787</v>
      </c>
      <c r="F222" s="193" t="s">
        <v>2817</v>
      </c>
      <c r="G222" s="16" t="s">
        <v>843</v>
      </c>
      <c r="H222" s="453" t="s">
        <v>5287</v>
      </c>
      <c r="I222" s="454"/>
      <c r="J222" s="31" t="s">
        <v>5396</v>
      </c>
      <c r="K222" s="136" t="s">
        <v>105</v>
      </c>
      <c r="L222" s="459" t="s">
        <v>5395</v>
      </c>
      <c r="M222" s="8">
        <v>3</v>
      </c>
      <c r="N222" s="193"/>
      <c r="O222" s="438" t="s">
        <v>5415</v>
      </c>
      <c r="P222" s="193"/>
    </row>
    <row r="223" spans="1:16" s="17" customFormat="1" ht="33" customHeight="1">
      <c r="A223" s="425"/>
      <c r="B223" s="399">
        <v>46116</v>
      </c>
      <c r="C223" s="4" t="s">
        <v>21</v>
      </c>
      <c r="D223" s="4" t="s">
        <v>14</v>
      </c>
      <c r="E223" s="31" t="s">
        <v>1787</v>
      </c>
      <c r="F223" s="193" t="s">
        <v>2817</v>
      </c>
      <c r="G223" s="16" t="s">
        <v>843</v>
      </c>
      <c r="H223" s="453" t="s">
        <v>5287</v>
      </c>
      <c r="I223" s="454"/>
      <c r="J223" s="31" t="s">
        <v>5396</v>
      </c>
      <c r="K223" s="136" t="s">
        <v>105</v>
      </c>
      <c r="L223" s="459" t="s">
        <v>4550</v>
      </c>
      <c r="M223" s="8">
        <v>3</v>
      </c>
      <c r="N223" s="31"/>
      <c r="O223" s="438" t="s">
        <v>5413</v>
      </c>
      <c r="P223" s="720" t="s">
        <v>5412</v>
      </c>
    </row>
    <row r="224" spans="1:16" s="17" customFormat="1" ht="33" customHeight="1">
      <c r="A224" s="426" t="s">
        <v>0</v>
      </c>
      <c r="B224" s="323" t="s">
        <v>1</v>
      </c>
      <c r="C224" s="322" t="s">
        <v>2</v>
      </c>
      <c r="D224" s="322" t="s">
        <v>3</v>
      </c>
      <c r="E224" s="322" t="s">
        <v>4</v>
      </c>
      <c r="F224" s="322" t="s">
        <v>5</v>
      </c>
      <c r="G224" s="322" t="s">
        <v>6</v>
      </c>
      <c r="H224" s="324" t="s">
        <v>7</v>
      </c>
      <c r="I224" s="322" t="s">
        <v>8</v>
      </c>
      <c r="J224" s="322" t="s">
        <v>9</v>
      </c>
      <c r="K224" s="325" t="s">
        <v>10</v>
      </c>
      <c r="L224" s="326" t="s">
        <v>11</v>
      </c>
      <c r="M224" s="322" t="s">
        <v>12</v>
      </c>
      <c r="N224" s="327" t="s">
        <v>13</v>
      </c>
      <c r="O224" s="427" t="s">
        <v>63</v>
      </c>
      <c r="P224" s="427" t="s">
        <v>5411</v>
      </c>
    </row>
    <row r="225" spans="1:16" s="17" customFormat="1" ht="33" customHeight="1">
      <c r="A225" s="423" t="s">
        <v>4496</v>
      </c>
      <c r="B225" s="369">
        <v>46118</v>
      </c>
      <c r="C225" s="3" t="s">
        <v>21</v>
      </c>
      <c r="D225" s="3" t="s">
        <v>30</v>
      </c>
      <c r="E225" s="454" t="s">
        <v>107</v>
      </c>
      <c r="F225" s="454" t="s">
        <v>2566</v>
      </c>
      <c r="G225" s="459" t="s">
        <v>5358</v>
      </c>
      <c r="H225" s="453" t="s">
        <v>216</v>
      </c>
      <c r="I225" s="31" t="s">
        <v>5365</v>
      </c>
      <c r="J225" s="31" t="s">
        <v>5404</v>
      </c>
      <c r="K225" s="125" t="s">
        <v>15</v>
      </c>
      <c r="L225" s="16">
        <v>9080</v>
      </c>
      <c r="M225" s="8">
        <v>3</v>
      </c>
      <c r="N225" s="31" t="s">
        <v>4665</v>
      </c>
      <c r="O225" s="428"/>
      <c r="P225" s="720" t="s">
        <v>5290</v>
      </c>
    </row>
    <row r="226" spans="1:16" s="17" customFormat="1" ht="33" customHeight="1">
      <c r="A226" s="424"/>
      <c r="B226" s="369">
        <v>46119</v>
      </c>
      <c r="C226" s="3" t="s">
        <v>21</v>
      </c>
      <c r="D226" s="3" t="s">
        <v>14</v>
      </c>
      <c r="E226" s="454" t="s">
        <v>107</v>
      </c>
      <c r="F226" s="454" t="s">
        <v>2566</v>
      </c>
      <c r="G226" s="459" t="s">
        <v>67</v>
      </c>
      <c r="H226" s="453" t="s">
        <v>216</v>
      </c>
      <c r="I226" s="31" t="s">
        <v>3545</v>
      </c>
      <c r="J226" s="31" t="s">
        <v>3403</v>
      </c>
      <c r="K226" s="125" t="s">
        <v>15</v>
      </c>
      <c r="L226" s="16">
        <v>9080</v>
      </c>
      <c r="M226" s="8">
        <v>3</v>
      </c>
      <c r="N226" s="31"/>
      <c r="O226" s="428"/>
      <c r="P226" s="720"/>
    </row>
    <row r="227" spans="1:16" s="17" customFormat="1" ht="33" customHeight="1">
      <c r="A227" s="424"/>
      <c r="B227" s="369">
        <v>46119</v>
      </c>
      <c r="C227" s="3" t="s">
        <v>21</v>
      </c>
      <c r="D227" s="3" t="s">
        <v>31</v>
      </c>
      <c r="E227" s="454" t="s">
        <v>5276</v>
      </c>
      <c r="F227" s="454">
        <v>7064</v>
      </c>
      <c r="G227" s="459" t="s">
        <v>83</v>
      </c>
      <c r="H227" s="453" t="s">
        <v>5277</v>
      </c>
      <c r="I227" s="453"/>
      <c r="J227" s="453" t="s">
        <v>487</v>
      </c>
      <c r="K227" s="136" t="s">
        <v>15</v>
      </c>
      <c r="L227" s="459" t="s">
        <v>4550</v>
      </c>
      <c r="M227" s="455">
        <v>2</v>
      </c>
      <c r="N227" s="454"/>
      <c r="O227" s="428" t="s">
        <v>5421</v>
      </c>
      <c r="P227" s="720" t="s">
        <v>5290</v>
      </c>
    </row>
    <row r="228" spans="1:16" s="17" customFormat="1" ht="33" customHeight="1">
      <c r="A228" s="424"/>
      <c r="B228" s="399">
        <v>46119</v>
      </c>
      <c r="C228" s="4" t="s">
        <v>21</v>
      </c>
      <c r="D228" s="4" t="s">
        <v>14</v>
      </c>
      <c r="E228" s="31" t="s">
        <v>107</v>
      </c>
      <c r="F228" s="31" t="s">
        <v>2959</v>
      </c>
      <c r="G228" s="16" t="s">
        <v>143</v>
      </c>
      <c r="H228" s="193" t="s">
        <v>5407</v>
      </c>
      <c r="I228" s="31" t="s">
        <v>5406</v>
      </c>
      <c r="J228" s="31" t="s">
        <v>641</v>
      </c>
      <c r="K228" s="125" t="s">
        <v>15</v>
      </c>
      <c r="L228" s="16">
        <v>9080</v>
      </c>
      <c r="M228" s="8">
        <v>3</v>
      </c>
      <c r="N228" s="422"/>
      <c r="O228" s="428" t="s">
        <v>5422</v>
      </c>
      <c r="P228" s="720"/>
    </row>
    <row r="229" spans="1:16" s="17" customFormat="1" ht="33" customHeight="1">
      <c r="A229" s="424"/>
      <c r="B229" s="399">
        <v>46120</v>
      </c>
      <c r="C229" s="3" t="s">
        <v>21</v>
      </c>
      <c r="D229" s="3" t="s">
        <v>31</v>
      </c>
      <c r="E229" s="454" t="s">
        <v>5276</v>
      </c>
      <c r="F229" s="454">
        <v>7064</v>
      </c>
      <c r="G229" s="459" t="s">
        <v>83</v>
      </c>
      <c r="H229" s="453" t="s">
        <v>5277</v>
      </c>
      <c r="I229" s="453"/>
      <c r="J229" s="453" t="s">
        <v>5430</v>
      </c>
      <c r="K229" s="136" t="s">
        <v>15</v>
      </c>
      <c r="L229" s="459" t="s">
        <v>4379</v>
      </c>
      <c r="M229" s="455">
        <v>3</v>
      </c>
      <c r="N229" s="31"/>
      <c r="O229" s="428"/>
      <c r="P229" s="720" t="s">
        <v>5290</v>
      </c>
    </row>
    <row r="230" spans="1:16" s="17" customFormat="1" ht="33" customHeight="1">
      <c r="A230" s="424"/>
      <c r="B230" s="369">
        <v>46120</v>
      </c>
      <c r="C230" s="4" t="s">
        <v>21</v>
      </c>
      <c r="D230" s="4" t="s">
        <v>14</v>
      </c>
      <c r="E230" s="31" t="s">
        <v>107</v>
      </c>
      <c r="F230" s="31" t="s">
        <v>2959</v>
      </c>
      <c r="G230" s="16" t="s">
        <v>143</v>
      </c>
      <c r="H230" s="193" t="s">
        <v>5403</v>
      </c>
      <c r="I230" s="31"/>
      <c r="J230" s="31" t="s">
        <v>641</v>
      </c>
      <c r="K230" s="125" t="s">
        <v>15</v>
      </c>
      <c r="L230" s="16" t="s">
        <v>5263</v>
      </c>
      <c r="M230" s="8">
        <v>2</v>
      </c>
      <c r="N230" s="31"/>
      <c r="O230" s="432"/>
      <c r="P230" s="31"/>
    </row>
    <row r="231" spans="1:16" s="17" customFormat="1" ht="33" customHeight="1">
      <c r="A231" s="424"/>
      <c r="B231" s="369">
        <v>46120</v>
      </c>
      <c r="C231" s="4" t="s">
        <v>21</v>
      </c>
      <c r="D231" s="4" t="s">
        <v>17</v>
      </c>
      <c r="E231" s="193" t="s">
        <v>78</v>
      </c>
      <c r="F231" s="31">
        <v>7060</v>
      </c>
      <c r="G231" s="16" t="s">
        <v>36</v>
      </c>
      <c r="H231" s="314" t="s">
        <v>5364</v>
      </c>
      <c r="I231" s="31" t="s">
        <v>90</v>
      </c>
      <c r="J231" s="31"/>
      <c r="K231" s="125" t="s">
        <v>105</v>
      </c>
      <c r="L231" s="16">
        <v>9080</v>
      </c>
      <c r="M231" s="8">
        <v>1</v>
      </c>
      <c r="N231" s="31"/>
      <c r="O231" s="428" t="s">
        <v>5416</v>
      </c>
      <c r="P231" s="31"/>
    </row>
    <row r="232" spans="1:16" s="17" customFormat="1" ht="33" customHeight="1">
      <c r="A232" s="424"/>
      <c r="B232" s="369">
        <v>46121</v>
      </c>
      <c r="C232" s="4" t="s">
        <v>21</v>
      </c>
      <c r="D232" s="4" t="s">
        <v>17</v>
      </c>
      <c r="E232" s="193" t="s">
        <v>78</v>
      </c>
      <c r="F232" s="31">
        <v>7060</v>
      </c>
      <c r="G232" s="16" t="s">
        <v>36</v>
      </c>
      <c r="H232" s="193" t="s">
        <v>5472</v>
      </c>
      <c r="I232" s="31" t="s">
        <v>5473</v>
      </c>
      <c r="J232" s="193" t="s">
        <v>5474</v>
      </c>
      <c r="K232" s="125" t="s">
        <v>5475</v>
      </c>
      <c r="L232" s="16">
        <v>9080</v>
      </c>
      <c r="M232" s="8">
        <v>2</v>
      </c>
      <c r="N232" s="31"/>
      <c r="O232" s="428"/>
      <c r="P232" s="31"/>
    </row>
    <row r="233" spans="1:16" s="17" customFormat="1" ht="33" customHeight="1">
      <c r="A233" s="424"/>
      <c r="B233" s="369">
        <v>46121</v>
      </c>
      <c r="C233" s="3" t="s">
        <v>21</v>
      </c>
      <c r="D233" s="3" t="s">
        <v>17</v>
      </c>
      <c r="E233" s="458" t="s">
        <v>5419</v>
      </c>
      <c r="F233" s="458" t="s">
        <v>4512</v>
      </c>
      <c r="G233" s="459" t="s">
        <v>35</v>
      </c>
      <c r="H233" s="453" t="s">
        <v>5306</v>
      </c>
      <c r="I233" s="453" t="s">
        <v>5418</v>
      </c>
      <c r="J233" s="453"/>
      <c r="K233" s="136" t="s">
        <v>15</v>
      </c>
      <c r="L233" s="16" t="s">
        <v>5476</v>
      </c>
      <c r="M233" s="8">
        <v>3</v>
      </c>
      <c r="N233" s="422"/>
      <c r="O233" s="428" t="s">
        <v>5420</v>
      </c>
      <c r="P233" s="720" t="s">
        <v>5290</v>
      </c>
    </row>
    <row r="234" spans="1:16" s="17" customFormat="1" ht="33" customHeight="1">
      <c r="A234" s="424"/>
      <c r="B234" s="369">
        <v>46121</v>
      </c>
      <c r="C234" s="4" t="s">
        <v>4888</v>
      </c>
      <c r="D234" s="4" t="s">
        <v>4889</v>
      </c>
      <c r="E234" s="454" t="s">
        <v>1787</v>
      </c>
      <c r="F234" s="31" t="s">
        <v>4902</v>
      </c>
      <c r="G234" s="16" t="s">
        <v>4903</v>
      </c>
      <c r="H234" s="193" t="s">
        <v>5407</v>
      </c>
      <c r="I234" s="31" t="s">
        <v>5405</v>
      </c>
      <c r="J234" s="31" t="s">
        <v>4901</v>
      </c>
      <c r="K234" s="125" t="s">
        <v>4905</v>
      </c>
      <c r="L234" s="16" t="s">
        <v>5262</v>
      </c>
      <c r="M234" s="8">
        <v>3</v>
      </c>
      <c r="N234" s="31"/>
      <c r="O234" s="432" t="s">
        <v>5423</v>
      </c>
      <c r="P234" s="422"/>
    </row>
    <row r="235" spans="1:16" s="17" customFormat="1" ht="33" customHeight="1">
      <c r="A235" s="424"/>
      <c r="B235" s="369">
        <v>46121</v>
      </c>
      <c r="C235" s="3" t="s">
        <v>21</v>
      </c>
      <c r="D235" s="3" t="s">
        <v>30</v>
      </c>
      <c r="E235" s="454" t="s">
        <v>1787</v>
      </c>
      <c r="F235" s="453" t="s">
        <v>5408</v>
      </c>
      <c r="G235" s="459" t="s">
        <v>143</v>
      </c>
      <c r="H235" s="453" t="s">
        <v>5471</v>
      </c>
      <c r="I235" s="31" t="s">
        <v>5405</v>
      </c>
      <c r="J235" s="31"/>
      <c r="K235" s="136" t="s">
        <v>15</v>
      </c>
      <c r="L235" s="459" t="s">
        <v>4550</v>
      </c>
      <c r="M235" s="455">
        <v>1</v>
      </c>
      <c r="N235" s="31"/>
      <c r="O235" s="432"/>
      <c r="P235" s="422"/>
    </row>
    <row r="236" spans="1:16" s="17" customFormat="1" ht="33" customHeight="1">
      <c r="A236" s="424"/>
      <c r="B236" s="369">
        <v>46121</v>
      </c>
      <c r="C236" s="3" t="s">
        <v>21</v>
      </c>
      <c r="D236" s="3" t="s">
        <v>14</v>
      </c>
      <c r="E236" s="454" t="s">
        <v>1787</v>
      </c>
      <c r="F236" s="453" t="s">
        <v>5409</v>
      </c>
      <c r="G236" s="459" t="s">
        <v>143</v>
      </c>
      <c r="H236" s="453" t="s">
        <v>5410</v>
      </c>
      <c r="I236" s="31"/>
      <c r="J236" s="31" t="s">
        <v>641</v>
      </c>
      <c r="K236" s="136" t="s">
        <v>15</v>
      </c>
      <c r="L236" s="459" t="s">
        <v>4550</v>
      </c>
      <c r="M236" s="455">
        <v>2</v>
      </c>
      <c r="N236" s="31"/>
      <c r="O236" s="432" t="s">
        <v>5522</v>
      </c>
      <c r="P236" s="422"/>
    </row>
    <row r="237" spans="1:16" s="17" customFormat="1" ht="33" customHeight="1">
      <c r="A237" s="424"/>
      <c r="B237" s="399">
        <v>46121</v>
      </c>
      <c r="C237" s="3" t="s">
        <v>21</v>
      </c>
      <c r="D237" s="3" t="s">
        <v>31</v>
      </c>
      <c r="E237" s="454" t="s">
        <v>5276</v>
      </c>
      <c r="F237" s="454">
        <v>7064</v>
      </c>
      <c r="G237" s="459" t="s">
        <v>83</v>
      </c>
      <c r="H237" s="453" t="s">
        <v>5277</v>
      </c>
      <c r="I237" s="453"/>
      <c r="J237" s="453" t="s">
        <v>487</v>
      </c>
      <c r="K237" s="136" t="s">
        <v>15</v>
      </c>
      <c r="L237" s="459" t="s">
        <v>5424</v>
      </c>
      <c r="M237" s="455">
        <v>2</v>
      </c>
      <c r="N237" s="31"/>
      <c r="O237" s="432"/>
      <c r="P237" s="422"/>
    </row>
    <row r="238" spans="1:16" s="17" customFormat="1" ht="33" customHeight="1">
      <c r="A238" s="424"/>
      <c r="B238" s="399">
        <v>46121</v>
      </c>
      <c r="C238" s="3" t="s">
        <v>21</v>
      </c>
      <c r="D238" s="3" t="s">
        <v>31</v>
      </c>
      <c r="E238" s="454" t="s">
        <v>5276</v>
      </c>
      <c r="F238" s="454" t="s">
        <v>2329</v>
      </c>
      <c r="G238" s="459" t="s">
        <v>23</v>
      </c>
      <c r="H238" s="453" t="s">
        <v>5440</v>
      </c>
      <c r="I238" s="454"/>
      <c r="J238" s="453" t="s">
        <v>487</v>
      </c>
      <c r="K238" s="136" t="s">
        <v>15</v>
      </c>
      <c r="L238" s="459" t="s">
        <v>5424</v>
      </c>
      <c r="M238" s="455">
        <v>2</v>
      </c>
      <c r="N238" s="31"/>
      <c r="O238" s="432"/>
      <c r="P238" s="422"/>
    </row>
    <row r="239" spans="1:16" s="17" customFormat="1" ht="33" customHeight="1">
      <c r="A239" s="424"/>
      <c r="B239" s="399">
        <v>46122</v>
      </c>
      <c r="C239" s="3" t="s">
        <v>21</v>
      </c>
      <c r="D239" s="3" t="s">
        <v>31</v>
      </c>
      <c r="E239" s="454" t="s">
        <v>5276</v>
      </c>
      <c r="F239" s="454">
        <v>7064</v>
      </c>
      <c r="G239" s="459" t="s">
        <v>83</v>
      </c>
      <c r="H239" s="453" t="s">
        <v>5277</v>
      </c>
      <c r="I239" s="453"/>
      <c r="J239" s="453" t="s">
        <v>5485</v>
      </c>
      <c r="K239" s="136" t="s">
        <v>15</v>
      </c>
      <c r="L239" s="459" t="s">
        <v>5424</v>
      </c>
      <c r="M239" s="455">
        <v>3</v>
      </c>
      <c r="N239" s="193" t="s">
        <v>5504</v>
      </c>
      <c r="O239" s="428"/>
      <c r="P239" s="720" t="s">
        <v>5290</v>
      </c>
    </row>
    <row r="240" spans="1:16" s="17" customFormat="1" ht="33" customHeight="1">
      <c r="A240" s="424"/>
      <c r="B240" s="369">
        <v>46122</v>
      </c>
      <c r="C240" s="4" t="s">
        <v>4888</v>
      </c>
      <c r="D240" s="4" t="s">
        <v>4889</v>
      </c>
      <c r="E240" s="454" t="s">
        <v>1787</v>
      </c>
      <c r="F240" s="31" t="s">
        <v>4902</v>
      </c>
      <c r="G240" s="16" t="s">
        <v>4903</v>
      </c>
      <c r="H240" s="193" t="s">
        <v>4904</v>
      </c>
      <c r="I240" s="31"/>
      <c r="J240" s="31" t="s">
        <v>4901</v>
      </c>
      <c r="K240" s="125" t="s">
        <v>4905</v>
      </c>
      <c r="L240" s="16" t="s">
        <v>5262</v>
      </c>
      <c r="M240" s="8">
        <v>2</v>
      </c>
      <c r="N240" s="31"/>
      <c r="O240" s="428"/>
      <c r="P240" s="31" t="s">
        <v>5417</v>
      </c>
    </row>
    <row r="241" spans="1:16" s="17" customFormat="1" ht="33" customHeight="1">
      <c r="A241" s="424"/>
      <c r="B241" s="369">
        <v>46122</v>
      </c>
      <c r="C241" s="4" t="s">
        <v>4888</v>
      </c>
      <c r="D241" s="4" t="s">
        <v>4889</v>
      </c>
      <c r="E241" s="454" t="s">
        <v>1787</v>
      </c>
      <c r="F241" s="31" t="s">
        <v>5431</v>
      </c>
      <c r="G241" s="459" t="s">
        <v>23</v>
      </c>
      <c r="H241" s="193" t="s">
        <v>5432</v>
      </c>
      <c r="I241" s="31"/>
      <c r="J241" s="193" t="s">
        <v>120</v>
      </c>
      <c r="K241" s="125" t="s">
        <v>5433</v>
      </c>
      <c r="L241" s="16">
        <v>9080</v>
      </c>
      <c r="M241" s="8">
        <v>1</v>
      </c>
      <c r="N241" s="31"/>
      <c r="O241" s="428" t="s">
        <v>5496</v>
      </c>
      <c r="P241" s="31"/>
    </row>
    <row r="242" spans="1:16" s="17" customFormat="1" ht="33" customHeight="1">
      <c r="A242" s="425"/>
      <c r="B242" s="399">
        <v>46123</v>
      </c>
      <c r="C242" s="4"/>
      <c r="D242" s="4"/>
      <c r="E242" s="31"/>
      <c r="F242" s="31"/>
      <c r="G242" s="16"/>
      <c r="H242" s="193"/>
      <c r="I242" s="193"/>
      <c r="J242" s="193"/>
      <c r="K242" s="125"/>
      <c r="L242" s="16"/>
      <c r="M242" s="8"/>
      <c r="N242" s="31"/>
      <c r="O242" s="432"/>
      <c r="P242" s="720" t="s">
        <v>5412</v>
      </c>
    </row>
    <row r="243" spans="1:16" s="17" customFormat="1" ht="33" customHeight="1">
      <c r="A243" s="426" t="s">
        <v>0</v>
      </c>
      <c r="B243" s="323" t="s">
        <v>1</v>
      </c>
      <c r="C243" s="322" t="s">
        <v>2</v>
      </c>
      <c r="D243" s="322" t="s">
        <v>3</v>
      </c>
      <c r="E243" s="322" t="s">
        <v>4</v>
      </c>
      <c r="F243" s="322" t="s">
        <v>5</v>
      </c>
      <c r="G243" s="322" t="s">
        <v>6</v>
      </c>
      <c r="H243" s="324" t="s">
        <v>7</v>
      </c>
      <c r="I243" s="322" t="s">
        <v>8</v>
      </c>
      <c r="J243" s="322" t="s">
        <v>9</v>
      </c>
      <c r="K243" s="325" t="s">
        <v>10</v>
      </c>
      <c r="L243" s="326" t="s">
        <v>11</v>
      </c>
      <c r="M243" s="322" t="s">
        <v>12</v>
      </c>
      <c r="N243" s="327" t="s">
        <v>13</v>
      </c>
      <c r="O243" s="427" t="s">
        <v>63</v>
      </c>
      <c r="P243" s="427" t="s">
        <v>5411</v>
      </c>
    </row>
    <row r="244" spans="1:16" s="17" customFormat="1" ht="33" customHeight="1">
      <c r="A244" s="423" t="s">
        <v>4497</v>
      </c>
      <c r="B244" s="399">
        <v>46125</v>
      </c>
      <c r="C244" s="4" t="s">
        <v>138</v>
      </c>
      <c r="D244" s="4" t="s">
        <v>14</v>
      </c>
      <c r="E244" s="454" t="s">
        <v>1787</v>
      </c>
      <c r="F244" s="453" t="s">
        <v>5266</v>
      </c>
      <c r="G244" s="459" t="s">
        <v>23</v>
      </c>
      <c r="H244" s="193" t="s">
        <v>5429</v>
      </c>
      <c r="I244" s="31"/>
      <c r="J244" s="193" t="s">
        <v>1873</v>
      </c>
      <c r="K244" s="125" t="s">
        <v>15</v>
      </c>
      <c r="L244" s="16" t="s">
        <v>4550</v>
      </c>
      <c r="M244" s="8">
        <v>2</v>
      </c>
      <c r="N244" s="31"/>
      <c r="O244" s="428" t="s">
        <v>5495</v>
      </c>
      <c r="P244" s="720" t="s">
        <v>5516</v>
      </c>
    </row>
    <row r="245" spans="1:16" s="17" customFormat="1" ht="33" customHeight="1">
      <c r="A245" s="424"/>
      <c r="B245" s="369">
        <v>46125</v>
      </c>
      <c r="C245" s="4" t="s">
        <v>4888</v>
      </c>
      <c r="D245" s="4" t="s">
        <v>4889</v>
      </c>
      <c r="E245" s="454" t="s">
        <v>1787</v>
      </c>
      <c r="F245" s="31" t="s">
        <v>5435</v>
      </c>
      <c r="G245" s="459" t="s">
        <v>67</v>
      </c>
      <c r="H245" s="193" t="s">
        <v>5513</v>
      </c>
      <c r="I245" s="31" t="s">
        <v>5436</v>
      </c>
      <c r="J245" s="193" t="s">
        <v>686</v>
      </c>
      <c r="K245" s="125" t="s">
        <v>5437</v>
      </c>
      <c r="L245" s="16" t="s">
        <v>4379</v>
      </c>
      <c r="M245" s="8">
        <v>2</v>
      </c>
      <c r="N245" s="31"/>
      <c r="O245" s="428" t="s">
        <v>5499</v>
      </c>
      <c r="P245" s="31"/>
    </row>
    <row r="246" spans="1:16" s="17" customFormat="1" ht="33" customHeight="1">
      <c r="A246" s="424"/>
      <c r="B246" s="369">
        <v>46125</v>
      </c>
      <c r="C246" s="4" t="s">
        <v>4888</v>
      </c>
      <c r="D246" s="4" t="s">
        <v>4889</v>
      </c>
      <c r="E246" s="454" t="s">
        <v>1787</v>
      </c>
      <c r="F246" s="31" t="s">
        <v>5435</v>
      </c>
      <c r="G246" s="459" t="s">
        <v>205</v>
      </c>
      <c r="H246" s="193" t="s">
        <v>5479</v>
      </c>
      <c r="I246" s="31" t="s">
        <v>5436</v>
      </c>
      <c r="J246" s="193" t="s">
        <v>686</v>
      </c>
      <c r="K246" s="125" t="s">
        <v>5437</v>
      </c>
      <c r="L246" s="16" t="s">
        <v>4379</v>
      </c>
      <c r="M246" s="8">
        <v>2</v>
      </c>
      <c r="N246" s="31"/>
      <c r="O246" s="428" t="s">
        <v>5499</v>
      </c>
      <c r="P246" s="31"/>
    </row>
    <row r="247" spans="1:16" s="17" customFormat="1" ht="33" customHeight="1">
      <c r="A247" s="424"/>
      <c r="B247" s="369">
        <v>46125</v>
      </c>
      <c r="C247" s="4" t="s">
        <v>5517</v>
      </c>
      <c r="D247" s="4" t="s">
        <v>14</v>
      </c>
      <c r="E247" s="454" t="s">
        <v>1787</v>
      </c>
      <c r="F247" s="31" t="s">
        <v>5518</v>
      </c>
      <c r="G247" s="459" t="s">
        <v>1306</v>
      </c>
      <c r="H247" s="193" t="s">
        <v>5519</v>
      </c>
      <c r="I247" s="31" t="s">
        <v>5520</v>
      </c>
      <c r="J247" s="193" t="s">
        <v>1300</v>
      </c>
      <c r="K247" s="125" t="s">
        <v>15</v>
      </c>
      <c r="L247" s="16" t="s">
        <v>5521</v>
      </c>
      <c r="M247" s="8">
        <v>2</v>
      </c>
      <c r="N247" s="31"/>
      <c r="O247" s="428"/>
      <c r="P247" s="31"/>
    </row>
    <row r="248" spans="1:16" s="17" customFormat="1" ht="33" customHeight="1">
      <c r="A248" s="424"/>
      <c r="B248" s="369">
        <v>46125</v>
      </c>
      <c r="C248" s="3" t="s">
        <v>21</v>
      </c>
      <c r="D248" s="3" t="s">
        <v>14</v>
      </c>
      <c r="E248" s="454" t="s">
        <v>1893</v>
      </c>
      <c r="F248" s="454" t="s">
        <v>4939</v>
      </c>
      <c r="G248" s="459" t="s">
        <v>5477</v>
      </c>
      <c r="H248" s="453" t="s">
        <v>5296</v>
      </c>
      <c r="I248" s="453" t="s">
        <v>5514</v>
      </c>
      <c r="J248" s="453" t="s">
        <v>5494</v>
      </c>
      <c r="K248" s="125" t="s">
        <v>15</v>
      </c>
      <c r="L248" s="561" t="s">
        <v>5493</v>
      </c>
      <c r="M248" s="8">
        <v>5</v>
      </c>
      <c r="N248" s="31"/>
      <c r="O248" s="428" t="s">
        <v>5500</v>
      </c>
      <c r="P248" s="31"/>
    </row>
    <row r="249" spans="1:16" s="17" customFormat="1" ht="33" customHeight="1">
      <c r="A249" s="424"/>
      <c r="B249" s="399">
        <v>46126</v>
      </c>
      <c r="C249" s="3" t="s">
        <v>21</v>
      </c>
      <c r="D249" s="3" t="s">
        <v>14</v>
      </c>
      <c r="E249" s="454" t="s">
        <v>1893</v>
      </c>
      <c r="F249" s="454" t="s">
        <v>4939</v>
      </c>
      <c r="G249" s="459" t="s">
        <v>5477</v>
      </c>
      <c r="H249" s="453" t="s">
        <v>5296</v>
      </c>
      <c r="I249" s="453"/>
      <c r="J249" s="453" t="s">
        <v>5534</v>
      </c>
      <c r="K249" s="125" t="s">
        <v>15</v>
      </c>
      <c r="L249" s="561" t="s">
        <v>5493</v>
      </c>
      <c r="M249" s="8">
        <v>3</v>
      </c>
      <c r="N249" s="31"/>
      <c r="O249" s="428"/>
      <c r="P249" s="720"/>
    </row>
    <row r="250" spans="1:16" s="17" customFormat="1" ht="33" customHeight="1">
      <c r="A250" s="424"/>
      <c r="B250" s="399">
        <v>46126</v>
      </c>
      <c r="C250" s="4" t="s">
        <v>5360</v>
      </c>
      <c r="D250" s="4" t="s">
        <v>5361</v>
      </c>
      <c r="E250" s="193" t="s">
        <v>5362</v>
      </c>
      <c r="F250" s="193" t="s">
        <v>3900</v>
      </c>
      <c r="G250" s="16" t="s">
        <v>5363</v>
      </c>
      <c r="H250" s="314" t="s">
        <v>5483</v>
      </c>
      <c r="I250" s="31" t="s">
        <v>5512</v>
      </c>
      <c r="J250" s="193" t="s">
        <v>686</v>
      </c>
      <c r="K250" s="125" t="s">
        <v>105</v>
      </c>
      <c r="L250" s="16" t="s">
        <v>5394</v>
      </c>
      <c r="M250" s="8">
        <v>2</v>
      </c>
      <c r="N250" s="422"/>
      <c r="O250" s="428" t="s">
        <v>5501</v>
      </c>
      <c r="P250" s="31"/>
    </row>
    <row r="251" spans="1:16" s="17" customFormat="1" ht="33" customHeight="1">
      <c r="A251" s="424"/>
      <c r="B251" s="399">
        <v>46127</v>
      </c>
      <c r="C251" s="4" t="s">
        <v>5425</v>
      </c>
      <c r="D251" s="4" t="s">
        <v>5426</v>
      </c>
      <c r="E251" s="291" t="s">
        <v>3309</v>
      </c>
      <c r="F251" s="31" t="s">
        <v>5427</v>
      </c>
      <c r="G251" s="16" t="s">
        <v>5428</v>
      </c>
      <c r="H251" s="193" t="s">
        <v>5497</v>
      </c>
      <c r="I251" s="31" t="s">
        <v>5482</v>
      </c>
      <c r="J251" s="31"/>
      <c r="K251" s="125" t="s">
        <v>5475</v>
      </c>
      <c r="L251" s="16" t="s">
        <v>5486</v>
      </c>
      <c r="M251" s="8">
        <v>1</v>
      </c>
      <c r="N251" s="31"/>
      <c r="O251" s="432" t="s">
        <v>5535</v>
      </c>
      <c r="P251" s="720"/>
    </row>
    <row r="252" spans="1:16" s="17" customFormat="1" ht="33" customHeight="1">
      <c r="A252" s="424"/>
      <c r="B252" s="399">
        <v>46127</v>
      </c>
      <c r="C252" s="3" t="s">
        <v>21</v>
      </c>
      <c r="D252" s="3" t="s">
        <v>14</v>
      </c>
      <c r="E252" s="454" t="s">
        <v>1893</v>
      </c>
      <c r="F252" s="454" t="s">
        <v>4939</v>
      </c>
      <c r="G252" s="459" t="s">
        <v>5477</v>
      </c>
      <c r="H252" s="453" t="s">
        <v>5296</v>
      </c>
      <c r="I252" s="453" t="s">
        <v>3545</v>
      </c>
      <c r="J252" s="453" t="s">
        <v>5478</v>
      </c>
      <c r="K252" s="125" t="s">
        <v>15</v>
      </c>
      <c r="L252" s="561">
        <v>9080</v>
      </c>
      <c r="M252" s="8">
        <v>3</v>
      </c>
      <c r="N252" s="31"/>
      <c r="O252" s="428"/>
      <c r="P252" s="31"/>
    </row>
    <row r="253" spans="1:16" s="17" customFormat="1" ht="33" customHeight="1">
      <c r="A253" s="424"/>
      <c r="B253" s="369">
        <v>46128</v>
      </c>
      <c r="C253" s="4" t="s">
        <v>5196</v>
      </c>
      <c r="D253" s="4" t="s">
        <v>5235</v>
      </c>
      <c r="E253" s="291" t="s">
        <v>5236</v>
      </c>
      <c r="F253" s="31" t="s">
        <v>5237</v>
      </c>
      <c r="G253" s="16" t="s">
        <v>5238</v>
      </c>
      <c r="H253" s="193" t="s">
        <v>5490</v>
      </c>
      <c r="I253" s="31" t="s">
        <v>5239</v>
      </c>
      <c r="J253" s="31"/>
      <c r="K253" s="125" t="s">
        <v>5240</v>
      </c>
      <c r="L253" s="16" t="s">
        <v>5241</v>
      </c>
      <c r="M253" s="8">
        <v>1</v>
      </c>
      <c r="N253" s="31"/>
      <c r="O253" s="428" t="s">
        <v>5545</v>
      </c>
      <c r="P253" s="31"/>
    </row>
    <row r="254" spans="1:16" s="17" customFormat="1" ht="33" customHeight="1">
      <c r="A254" s="424"/>
      <c r="B254" s="369">
        <v>46128</v>
      </c>
      <c r="C254" s="3" t="s">
        <v>21</v>
      </c>
      <c r="D254" s="3" t="s">
        <v>14</v>
      </c>
      <c r="E254" s="454" t="s">
        <v>1893</v>
      </c>
      <c r="F254" s="454" t="s">
        <v>4939</v>
      </c>
      <c r="G254" s="459" t="s">
        <v>5477</v>
      </c>
      <c r="H254" s="453" t="s">
        <v>5296</v>
      </c>
      <c r="I254" s="453"/>
      <c r="J254" s="453" t="s">
        <v>5551</v>
      </c>
      <c r="K254" s="125" t="s">
        <v>15</v>
      </c>
      <c r="L254" s="561">
        <v>9080</v>
      </c>
      <c r="M254" s="8">
        <v>4</v>
      </c>
      <c r="N254" s="31"/>
      <c r="O254" s="428" t="s">
        <v>5550</v>
      </c>
      <c r="P254" s="31"/>
    </row>
    <row r="255" spans="1:16" s="17" customFormat="1" ht="33" customHeight="1">
      <c r="A255" s="424"/>
      <c r="B255" s="369">
        <v>46128</v>
      </c>
      <c r="C255" s="3" t="s">
        <v>24</v>
      </c>
      <c r="D255" s="3" t="s">
        <v>14</v>
      </c>
      <c r="E255" s="454" t="s">
        <v>78</v>
      </c>
      <c r="F255" s="453" t="s">
        <v>3008</v>
      </c>
      <c r="G255" s="459" t="s">
        <v>3801</v>
      </c>
      <c r="H255" s="453" t="s">
        <v>5359</v>
      </c>
      <c r="I255" s="454" t="s">
        <v>3545</v>
      </c>
      <c r="J255" s="454" t="s">
        <v>1300</v>
      </c>
      <c r="K255" s="136" t="s">
        <v>15</v>
      </c>
      <c r="L255" s="459" t="s">
        <v>4550</v>
      </c>
      <c r="M255" s="455">
        <v>2</v>
      </c>
      <c r="N255" s="454"/>
      <c r="O255" s="582" t="s">
        <v>4602</v>
      </c>
      <c r="P255" s="31"/>
    </row>
    <row r="256" spans="1:16" s="17" customFormat="1" ht="33" customHeight="1">
      <c r="A256" s="424"/>
      <c r="B256" s="369">
        <v>46128</v>
      </c>
      <c r="C256" s="3" t="s">
        <v>21</v>
      </c>
      <c r="D256" s="3" t="s">
        <v>14</v>
      </c>
      <c r="E256" s="454" t="s">
        <v>78</v>
      </c>
      <c r="F256" s="472" t="s">
        <v>5503</v>
      </c>
      <c r="G256" s="459" t="s">
        <v>5358</v>
      </c>
      <c r="H256" s="453" t="s">
        <v>3515</v>
      </c>
      <c r="I256" s="454" t="s">
        <v>3545</v>
      </c>
      <c r="J256" s="454" t="s">
        <v>686</v>
      </c>
      <c r="K256" s="136" t="s">
        <v>15</v>
      </c>
      <c r="L256" s="459" t="s">
        <v>4550</v>
      </c>
      <c r="M256" s="455">
        <v>2</v>
      </c>
      <c r="N256" s="454"/>
      <c r="O256" s="582" t="s">
        <v>5498</v>
      </c>
      <c r="P256" s="31"/>
    </row>
    <row r="257" spans="1:16" s="17" customFormat="1" ht="33" customHeight="1">
      <c r="A257" s="424"/>
      <c r="B257" s="399">
        <v>46129</v>
      </c>
      <c r="C257" s="3" t="s">
        <v>21</v>
      </c>
      <c r="D257" s="3" t="s">
        <v>14</v>
      </c>
      <c r="E257" s="454" t="s">
        <v>1893</v>
      </c>
      <c r="F257" s="454" t="s">
        <v>4939</v>
      </c>
      <c r="G257" s="459" t="s">
        <v>5477</v>
      </c>
      <c r="H257" s="453" t="s">
        <v>5296</v>
      </c>
      <c r="I257" s="453"/>
      <c r="J257" s="453" t="s">
        <v>5478</v>
      </c>
      <c r="K257" s="125" t="s">
        <v>15</v>
      </c>
      <c r="L257" s="561">
        <v>9080</v>
      </c>
      <c r="M257" s="8">
        <v>3</v>
      </c>
      <c r="N257" s="31" t="s">
        <v>5597</v>
      </c>
      <c r="O257" s="428"/>
      <c r="P257" s="31"/>
    </row>
    <row r="258" spans="1:16" s="17" customFormat="1" ht="33" customHeight="1">
      <c r="A258" s="424"/>
      <c r="B258" s="369">
        <v>46129</v>
      </c>
      <c r="C258" s="4" t="s">
        <v>21</v>
      </c>
      <c r="D258" s="4" t="s">
        <v>17</v>
      </c>
      <c r="E258" s="193" t="s">
        <v>78</v>
      </c>
      <c r="F258" s="193" t="s">
        <v>3900</v>
      </c>
      <c r="G258" s="16" t="s">
        <v>36</v>
      </c>
      <c r="H258" s="193" t="s">
        <v>5491</v>
      </c>
      <c r="I258" s="31" t="s">
        <v>5567</v>
      </c>
      <c r="J258" s="193" t="s">
        <v>3075</v>
      </c>
      <c r="K258" s="125" t="s">
        <v>105</v>
      </c>
      <c r="L258" s="16" t="s">
        <v>33</v>
      </c>
      <c r="M258" s="8">
        <v>2</v>
      </c>
      <c r="N258" s="31"/>
      <c r="O258" s="428" t="s">
        <v>5515</v>
      </c>
      <c r="P258" s="720"/>
    </row>
    <row r="259" spans="1:16" s="17" customFormat="1" ht="33" customHeight="1">
      <c r="A259" s="424"/>
      <c r="B259" s="369">
        <v>46129</v>
      </c>
      <c r="C259" s="3" t="s">
        <v>21</v>
      </c>
      <c r="D259" s="3" t="s">
        <v>31</v>
      </c>
      <c r="E259" s="453" t="s">
        <v>78</v>
      </c>
      <c r="F259" s="454" t="s">
        <v>2329</v>
      </c>
      <c r="G259" s="459" t="s">
        <v>23</v>
      </c>
      <c r="H259" s="453" t="s">
        <v>5568</v>
      </c>
      <c r="I259" s="31" t="s">
        <v>1277</v>
      </c>
      <c r="J259" s="193"/>
      <c r="K259" s="125" t="s">
        <v>15</v>
      </c>
      <c r="L259" s="16" t="s">
        <v>5566</v>
      </c>
      <c r="M259" s="8">
        <v>1</v>
      </c>
      <c r="N259" s="31"/>
      <c r="O259" s="428" t="s">
        <v>5502</v>
      </c>
      <c r="P259" s="720"/>
    </row>
    <row r="260" spans="1:16" s="17" customFormat="1" ht="33" customHeight="1">
      <c r="A260" s="424"/>
      <c r="B260" s="369">
        <v>46129</v>
      </c>
      <c r="C260" s="3" t="s">
        <v>24</v>
      </c>
      <c r="D260" s="3" t="s">
        <v>14</v>
      </c>
      <c r="E260" s="454" t="s">
        <v>1787</v>
      </c>
      <c r="F260" s="454" t="s">
        <v>2817</v>
      </c>
      <c r="G260" s="459" t="s">
        <v>23</v>
      </c>
      <c r="H260" s="453" t="s">
        <v>5434</v>
      </c>
      <c r="I260" s="454"/>
      <c r="J260" s="453" t="s">
        <v>1316</v>
      </c>
      <c r="K260" s="136" t="s">
        <v>15</v>
      </c>
      <c r="L260" s="459" t="s">
        <v>4550</v>
      </c>
      <c r="M260" s="455">
        <v>2</v>
      </c>
      <c r="N260" s="31"/>
      <c r="O260" s="428" t="s">
        <v>5565</v>
      </c>
      <c r="P260" s="720"/>
    </row>
    <row r="261" spans="1:16" s="17" customFormat="1" ht="33" customHeight="1">
      <c r="A261" s="424"/>
      <c r="B261" s="399">
        <v>46130</v>
      </c>
      <c r="C261" s="3" t="s">
        <v>21</v>
      </c>
      <c r="D261" s="3" t="s">
        <v>14</v>
      </c>
      <c r="E261" s="454" t="s">
        <v>107</v>
      </c>
      <c r="F261" s="454" t="s">
        <v>1968</v>
      </c>
      <c r="G261" s="459" t="s">
        <v>5358</v>
      </c>
      <c r="H261" s="453" t="s">
        <v>4843</v>
      </c>
      <c r="I261" s="454" t="s">
        <v>5546</v>
      </c>
      <c r="J261" s="454" t="s">
        <v>5547</v>
      </c>
      <c r="K261" s="136" t="s">
        <v>15</v>
      </c>
      <c r="L261" s="459" t="s">
        <v>4550</v>
      </c>
      <c r="M261" s="455">
        <v>2</v>
      </c>
      <c r="N261" s="31"/>
      <c r="O261" s="428" t="s">
        <v>5548</v>
      </c>
      <c r="P261" s="720"/>
    </row>
    <row r="262" spans="1:16" s="17" customFormat="1" ht="33" customHeight="1">
      <c r="A262" s="425"/>
      <c r="B262" s="399">
        <v>46130</v>
      </c>
      <c r="C262" s="3" t="s">
        <v>21</v>
      </c>
      <c r="D262" s="3" t="s">
        <v>14</v>
      </c>
      <c r="E262" s="454" t="s">
        <v>107</v>
      </c>
      <c r="F262" s="454" t="s">
        <v>1968</v>
      </c>
      <c r="G262" s="459" t="s">
        <v>3742</v>
      </c>
      <c r="H262" s="453" t="s">
        <v>4843</v>
      </c>
      <c r="I262" s="454" t="s">
        <v>5543</v>
      </c>
      <c r="J262" s="454" t="s">
        <v>5544</v>
      </c>
      <c r="K262" s="136" t="s">
        <v>15</v>
      </c>
      <c r="L262" s="459" t="s">
        <v>33</v>
      </c>
      <c r="M262" s="455">
        <v>4</v>
      </c>
      <c r="N262" s="31"/>
      <c r="O262" s="432" t="s">
        <v>5549</v>
      </c>
      <c r="P262" s="31"/>
    </row>
    <row r="263" spans="1:16" s="17" customFormat="1" ht="33" customHeight="1">
      <c r="A263" s="426" t="s">
        <v>0</v>
      </c>
      <c r="B263" s="323" t="s">
        <v>1</v>
      </c>
      <c r="C263" s="322" t="s">
        <v>2</v>
      </c>
      <c r="D263" s="322" t="s">
        <v>3</v>
      </c>
      <c r="E263" s="322" t="s">
        <v>4</v>
      </c>
      <c r="F263" s="322" t="s">
        <v>5</v>
      </c>
      <c r="G263" s="322" t="s">
        <v>6</v>
      </c>
      <c r="H263" s="324" t="s">
        <v>7</v>
      </c>
      <c r="I263" s="322" t="s">
        <v>8</v>
      </c>
      <c r="J263" s="322" t="s">
        <v>9</v>
      </c>
      <c r="K263" s="325" t="s">
        <v>10</v>
      </c>
      <c r="L263" s="326" t="s">
        <v>11</v>
      </c>
      <c r="M263" s="322" t="s">
        <v>12</v>
      </c>
      <c r="N263" s="327" t="s">
        <v>13</v>
      </c>
      <c r="O263" s="427" t="s">
        <v>63</v>
      </c>
      <c r="P263" s="427" t="s">
        <v>5411</v>
      </c>
    </row>
    <row r="264" spans="1:16" s="17" customFormat="1" ht="33" customHeight="1">
      <c r="A264" s="423" t="s">
        <v>4498</v>
      </c>
      <c r="B264" s="127">
        <v>46132</v>
      </c>
      <c r="C264" s="3" t="s">
        <v>5554</v>
      </c>
      <c r="D264" s="3" t="s">
        <v>14</v>
      </c>
      <c r="E264" s="454" t="s">
        <v>1787</v>
      </c>
      <c r="F264" s="454" t="s">
        <v>5559</v>
      </c>
      <c r="G264" s="459" t="s">
        <v>142</v>
      </c>
      <c r="H264" s="453" t="s">
        <v>5558</v>
      </c>
      <c r="I264" s="454" t="s">
        <v>5552</v>
      </c>
      <c r="J264" s="453" t="s">
        <v>3074</v>
      </c>
      <c r="K264" s="136" t="s">
        <v>5555</v>
      </c>
      <c r="L264" s="459" t="s">
        <v>4550</v>
      </c>
      <c r="M264" s="455">
        <v>3</v>
      </c>
      <c r="N264" s="31"/>
      <c r="O264" s="431" t="s">
        <v>5560</v>
      </c>
      <c r="P264" s="31"/>
    </row>
    <row r="265" spans="1:16" s="17" customFormat="1" ht="33" customHeight="1">
      <c r="A265" s="424"/>
      <c r="B265" s="127">
        <v>46132</v>
      </c>
      <c r="C265" s="3" t="s">
        <v>21</v>
      </c>
      <c r="D265" s="3" t="s">
        <v>14</v>
      </c>
      <c r="E265" s="454" t="s">
        <v>1893</v>
      </c>
      <c r="F265" s="454" t="s">
        <v>4939</v>
      </c>
      <c r="G265" s="459" t="s">
        <v>5477</v>
      </c>
      <c r="H265" s="453" t="s">
        <v>5569</v>
      </c>
      <c r="I265" s="453" t="s">
        <v>3545</v>
      </c>
      <c r="J265" s="453" t="s">
        <v>3282</v>
      </c>
      <c r="K265" s="136" t="s">
        <v>15</v>
      </c>
      <c r="L265" s="561">
        <v>9080</v>
      </c>
      <c r="M265" s="455">
        <v>4</v>
      </c>
      <c r="N265" s="31"/>
      <c r="O265" s="431"/>
      <c r="P265" s="31"/>
    </row>
    <row r="266" spans="1:16" s="17" customFormat="1" ht="33" customHeight="1">
      <c r="A266" s="424"/>
      <c r="B266" s="198">
        <v>46132</v>
      </c>
      <c r="C266" s="3" t="s">
        <v>5531</v>
      </c>
      <c r="D266" s="3" t="s">
        <v>5536</v>
      </c>
      <c r="E266" s="472" t="s">
        <v>107</v>
      </c>
      <c r="F266" s="454" t="s">
        <v>5541</v>
      </c>
      <c r="G266" s="459" t="s">
        <v>1306</v>
      </c>
      <c r="H266" s="453" t="s">
        <v>5570</v>
      </c>
      <c r="I266" s="454" t="s">
        <v>5556</v>
      </c>
      <c r="J266" s="454" t="s">
        <v>3010</v>
      </c>
      <c r="K266" s="136" t="s">
        <v>5542</v>
      </c>
      <c r="L266" s="459" t="s">
        <v>5521</v>
      </c>
      <c r="M266" s="455">
        <v>2</v>
      </c>
      <c r="N266" s="454"/>
      <c r="O266" s="431" t="s">
        <v>5557</v>
      </c>
      <c r="P266" s="31"/>
    </row>
    <row r="267" spans="1:16" s="17" customFormat="1" ht="33" customHeight="1">
      <c r="A267" s="424"/>
      <c r="B267" s="127">
        <v>46132</v>
      </c>
      <c r="C267" s="3" t="s">
        <v>113</v>
      </c>
      <c r="D267" s="3" t="s">
        <v>14</v>
      </c>
      <c r="E267" s="454" t="s">
        <v>1787</v>
      </c>
      <c r="F267" s="454" t="s">
        <v>2135</v>
      </c>
      <c r="G267" s="459" t="s">
        <v>143</v>
      </c>
      <c r="H267" s="453" t="s">
        <v>5561</v>
      </c>
      <c r="I267" s="454" t="s">
        <v>5577</v>
      </c>
      <c r="J267" s="453"/>
      <c r="K267" s="136" t="s">
        <v>15</v>
      </c>
      <c r="L267" s="459" t="s">
        <v>33</v>
      </c>
      <c r="M267" s="455">
        <v>1</v>
      </c>
      <c r="N267" s="31"/>
      <c r="O267" s="431"/>
      <c r="P267" s="31"/>
    </row>
    <row r="268" spans="1:16" s="17" customFormat="1" ht="33" customHeight="1">
      <c r="A268" s="424"/>
      <c r="B268" s="198">
        <v>46133</v>
      </c>
      <c r="C268" s="3" t="s">
        <v>138</v>
      </c>
      <c r="D268" s="3" t="s">
        <v>14</v>
      </c>
      <c r="E268" s="454" t="s">
        <v>1787</v>
      </c>
      <c r="F268" s="454" t="s">
        <v>2817</v>
      </c>
      <c r="G268" s="459" t="s">
        <v>142</v>
      </c>
      <c r="H268" s="453" t="s">
        <v>5259</v>
      </c>
      <c r="I268" s="453" t="s">
        <v>90</v>
      </c>
      <c r="J268" s="453" t="s">
        <v>5562</v>
      </c>
      <c r="K268" s="136" t="s">
        <v>105</v>
      </c>
      <c r="L268" s="459" t="s">
        <v>33</v>
      </c>
      <c r="M268" s="455">
        <v>7</v>
      </c>
      <c r="N268" s="422"/>
      <c r="O268" s="437" t="s">
        <v>5576</v>
      </c>
      <c r="P268" s="31"/>
    </row>
    <row r="269" spans="1:16" s="17" customFormat="1" ht="33" customHeight="1">
      <c r="A269" s="424"/>
      <c r="B269" s="198">
        <v>46134</v>
      </c>
      <c r="C269" s="3" t="s">
        <v>138</v>
      </c>
      <c r="D269" s="3" t="s">
        <v>14</v>
      </c>
      <c r="E269" s="454" t="s">
        <v>1787</v>
      </c>
      <c r="F269" s="454" t="s">
        <v>5553</v>
      </c>
      <c r="G269" s="459" t="s">
        <v>142</v>
      </c>
      <c r="H269" s="453" t="s">
        <v>5481</v>
      </c>
      <c r="I269" s="453" t="s">
        <v>90</v>
      </c>
      <c r="J269" s="453" t="s">
        <v>5562</v>
      </c>
      <c r="K269" s="136" t="s">
        <v>15</v>
      </c>
      <c r="L269" s="459" t="s">
        <v>33</v>
      </c>
      <c r="M269" s="455">
        <v>7</v>
      </c>
      <c r="N269" s="193" t="s">
        <v>5596</v>
      </c>
      <c r="O269" s="437"/>
      <c r="P269" s="31"/>
    </row>
    <row r="270" spans="1:16" s="17" customFormat="1" ht="33" customHeight="1">
      <c r="A270" s="424"/>
      <c r="B270" s="198">
        <v>46135</v>
      </c>
      <c r="C270" s="3" t="s">
        <v>138</v>
      </c>
      <c r="D270" s="3" t="s">
        <v>14</v>
      </c>
      <c r="E270" s="454" t="s">
        <v>1787</v>
      </c>
      <c r="F270" s="454" t="s">
        <v>5553</v>
      </c>
      <c r="G270" s="459" t="s">
        <v>142</v>
      </c>
      <c r="H270" s="453" t="s">
        <v>5292</v>
      </c>
      <c r="I270" s="453" t="s">
        <v>90</v>
      </c>
      <c r="J270" s="453" t="s">
        <v>5284</v>
      </c>
      <c r="K270" s="136" t="s">
        <v>105</v>
      </c>
      <c r="L270" s="459" t="s">
        <v>33</v>
      </c>
      <c r="M270" s="455">
        <v>4</v>
      </c>
      <c r="N270" s="422"/>
      <c r="O270" s="437" t="s">
        <v>5563</v>
      </c>
      <c r="P270" s="31"/>
    </row>
    <row r="271" spans="1:16" s="17" customFormat="1" ht="33" customHeight="1">
      <c r="A271" s="424"/>
      <c r="B271" s="127">
        <v>46135</v>
      </c>
      <c r="C271" s="3" t="s">
        <v>21</v>
      </c>
      <c r="D271" s="3" t="s">
        <v>14</v>
      </c>
      <c r="E271" s="454" t="s">
        <v>1893</v>
      </c>
      <c r="F271" s="454" t="s">
        <v>4939</v>
      </c>
      <c r="G271" s="459" t="s">
        <v>5477</v>
      </c>
      <c r="H271" s="453" t="s">
        <v>5296</v>
      </c>
      <c r="I271" s="453"/>
      <c r="J271" s="453" t="s">
        <v>3282</v>
      </c>
      <c r="K271" s="136" t="s">
        <v>15</v>
      </c>
      <c r="L271" s="561">
        <v>9080</v>
      </c>
      <c r="M271" s="455">
        <v>3</v>
      </c>
      <c r="N271" s="31"/>
      <c r="O271" s="583"/>
      <c r="P271" s="31"/>
    </row>
    <row r="272" spans="1:16" s="17" customFormat="1" ht="33" customHeight="1">
      <c r="A272" s="424"/>
      <c r="B272" s="127">
        <v>46135</v>
      </c>
      <c r="C272" s="3" t="s">
        <v>5578</v>
      </c>
      <c r="D272" s="3" t="s">
        <v>14</v>
      </c>
      <c r="E272" s="454" t="s">
        <v>5579</v>
      </c>
      <c r="F272" s="454" t="s">
        <v>5580</v>
      </c>
      <c r="G272" s="459" t="s">
        <v>142</v>
      </c>
      <c r="H272" s="453" t="s">
        <v>5581</v>
      </c>
      <c r="I272" s="454"/>
      <c r="J272" s="453" t="s">
        <v>5589</v>
      </c>
      <c r="K272" s="136" t="s">
        <v>15</v>
      </c>
      <c r="L272" s="459">
        <v>9080</v>
      </c>
      <c r="M272" s="455">
        <v>2</v>
      </c>
      <c r="N272" s="31"/>
      <c r="O272" s="437" t="s">
        <v>5592</v>
      </c>
      <c r="P272" s="31"/>
    </row>
    <row r="273" spans="1:16" s="17" customFormat="1" ht="33" customHeight="1">
      <c r="A273" s="424"/>
      <c r="B273" s="198">
        <v>46136</v>
      </c>
      <c r="C273" s="3" t="s">
        <v>138</v>
      </c>
      <c r="D273" s="3" t="s">
        <v>14</v>
      </c>
      <c r="E273" s="454" t="s">
        <v>1787</v>
      </c>
      <c r="F273" s="454" t="s">
        <v>2817</v>
      </c>
      <c r="G273" s="459" t="s">
        <v>142</v>
      </c>
      <c r="H273" s="453" t="s">
        <v>5292</v>
      </c>
      <c r="I273" s="453"/>
      <c r="J273" s="453" t="s">
        <v>5284</v>
      </c>
      <c r="K273" s="136" t="s">
        <v>15</v>
      </c>
      <c r="L273" s="459" t="s">
        <v>33</v>
      </c>
      <c r="M273" s="455">
        <v>3</v>
      </c>
      <c r="N273" s="31"/>
      <c r="O273" s="437"/>
      <c r="P273" s="31"/>
    </row>
    <row r="274" spans="1:16" s="17" customFormat="1" ht="33" customHeight="1">
      <c r="A274" s="424"/>
      <c r="B274" s="198">
        <v>46136</v>
      </c>
      <c r="C274" s="3" t="s">
        <v>21</v>
      </c>
      <c r="D274" s="3" t="s">
        <v>14</v>
      </c>
      <c r="E274" s="454" t="s">
        <v>107</v>
      </c>
      <c r="F274" s="454" t="s">
        <v>1968</v>
      </c>
      <c r="G274" s="459" t="s">
        <v>142</v>
      </c>
      <c r="H274" s="453" t="s">
        <v>5397</v>
      </c>
      <c r="I274" s="454" t="s">
        <v>90</v>
      </c>
      <c r="J274" s="454" t="s">
        <v>5595</v>
      </c>
      <c r="K274" s="136" t="s">
        <v>15</v>
      </c>
      <c r="L274" s="459" t="s">
        <v>33</v>
      </c>
      <c r="M274" s="455">
        <v>2</v>
      </c>
      <c r="N274" s="31" t="s">
        <v>5492</v>
      </c>
      <c r="O274" s="437" t="s">
        <v>5592</v>
      </c>
      <c r="P274" s="31"/>
    </row>
    <row r="275" spans="1:16" s="17" customFormat="1" ht="33" customHeight="1">
      <c r="A275" s="424"/>
      <c r="B275" s="127">
        <v>46136</v>
      </c>
      <c r="C275" s="3" t="s">
        <v>21</v>
      </c>
      <c r="D275" s="3" t="s">
        <v>30</v>
      </c>
      <c r="E275" s="454" t="s">
        <v>107</v>
      </c>
      <c r="F275" s="454" t="s">
        <v>1968</v>
      </c>
      <c r="G275" s="459" t="s">
        <v>376</v>
      </c>
      <c r="H275" s="453" t="s">
        <v>5397</v>
      </c>
      <c r="I275" s="454" t="s">
        <v>1277</v>
      </c>
      <c r="J275" s="454" t="s">
        <v>5590</v>
      </c>
      <c r="K275" s="136" t="s">
        <v>15</v>
      </c>
      <c r="L275" s="459" t="s">
        <v>5398</v>
      </c>
      <c r="M275" s="455">
        <v>2</v>
      </c>
      <c r="N275" s="31" t="s">
        <v>5598</v>
      </c>
      <c r="O275" s="437" t="s">
        <v>5591</v>
      </c>
      <c r="P275" s="31"/>
    </row>
    <row r="276" spans="1:16" s="17" customFormat="1" ht="33" customHeight="1">
      <c r="A276" s="424"/>
      <c r="B276" s="399">
        <v>46137</v>
      </c>
      <c r="C276" s="3" t="s">
        <v>138</v>
      </c>
      <c r="D276" s="3" t="s">
        <v>14</v>
      </c>
      <c r="E276" s="454" t="s">
        <v>1787</v>
      </c>
      <c r="F276" s="454" t="s">
        <v>2817</v>
      </c>
      <c r="G276" s="459" t="s">
        <v>142</v>
      </c>
      <c r="H276" s="453" t="s">
        <v>5292</v>
      </c>
      <c r="I276" s="453"/>
      <c r="J276" s="453" t="s">
        <v>5284</v>
      </c>
      <c r="K276" s="136" t="s">
        <v>15</v>
      </c>
      <c r="L276" s="459" t="s">
        <v>5610</v>
      </c>
      <c r="M276" s="455">
        <v>3</v>
      </c>
      <c r="N276" s="31"/>
      <c r="O276" s="437" t="s">
        <v>5611</v>
      </c>
      <c r="P276" s="31"/>
    </row>
    <row r="277" spans="1:16" s="17" customFormat="1" ht="33" customHeight="1">
      <c r="A277" s="425"/>
      <c r="B277" s="399">
        <v>46137</v>
      </c>
      <c r="C277" s="3" t="s">
        <v>21</v>
      </c>
      <c r="D277" s="3" t="s">
        <v>14</v>
      </c>
      <c r="E277" s="454" t="s">
        <v>107</v>
      </c>
      <c r="F277" s="454" t="s">
        <v>1968</v>
      </c>
      <c r="G277" s="459" t="s">
        <v>142</v>
      </c>
      <c r="H277" s="453" t="s">
        <v>5581</v>
      </c>
      <c r="I277" s="454" t="s">
        <v>5608</v>
      </c>
      <c r="J277" s="453" t="s">
        <v>5284</v>
      </c>
      <c r="K277" s="136" t="s">
        <v>15</v>
      </c>
      <c r="L277" s="459" t="s">
        <v>5612</v>
      </c>
      <c r="M277" s="455">
        <v>4</v>
      </c>
      <c r="N277" s="31"/>
      <c r="O277" s="437" t="s">
        <v>5609</v>
      </c>
      <c r="P277" s="31"/>
    </row>
    <row r="278" spans="1:16" s="17" customFormat="1" ht="33" customHeight="1">
      <c r="A278" s="426" t="s">
        <v>0</v>
      </c>
      <c r="B278" s="323" t="s">
        <v>1</v>
      </c>
      <c r="C278" s="322" t="s">
        <v>2</v>
      </c>
      <c r="D278" s="322" t="s">
        <v>3</v>
      </c>
      <c r="E278" s="322" t="s">
        <v>4</v>
      </c>
      <c r="F278" s="322" t="s">
        <v>5</v>
      </c>
      <c r="G278" s="322" t="s">
        <v>6</v>
      </c>
      <c r="H278" s="324" t="s">
        <v>7</v>
      </c>
      <c r="I278" s="322" t="s">
        <v>8</v>
      </c>
      <c r="J278" s="322" t="s">
        <v>9</v>
      </c>
      <c r="K278" s="325" t="s">
        <v>10</v>
      </c>
      <c r="L278" s="326" t="s">
        <v>11</v>
      </c>
      <c r="M278" s="322" t="s">
        <v>12</v>
      </c>
      <c r="N278" s="327" t="s">
        <v>13</v>
      </c>
      <c r="O278" s="427" t="s">
        <v>63</v>
      </c>
      <c r="P278" s="427" t="s">
        <v>5411</v>
      </c>
    </row>
    <row r="279" spans="1:16" s="17" customFormat="1" ht="33" customHeight="1">
      <c r="A279" s="423" t="s">
        <v>4499</v>
      </c>
      <c r="B279" s="369">
        <v>46139</v>
      </c>
      <c r="C279" s="3" t="s">
        <v>21</v>
      </c>
      <c r="D279" s="3" t="s">
        <v>14</v>
      </c>
      <c r="E279" s="454" t="s">
        <v>1893</v>
      </c>
      <c r="F279" s="454" t="s">
        <v>4939</v>
      </c>
      <c r="G279" s="459" t="s">
        <v>5477</v>
      </c>
      <c r="H279" s="453" t="s">
        <v>5296</v>
      </c>
      <c r="I279" s="453"/>
      <c r="J279" s="453" t="s">
        <v>506</v>
      </c>
      <c r="K279" s="136" t="s">
        <v>15</v>
      </c>
      <c r="L279" s="561">
        <v>9080</v>
      </c>
      <c r="M279" s="455">
        <v>3</v>
      </c>
      <c r="N279" s="193" t="s">
        <v>5607</v>
      </c>
      <c r="O279" s="434"/>
      <c r="P279" s="31"/>
    </row>
    <row r="280" spans="1:16" s="17" customFormat="1" ht="33" customHeight="1">
      <c r="A280" s="424"/>
      <c r="B280" s="369">
        <v>46140</v>
      </c>
      <c r="C280" s="4" t="s">
        <v>5582</v>
      </c>
      <c r="D280" s="4" t="s">
        <v>14</v>
      </c>
      <c r="E280" s="31" t="s">
        <v>5583</v>
      </c>
      <c r="F280" s="193" t="s">
        <v>5622</v>
      </c>
      <c r="G280" s="16" t="s">
        <v>23</v>
      </c>
      <c r="H280" s="193" t="s">
        <v>5584</v>
      </c>
      <c r="I280" s="31" t="s">
        <v>5594</v>
      </c>
      <c r="J280" s="454" t="s">
        <v>2828</v>
      </c>
      <c r="K280" s="125" t="s">
        <v>15</v>
      </c>
      <c r="L280" s="459" t="s">
        <v>33</v>
      </c>
      <c r="M280" s="8">
        <v>2</v>
      </c>
      <c r="N280" s="422"/>
      <c r="O280" s="437" t="s">
        <v>5603</v>
      </c>
      <c r="P280" s="31"/>
    </row>
    <row r="281" spans="1:16" s="17" customFormat="1" ht="33" customHeight="1">
      <c r="A281" s="424"/>
      <c r="B281" s="369">
        <v>46140</v>
      </c>
      <c r="C281" s="3" t="s">
        <v>21</v>
      </c>
      <c r="D281" s="3" t="s">
        <v>14</v>
      </c>
      <c r="E281" s="454" t="s">
        <v>1893</v>
      </c>
      <c r="F281" s="454" t="s">
        <v>4939</v>
      </c>
      <c r="G281" s="459" t="s">
        <v>5477</v>
      </c>
      <c r="H281" s="453" t="s">
        <v>5296</v>
      </c>
      <c r="I281" s="453"/>
      <c r="J281" s="453" t="s">
        <v>506</v>
      </c>
      <c r="K281" s="136" t="s">
        <v>15</v>
      </c>
      <c r="L281" s="561">
        <v>9080</v>
      </c>
      <c r="M281" s="455">
        <v>3</v>
      </c>
      <c r="N281" s="31"/>
      <c r="O281" s="437"/>
      <c r="P281" s="31"/>
    </row>
    <row r="282" spans="1:16" s="17" customFormat="1" ht="33" customHeight="1">
      <c r="A282" s="424"/>
      <c r="B282" s="369">
        <v>46140</v>
      </c>
      <c r="C282" s="4" t="s">
        <v>21</v>
      </c>
      <c r="D282" s="4" t="s">
        <v>14</v>
      </c>
      <c r="E282" s="31" t="s">
        <v>78</v>
      </c>
      <c r="F282" s="193" t="s">
        <v>3008</v>
      </c>
      <c r="G282" s="16" t="s">
        <v>1382</v>
      </c>
      <c r="H282" s="193" t="s">
        <v>5438</v>
      </c>
      <c r="I282" s="31" t="s">
        <v>202</v>
      </c>
      <c r="J282" s="31" t="s">
        <v>5623</v>
      </c>
      <c r="K282" s="125" t="s">
        <v>15</v>
      </c>
      <c r="L282" s="16" t="s">
        <v>4550</v>
      </c>
      <c r="M282" s="8">
        <v>2</v>
      </c>
      <c r="N282" s="31"/>
      <c r="O282" s="437" t="s">
        <v>5624</v>
      </c>
      <c r="P282" s="31"/>
    </row>
    <row r="283" spans="1:16" s="17" customFormat="1" ht="33" customHeight="1">
      <c r="A283" s="424"/>
      <c r="B283" s="369">
        <v>46141</v>
      </c>
      <c r="C283" s="3" t="s">
        <v>21</v>
      </c>
      <c r="D283" s="3" t="s">
        <v>14</v>
      </c>
      <c r="E283" s="454" t="s">
        <v>1893</v>
      </c>
      <c r="F283" s="454" t="s">
        <v>4939</v>
      </c>
      <c r="G283" s="459" t="s">
        <v>5477</v>
      </c>
      <c r="H283" s="453" t="s">
        <v>5296</v>
      </c>
      <c r="I283" s="453"/>
      <c r="J283" s="453" t="s">
        <v>506</v>
      </c>
      <c r="K283" s="136" t="s">
        <v>15</v>
      </c>
      <c r="L283" s="561">
        <v>9080</v>
      </c>
      <c r="M283" s="455">
        <v>3</v>
      </c>
      <c r="N283" s="31" t="s">
        <v>5649</v>
      </c>
      <c r="O283" s="437"/>
      <c r="P283" s="31"/>
    </row>
    <row r="284" spans="1:16" s="17" customFormat="1" ht="33" customHeight="1">
      <c r="A284" s="424"/>
      <c r="B284" s="399">
        <v>46142</v>
      </c>
      <c r="C284" s="4" t="s">
        <v>5531</v>
      </c>
      <c r="D284" s="4" t="s">
        <v>5536</v>
      </c>
      <c r="E284" s="31" t="s">
        <v>5537</v>
      </c>
      <c r="F284" s="193" t="s">
        <v>5538</v>
      </c>
      <c r="G284" s="16" t="s">
        <v>5539</v>
      </c>
      <c r="H284" s="193" t="s">
        <v>5540</v>
      </c>
      <c r="I284" s="31"/>
      <c r="J284" s="193" t="s">
        <v>68</v>
      </c>
      <c r="K284" s="125" t="s">
        <v>15</v>
      </c>
      <c r="L284" s="16" t="s">
        <v>4550</v>
      </c>
      <c r="M284" s="8">
        <v>1</v>
      </c>
      <c r="N284" s="31" t="s">
        <v>4665</v>
      </c>
      <c r="O284" s="437" t="s">
        <v>5645</v>
      </c>
      <c r="P284" s="31"/>
    </row>
    <row r="285" spans="1:16" s="17" customFormat="1" ht="33" customHeight="1">
      <c r="A285" s="424"/>
      <c r="B285" s="369">
        <v>46142</v>
      </c>
      <c r="C285" s="3" t="s">
        <v>5638</v>
      </c>
      <c r="D285" s="3" t="s">
        <v>5639</v>
      </c>
      <c r="E285" s="454" t="s">
        <v>5640</v>
      </c>
      <c r="F285" s="454" t="s">
        <v>5641</v>
      </c>
      <c r="G285" s="459" t="s">
        <v>5642</v>
      </c>
      <c r="H285" s="453" t="s">
        <v>481</v>
      </c>
      <c r="I285" s="454" t="s">
        <v>5643</v>
      </c>
      <c r="J285" s="453" t="s">
        <v>5644</v>
      </c>
      <c r="K285" s="136" t="s">
        <v>5634</v>
      </c>
      <c r="L285" s="459">
        <v>9080</v>
      </c>
      <c r="M285" s="455">
        <v>3</v>
      </c>
      <c r="N285" s="422"/>
      <c r="O285" s="583" t="s">
        <v>5648</v>
      </c>
      <c r="P285" s="31"/>
    </row>
    <row r="286" spans="1:16" s="17" customFormat="1" ht="33" customHeight="1">
      <c r="A286" s="424"/>
      <c r="B286" s="369">
        <v>46142</v>
      </c>
      <c r="C286" s="3" t="s">
        <v>21</v>
      </c>
      <c r="D286" s="3" t="s">
        <v>14</v>
      </c>
      <c r="E286" s="454" t="s">
        <v>1893</v>
      </c>
      <c r="F286" s="454" t="s">
        <v>4939</v>
      </c>
      <c r="G286" s="459" t="s">
        <v>5477</v>
      </c>
      <c r="H286" s="453" t="s">
        <v>5296</v>
      </c>
      <c r="I286" s="453"/>
      <c r="J286" s="453" t="s">
        <v>506</v>
      </c>
      <c r="K286" s="136" t="s">
        <v>15</v>
      </c>
      <c r="L286" s="561">
        <v>9080</v>
      </c>
      <c r="M286" s="455">
        <v>3</v>
      </c>
      <c r="N286" s="31"/>
      <c r="O286" s="583"/>
      <c r="P286" s="31"/>
    </row>
    <row r="287" spans="1:16" s="17" customFormat="1" ht="33" customHeight="1">
      <c r="A287" s="424"/>
      <c r="B287" s="369">
        <v>46142</v>
      </c>
      <c r="C287" s="4" t="s">
        <v>5653</v>
      </c>
      <c r="D287" s="4"/>
      <c r="E287" s="314" t="s">
        <v>5585</v>
      </c>
      <c r="F287" s="31"/>
      <c r="G287" s="16"/>
      <c r="H287" s="193" t="s">
        <v>5668</v>
      </c>
      <c r="I287" s="31" t="s">
        <v>5586</v>
      </c>
      <c r="J287" s="193"/>
      <c r="K287" s="125"/>
      <c r="L287" s="16" t="s">
        <v>5587</v>
      </c>
      <c r="M287" s="8">
        <v>1</v>
      </c>
      <c r="N287" s="31"/>
      <c r="O287" s="437"/>
      <c r="P287" s="31"/>
    </row>
    <row r="288" spans="1:16" s="17" customFormat="1" ht="33" customHeight="1">
      <c r="A288" s="424"/>
      <c r="B288" s="369">
        <v>46142</v>
      </c>
      <c r="C288" s="4"/>
      <c r="D288" s="4"/>
      <c r="E288" s="31"/>
      <c r="F288" s="31"/>
      <c r="G288" s="16"/>
      <c r="H288" s="597" t="s">
        <v>5635</v>
      </c>
      <c r="I288" s="31"/>
      <c r="J288" s="193"/>
      <c r="K288" s="125"/>
      <c r="L288" s="16"/>
      <c r="M288" s="8"/>
      <c r="N288" s="31"/>
      <c r="O288" s="437"/>
      <c r="P288" s="31"/>
    </row>
    <row r="289" spans="1:16" s="17" customFormat="1" ht="33" customHeight="1">
      <c r="A289" s="424"/>
      <c r="B289" s="399">
        <v>46143</v>
      </c>
      <c r="C289" s="4"/>
      <c r="D289" s="4"/>
      <c r="E289" s="31"/>
      <c r="F289" s="31"/>
      <c r="G289" s="16"/>
      <c r="H289" s="404" t="s">
        <v>5271</v>
      </c>
      <c r="I289" s="31"/>
      <c r="J289" s="31"/>
      <c r="K289" s="125"/>
      <c r="L289" s="16"/>
      <c r="M289" s="8"/>
      <c r="N289" s="31"/>
      <c r="O289" s="437"/>
      <c r="P289" s="31"/>
    </row>
    <row r="290" spans="1:16" s="17" customFormat="1" ht="33" customHeight="1">
      <c r="A290" s="425"/>
      <c r="B290" s="399">
        <v>46144</v>
      </c>
      <c r="C290" s="4"/>
      <c r="D290" s="4"/>
      <c r="E290" s="31"/>
      <c r="F290" s="31"/>
      <c r="G290" s="16"/>
      <c r="H290" s="193"/>
      <c r="I290" s="193"/>
      <c r="J290" s="193"/>
      <c r="K290" s="125"/>
      <c r="L290" s="16"/>
      <c r="M290" s="8"/>
      <c r="N290" s="31"/>
      <c r="O290" s="583"/>
      <c r="P290" s="31"/>
    </row>
    <row r="291" spans="1:16" s="17" customFormat="1" ht="33" customHeight="1">
      <c r="A291" s="426" t="s">
        <v>0</v>
      </c>
      <c r="B291" s="323" t="s">
        <v>1</v>
      </c>
      <c r="C291" s="322" t="s">
        <v>2</v>
      </c>
      <c r="D291" s="322" t="s">
        <v>3</v>
      </c>
      <c r="E291" s="322" t="s">
        <v>4</v>
      </c>
      <c r="F291" s="322" t="s">
        <v>5</v>
      </c>
      <c r="G291" s="322" t="s">
        <v>6</v>
      </c>
      <c r="H291" s="324" t="s">
        <v>7</v>
      </c>
      <c r="I291" s="322" t="s">
        <v>8</v>
      </c>
      <c r="J291" s="322" t="s">
        <v>9</v>
      </c>
      <c r="K291" s="325" t="s">
        <v>10</v>
      </c>
      <c r="L291" s="326" t="s">
        <v>11</v>
      </c>
      <c r="M291" s="322" t="s">
        <v>12</v>
      </c>
      <c r="N291" s="327" t="s">
        <v>13</v>
      </c>
      <c r="O291" s="427" t="s">
        <v>63</v>
      </c>
      <c r="P291" s="427" t="s">
        <v>5411</v>
      </c>
    </row>
    <row r="292" spans="1:16" s="17" customFormat="1" ht="33" customHeight="1">
      <c r="A292" s="423" t="s">
        <v>4500</v>
      </c>
      <c r="B292" s="369">
        <v>46146</v>
      </c>
      <c r="C292" s="4"/>
      <c r="D292" s="4"/>
      <c r="E292" s="31"/>
      <c r="F292" s="193"/>
      <c r="G292" s="16"/>
      <c r="H292" s="404" t="s">
        <v>5620</v>
      </c>
      <c r="I292" s="31"/>
      <c r="J292" s="31"/>
      <c r="K292" s="125"/>
      <c r="L292" s="16"/>
      <c r="M292" s="8"/>
      <c r="N292" s="31"/>
      <c r="O292" s="431"/>
      <c r="P292" s="31"/>
    </row>
    <row r="293" spans="1:16" s="17" customFormat="1" ht="33" customHeight="1">
      <c r="A293" s="424"/>
      <c r="B293" s="369">
        <v>46146</v>
      </c>
      <c r="C293" s="4" t="s">
        <v>113</v>
      </c>
      <c r="D293" s="4" t="s">
        <v>550</v>
      </c>
      <c r="E293" s="31" t="s">
        <v>5632</v>
      </c>
      <c r="F293" s="193" t="s">
        <v>5652</v>
      </c>
      <c r="G293" s="16" t="s">
        <v>106</v>
      </c>
      <c r="H293" s="193" t="s">
        <v>5633</v>
      </c>
      <c r="I293" s="31"/>
      <c r="J293" s="193" t="s">
        <v>3075</v>
      </c>
      <c r="K293" s="125" t="s">
        <v>181</v>
      </c>
      <c r="L293" s="16" t="s">
        <v>4550</v>
      </c>
      <c r="M293" s="8">
        <v>1</v>
      </c>
      <c r="N293" s="31"/>
      <c r="O293" s="431" t="s">
        <v>5662</v>
      </c>
      <c r="P293" s="31"/>
    </row>
    <row r="294" spans="1:16" s="17" customFormat="1" ht="33" customHeight="1">
      <c r="A294" s="424"/>
      <c r="B294" s="399">
        <v>46147</v>
      </c>
      <c r="C294" s="4"/>
      <c r="D294" s="4"/>
      <c r="E294" s="31"/>
      <c r="F294" s="31"/>
      <c r="G294" s="16"/>
      <c r="H294" s="404" t="s">
        <v>4753</v>
      </c>
      <c r="I294" s="31"/>
      <c r="J294" s="193"/>
      <c r="K294" s="125"/>
      <c r="L294" s="16"/>
      <c r="M294" s="8"/>
      <c r="N294" s="422"/>
      <c r="O294" s="430"/>
      <c r="P294" s="31"/>
    </row>
    <row r="295" spans="1:16" s="17" customFormat="1" ht="33" customHeight="1">
      <c r="A295" s="424"/>
      <c r="B295" s="369">
        <v>46148</v>
      </c>
      <c r="C295" s="59" t="s">
        <v>5654</v>
      </c>
      <c r="D295" s="59"/>
      <c r="E295" s="311" t="s">
        <v>1787</v>
      </c>
      <c r="F295" s="311"/>
      <c r="G295" s="197"/>
      <c r="H295" s="310" t="s">
        <v>5618</v>
      </c>
      <c r="I295" s="311" t="s">
        <v>5619</v>
      </c>
      <c r="J295" s="310"/>
      <c r="K295" s="309" t="s">
        <v>105</v>
      </c>
      <c r="L295" s="197" t="s">
        <v>5658</v>
      </c>
      <c r="M295" s="182">
        <v>1</v>
      </c>
      <c r="N295" s="31" t="s">
        <v>4665</v>
      </c>
      <c r="O295" s="437"/>
      <c r="P295" s="31"/>
    </row>
    <row r="296" spans="1:16" s="17" customFormat="1" ht="33" customHeight="1">
      <c r="A296" s="424"/>
      <c r="B296" s="399">
        <v>46148</v>
      </c>
      <c r="C296" s="3" t="s">
        <v>21</v>
      </c>
      <c r="D296" s="3" t="s">
        <v>14</v>
      </c>
      <c r="E296" s="454" t="s">
        <v>1893</v>
      </c>
      <c r="F296" s="454" t="s">
        <v>4939</v>
      </c>
      <c r="G296" s="459" t="s">
        <v>5477</v>
      </c>
      <c r="H296" s="453" t="s">
        <v>5296</v>
      </c>
      <c r="I296" s="453" t="s">
        <v>5659</v>
      </c>
      <c r="J296" s="453" t="s">
        <v>5660</v>
      </c>
      <c r="K296" s="136" t="s">
        <v>15</v>
      </c>
      <c r="L296" s="561" t="s">
        <v>5661</v>
      </c>
      <c r="M296" s="455">
        <v>5</v>
      </c>
      <c r="N296" s="31"/>
      <c r="O296" s="432"/>
      <c r="P296" s="31"/>
    </row>
    <row r="297" spans="1:16" s="17" customFormat="1" ht="33" customHeight="1">
      <c r="A297" s="424"/>
      <c r="B297" s="399">
        <v>46148</v>
      </c>
      <c r="C297" s="3" t="s">
        <v>21</v>
      </c>
      <c r="D297" s="3" t="s">
        <v>14</v>
      </c>
      <c r="E297" s="472" t="s">
        <v>107</v>
      </c>
      <c r="F297" s="454" t="s">
        <v>2959</v>
      </c>
      <c r="G297" s="459" t="s">
        <v>143</v>
      </c>
      <c r="H297" s="453" t="s">
        <v>5570</v>
      </c>
      <c r="I297" s="454" t="s">
        <v>5637</v>
      </c>
      <c r="J297" s="454" t="s">
        <v>5606</v>
      </c>
      <c r="K297" s="136" t="s">
        <v>15</v>
      </c>
      <c r="L297" s="459" t="s">
        <v>4550</v>
      </c>
      <c r="M297" s="455">
        <v>3</v>
      </c>
      <c r="N297" s="31"/>
      <c r="O297" s="432" t="s">
        <v>5647</v>
      </c>
      <c r="P297" s="31"/>
    </row>
    <row r="298" spans="1:16" s="17" customFormat="1" ht="33" customHeight="1">
      <c r="A298" s="424"/>
      <c r="B298" s="399">
        <v>46149</v>
      </c>
      <c r="C298" s="3" t="s">
        <v>21</v>
      </c>
      <c r="D298" s="3" t="s">
        <v>14</v>
      </c>
      <c r="E298" s="454" t="s">
        <v>107</v>
      </c>
      <c r="F298" s="454" t="s">
        <v>3386</v>
      </c>
      <c r="G298" s="459" t="s">
        <v>23</v>
      </c>
      <c r="H298" s="453" t="s">
        <v>5588</v>
      </c>
      <c r="I298" s="454" t="s">
        <v>5636</v>
      </c>
      <c r="J298" s="454"/>
      <c r="K298" s="136" t="s">
        <v>15</v>
      </c>
      <c r="L298" s="459" t="s">
        <v>33</v>
      </c>
      <c r="M298" s="455">
        <v>2</v>
      </c>
      <c r="N298" s="31"/>
      <c r="O298" s="583" t="s">
        <v>5646</v>
      </c>
      <c r="P298" s="31"/>
    </row>
    <row r="299" spans="1:16" s="17" customFormat="1" ht="33" customHeight="1">
      <c r="A299" s="424"/>
      <c r="B299" s="369">
        <v>46149</v>
      </c>
      <c r="C299" s="3" t="s">
        <v>21</v>
      </c>
      <c r="D299" s="3" t="s">
        <v>14</v>
      </c>
      <c r="E299" s="472" t="s">
        <v>107</v>
      </c>
      <c r="F299" s="454" t="s">
        <v>2959</v>
      </c>
      <c r="G299" s="459" t="s">
        <v>143</v>
      </c>
      <c r="H299" s="453" t="s">
        <v>5570</v>
      </c>
      <c r="I299" s="454" t="s">
        <v>5637</v>
      </c>
      <c r="J299" s="454" t="s">
        <v>5606</v>
      </c>
      <c r="K299" s="136" t="s">
        <v>15</v>
      </c>
      <c r="L299" s="459" t="s">
        <v>4550</v>
      </c>
      <c r="M299" s="455">
        <v>3</v>
      </c>
      <c r="N299" s="31"/>
      <c r="O299" s="583"/>
      <c r="P299" s="31"/>
    </row>
    <row r="300" spans="1:16" s="17" customFormat="1" ht="33" customHeight="1">
      <c r="A300" s="424"/>
      <c r="B300" s="369">
        <v>46149</v>
      </c>
      <c r="C300" s="3" t="s">
        <v>21</v>
      </c>
      <c r="D300" s="3" t="s">
        <v>14</v>
      </c>
      <c r="E300" s="454" t="s">
        <v>1893</v>
      </c>
      <c r="F300" s="454" t="s">
        <v>4939</v>
      </c>
      <c r="G300" s="459" t="s">
        <v>5477</v>
      </c>
      <c r="H300" s="453" t="s">
        <v>5296</v>
      </c>
      <c r="I300" s="453"/>
      <c r="J300" s="453" t="s">
        <v>5695</v>
      </c>
      <c r="K300" s="136" t="s">
        <v>15</v>
      </c>
      <c r="L300" s="561">
        <v>9080</v>
      </c>
      <c r="M300" s="455">
        <v>3</v>
      </c>
      <c r="N300" s="31"/>
      <c r="O300" s="583"/>
      <c r="P300" s="31"/>
    </row>
    <row r="301" spans="1:16" s="17" customFormat="1" ht="33" customHeight="1">
      <c r="A301" s="424"/>
      <c r="B301" s="369">
        <v>46150</v>
      </c>
      <c r="C301" s="3" t="s">
        <v>21</v>
      </c>
      <c r="D301" s="3" t="s">
        <v>14</v>
      </c>
      <c r="E301" s="454" t="s">
        <v>1893</v>
      </c>
      <c r="F301" s="454" t="s">
        <v>4939</v>
      </c>
      <c r="G301" s="459" t="s">
        <v>5477</v>
      </c>
      <c r="H301" s="453" t="s">
        <v>5296</v>
      </c>
      <c r="I301" s="453"/>
      <c r="J301" s="453" t="s">
        <v>506</v>
      </c>
      <c r="K301" s="136" t="s">
        <v>15</v>
      </c>
      <c r="L301" s="561">
        <v>9080</v>
      </c>
      <c r="M301" s="455">
        <v>3</v>
      </c>
      <c r="N301" s="638" t="s">
        <v>5621</v>
      </c>
      <c r="O301" s="437"/>
      <c r="P301" s="31"/>
    </row>
    <row r="302" spans="1:16" s="17" customFormat="1" ht="33" customHeight="1">
      <c r="A302" s="424"/>
      <c r="B302" s="369">
        <v>46150</v>
      </c>
      <c r="C302" s="4" t="s">
        <v>21</v>
      </c>
      <c r="D302" s="4" t="s">
        <v>14</v>
      </c>
      <c r="E302" s="31" t="s">
        <v>1787</v>
      </c>
      <c r="F302" s="31" t="s">
        <v>2978</v>
      </c>
      <c r="G302" s="16" t="s">
        <v>143</v>
      </c>
      <c r="H302" s="193" t="s">
        <v>900</v>
      </c>
      <c r="I302" s="31" t="s">
        <v>120</v>
      </c>
      <c r="J302" s="193"/>
      <c r="K302" s="125"/>
      <c r="L302" s="16" t="s">
        <v>4379</v>
      </c>
      <c r="M302" s="8">
        <v>1</v>
      </c>
      <c r="N302" s="31"/>
      <c r="O302" s="437"/>
      <c r="P302" s="31"/>
    </row>
    <row r="303" spans="1:16" s="17" customFormat="1" ht="33" customHeight="1">
      <c r="A303" s="424"/>
      <c r="B303" s="369">
        <v>46150</v>
      </c>
      <c r="C303" s="4" t="s">
        <v>21</v>
      </c>
      <c r="D303" s="4" t="s">
        <v>14</v>
      </c>
      <c r="E303" s="31" t="s">
        <v>1787</v>
      </c>
      <c r="F303" s="31" t="s">
        <v>2817</v>
      </c>
      <c r="G303" s="16" t="s">
        <v>67</v>
      </c>
      <c r="H303" s="193" t="s">
        <v>5674</v>
      </c>
      <c r="I303" s="31" t="s">
        <v>5673</v>
      </c>
      <c r="J303" s="193" t="s">
        <v>5672</v>
      </c>
      <c r="K303" s="125" t="s">
        <v>105</v>
      </c>
      <c r="L303" s="16" t="s">
        <v>4550</v>
      </c>
      <c r="M303" s="8">
        <v>3</v>
      </c>
      <c r="N303" s="31"/>
      <c r="O303" s="583"/>
      <c r="P303" s="31"/>
    </row>
    <row r="304" spans="1:16" s="17" customFormat="1" ht="33" customHeight="1">
      <c r="A304" s="424"/>
      <c r="B304" s="399">
        <v>46151</v>
      </c>
      <c r="C304" s="4"/>
      <c r="D304" s="4"/>
      <c r="E304" s="31"/>
      <c r="F304" s="31"/>
      <c r="G304" s="16"/>
      <c r="H304" s="193"/>
      <c r="I304" s="193"/>
      <c r="J304" s="193"/>
      <c r="K304" s="125"/>
      <c r="L304" s="16"/>
      <c r="M304" s="8"/>
      <c r="N304" s="193"/>
      <c r="O304" s="438"/>
      <c r="P304" s="31"/>
    </row>
    <row r="305" spans="1:16" s="17" customFormat="1" ht="33" customHeight="1">
      <c r="A305" s="425"/>
      <c r="B305" s="399">
        <v>46151</v>
      </c>
      <c r="C305" s="4"/>
      <c r="D305" s="4"/>
      <c r="E305" s="31"/>
      <c r="F305" s="31"/>
      <c r="G305" s="16"/>
      <c r="H305" s="193"/>
      <c r="I305" s="193"/>
      <c r="J305" s="193"/>
      <c r="K305" s="125"/>
      <c r="L305" s="16"/>
      <c r="M305" s="8"/>
      <c r="N305" s="31"/>
      <c r="O305" s="432"/>
      <c r="P305" s="31"/>
    </row>
    <row r="306" spans="1:16" s="17" customFormat="1" ht="33" customHeight="1">
      <c r="A306" s="426" t="s">
        <v>0</v>
      </c>
      <c r="B306" s="323" t="s">
        <v>1</v>
      </c>
      <c r="C306" s="322" t="s">
        <v>2</v>
      </c>
      <c r="D306" s="322" t="s">
        <v>3</v>
      </c>
      <c r="E306" s="322" t="s">
        <v>4</v>
      </c>
      <c r="F306" s="322" t="s">
        <v>5</v>
      </c>
      <c r="G306" s="322" t="s">
        <v>6</v>
      </c>
      <c r="H306" s="324" t="s">
        <v>7</v>
      </c>
      <c r="I306" s="322" t="s">
        <v>8</v>
      </c>
      <c r="J306" s="322" t="s">
        <v>9</v>
      </c>
      <c r="K306" s="325" t="s">
        <v>10</v>
      </c>
      <c r="L306" s="326" t="s">
        <v>11</v>
      </c>
      <c r="M306" s="322" t="s">
        <v>12</v>
      </c>
      <c r="N306" s="327" t="s">
        <v>13</v>
      </c>
      <c r="O306" s="427" t="s">
        <v>63</v>
      </c>
      <c r="P306" s="427" t="s">
        <v>5411</v>
      </c>
    </row>
    <row r="307" spans="1:16" s="17" customFormat="1" ht="33" customHeight="1">
      <c r="A307" s="423" t="s">
        <v>4501</v>
      </c>
      <c r="B307" s="399">
        <v>46153</v>
      </c>
      <c r="C307" s="3" t="s">
        <v>21</v>
      </c>
      <c r="D307" s="3" t="s">
        <v>14</v>
      </c>
      <c r="E307" s="454" t="s">
        <v>1893</v>
      </c>
      <c r="F307" s="454" t="s">
        <v>4939</v>
      </c>
      <c r="G307" s="459" t="s">
        <v>5711</v>
      </c>
      <c r="H307" s="193" t="s">
        <v>271</v>
      </c>
      <c r="I307" s="31" t="s">
        <v>202</v>
      </c>
      <c r="J307" s="31" t="s">
        <v>5710</v>
      </c>
      <c r="K307" s="125" t="s">
        <v>5605</v>
      </c>
      <c r="L307" s="16">
        <v>9080</v>
      </c>
      <c r="M307" s="8">
        <v>4</v>
      </c>
      <c r="N307" s="31" t="s">
        <v>5708</v>
      </c>
      <c r="O307" s="431"/>
      <c r="P307" s="31"/>
    </row>
    <row r="308" spans="1:16" s="17" customFormat="1" ht="33" customHeight="1">
      <c r="A308" s="424"/>
      <c r="B308" s="399">
        <v>46153</v>
      </c>
      <c r="C308" s="3" t="s">
        <v>24</v>
      </c>
      <c r="D308" s="3" t="s">
        <v>14</v>
      </c>
      <c r="E308" s="454" t="s">
        <v>5707</v>
      </c>
      <c r="F308" s="454" t="s">
        <v>1968</v>
      </c>
      <c r="G308" s="459" t="s">
        <v>142</v>
      </c>
      <c r="H308" s="453" t="s">
        <v>5706</v>
      </c>
      <c r="I308" s="454" t="s">
        <v>5669</v>
      </c>
      <c r="J308" s="454" t="s">
        <v>3074</v>
      </c>
      <c r="K308" s="136" t="s">
        <v>5670</v>
      </c>
      <c r="L308" s="459" t="s">
        <v>4550</v>
      </c>
      <c r="M308" s="455">
        <v>2</v>
      </c>
      <c r="N308" s="453" t="s">
        <v>5739</v>
      </c>
      <c r="O308" s="457"/>
      <c r="P308" s="31"/>
    </row>
    <row r="309" spans="1:16" s="17" customFormat="1" ht="33" customHeight="1">
      <c r="A309" s="424"/>
      <c r="B309" s="369">
        <v>46154</v>
      </c>
      <c r="C309" s="3" t="s">
        <v>21</v>
      </c>
      <c r="D309" s="3" t="s">
        <v>14</v>
      </c>
      <c r="E309" s="454" t="s">
        <v>1787</v>
      </c>
      <c r="F309" s="453" t="s">
        <v>2978</v>
      </c>
      <c r="G309" s="459" t="s">
        <v>143</v>
      </c>
      <c r="H309" s="453" t="s">
        <v>5593</v>
      </c>
      <c r="I309" s="454" t="s">
        <v>5671</v>
      </c>
      <c r="J309" s="454"/>
      <c r="K309" s="136" t="s">
        <v>15</v>
      </c>
      <c r="L309" s="459" t="s">
        <v>33</v>
      </c>
      <c r="M309" s="455">
        <v>2</v>
      </c>
      <c r="N309" s="454"/>
      <c r="O309" s="666"/>
      <c r="P309" s="31"/>
    </row>
    <row r="310" spans="1:16" s="17" customFormat="1" ht="33" customHeight="1">
      <c r="A310" s="424"/>
      <c r="B310" s="369">
        <v>46154</v>
      </c>
      <c r="C310" s="3" t="s">
        <v>21</v>
      </c>
      <c r="D310" s="3" t="s">
        <v>14</v>
      </c>
      <c r="E310" s="454" t="s">
        <v>1893</v>
      </c>
      <c r="F310" s="454" t="s">
        <v>4939</v>
      </c>
      <c r="G310" s="459" t="s">
        <v>5711</v>
      </c>
      <c r="H310" s="193" t="s">
        <v>271</v>
      </c>
      <c r="I310" s="31" t="s">
        <v>202</v>
      </c>
      <c r="J310" s="31" t="s">
        <v>5710</v>
      </c>
      <c r="K310" s="125" t="s">
        <v>15</v>
      </c>
      <c r="L310" s="16">
        <v>9080</v>
      </c>
      <c r="M310" s="8">
        <v>4</v>
      </c>
      <c r="N310" s="454"/>
      <c r="O310" s="666"/>
      <c r="P310" s="31"/>
    </row>
    <row r="311" spans="1:16" s="17" customFormat="1" ht="33" customHeight="1">
      <c r="A311" s="424"/>
      <c r="B311" s="399">
        <v>46154</v>
      </c>
      <c r="C311" s="4"/>
      <c r="D311" s="4"/>
      <c r="E311" s="193" t="s">
        <v>5712</v>
      </c>
      <c r="F311" s="31"/>
      <c r="G311" s="16"/>
      <c r="H311" s="193" t="s">
        <v>5714</v>
      </c>
      <c r="I311" s="31" t="s">
        <v>5713</v>
      </c>
      <c r="J311" s="193"/>
      <c r="K311" s="125"/>
      <c r="L311" s="16" t="s">
        <v>5715</v>
      </c>
      <c r="M311" s="8">
        <v>1</v>
      </c>
      <c r="N311" s="422"/>
      <c r="O311" s="430"/>
      <c r="P311" s="31"/>
    </row>
    <row r="312" spans="1:16" s="17" customFormat="1" ht="33" customHeight="1">
      <c r="A312" s="424"/>
      <c r="B312" s="369">
        <v>46155</v>
      </c>
      <c r="C312" s="3" t="s">
        <v>21</v>
      </c>
      <c r="D312" s="3" t="s">
        <v>14</v>
      </c>
      <c r="E312" s="454" t="s">
        <v>1893</v>
      </c>
      <c r="F312" s="454" t="s">
        <v>4939</v>
      </c>
      <c r="G312" s="459" t="s">
        <v>5711</v>
      </c>
      <c r="H312" s="193" t="s">
        <v>5774</v>
      </c>
      <c r="I312" s="31"/>
      <c r="J312" s="31" t="s">
        <v>5775</v>
      </c>
      <c r="K312" s="125" t="s">
        <v>15</v>
      </c>
      <c r="L312" s="16">
        <v>9080</v>
      </c>
      <c r="M312" s="8">
        <v>4</v>
      </c>
      <c r="N312" s="31" t="s">
        <v>4665</v>
      </c>
      <c r="O312" s="430"/>
      <c r="P312" s="31"/>
    </row>
    <row r="313" spans="1:16" s="17" customFormat="1" ht="33" customHeight="1">
      <c r="A313" s="424"/>
      <c r="B313" s="399">
        <v>46156</v>
      </c>
      <c r="C313" s="4" t="s">
        <v>5701</v>
      </c>
      <c r="D313" s="4" t="s">
        <v>5702</v>
      </c>
      <c r="E313" s="31" t="s">
        <v>5703</v>
      </c>
      <c r="F313" s="31" t="s">
        <v>5704</v>
      </c>
      <c r="G313" s="16" t="s">
        <v>2917</v>
      </c>
      <c r="H313" s="193" t="s">
        <v>5776</v>
      </c>
      <c r="I313" s="31" t="s">
        <v>5671</v>
      </c>
      <c r="J313" s="193"/>
      <c r="K313" s="125" t="s">
        <v>5705</v>
      </c>
      <c r="L313" s="16" t="s">
        <v>5699</v>
      </c>
      <c r="M313" s="8">
        <v>2</v>
      </c>
      <c r="N313" s="422"/>
      <c r="O313" s="430"/>
      <c r="P313" s="31"/>
    </row>
    <row r="314" spans="1:16" s="17" customFormat="1" ht="33" customHeight="1">
      <c r="A314" s="424"/>
      <c r="B314" s="399">
        <v>46156</v>
      </c>
      <c r="C314" s="3" t="s">
        <v>21</v>
      </c>
      <c r="D314" s="3" t="s">
        <v>14</v>
      </c>
      <c r="E314" s="454" t="s">
        <v>1893</v>
      </c>
      <c r="F314" s="454" t="s">
        <v>4939</v>
      </c>
      <c r="G314" s="459" t="s">
        <v>2193</v>
      </c>
      <c r="H314" s="193" t="s">
        <v>5772</v>
      </c>
      <c r="I314" s="31" t="s">
        <v>202</v>
      </c>
      <c r="J314" s="31" t="s">
        <v>5773</v>
      </c>
      <c r="K314" s="125" t="s">
        <v>15</v>
      </c>
      <c r="L314" s="16">
        <v>9080</v>
      </c>
      <c r="M314" s="8">
        <v>4</v>
      </c>
      <c r="N314" s="31"/>
      <c r="O314" s="432"/>
      <c r="P314" s="31"/>
    </row>
    <row r="315" spans="1:16" s="17" customFormat="1" ht="33" customHeight="1">
      <c r="A315" s="424"/>
      <c r="B315" s="369">
        <v>46157</v>
      </c>
      <c r="C315" s="3" t="s">
        <v>4506</v>
      </c>
      <c r="D315" s="3" t="s">
        <v>4507</v>
      </c>
      <c r="E315" s="453" t="s">
        <v>5696</v>
      </c>
      <c r="F315" s="458" t="s">
        <v>5730</v>
      </c>
      <c r="G315" s="459" t="s">
        <v>5697</v>
      </c>
      <c r="H315" s="453" t="s">
        <v>5698</v>
      </c>
      <c r="I315" s="453" t="s">
        <v>5731</v>
      </c>
      <c r="J315" s="453"/>
      <c r="K315" s="136" t="s">
        <v>4508</v>
      </c>
      <c r="L315" s="459" t="s">
        <v>5737</v>
      </c>
      <c r="M315" s="455">
        <v>2</v>
      </c>
      <c r="N315" s="454" t="s">
        <v>5709</v>
      </c>
      <c r="O315" s="460"/>
      <c r="P315" s="31"/>
    </row>
    <row r="316" spans="1:16" s="17" customFormat="1" ht="33" customHeight="1">
      <c r="A316" s="424"/>
      <c r="B316" s="369">
        <v>46157</v>
      </c>
      <c r="C316" s="3" t="s">
        <v>4506</v>
      </c>
      <c r="D316" s="3" t="s">
        <v>4507</v>
      </c>
      <c r="E316" s="453" t="s">
        <v>2130</v>
      </c>
      <c r="F316" s="458" t="s">
        <v>5756</v>
      </c>
      <c r="G316" s="459" t="s">
        <v>5758</v>
      </c>
      <c r="H316" s="453" t="s">
        <v>5757</v>
      </c>
      <c r="I316" s="454" t="s">
        <v>5742</v>
      </c>
      <c r="J316" s="453"/>
      <c r="K316" s="136" t="s">
        <v>4508</v>
      </c>
      <c r="L316" s="459" t="s">
        <v>5737</v>
      </c>
      <c r="M316" s="455">
        <v>1</v>
      </c>
      <c r="N316" s="454"/>
      <c r="O316" s="460"/>
      <c r="P316" s="31"/>
    </row>
    <row r="317" spans="1:16" s="17" customFormat="1" ht="33" customHeight="1">
      <c r="A317" s="424"/>
      <c r="B317" s="399">
        <v>46157</v>
      </c>
      <c r="C317" s="3" t="s">
        <v>163</v>
      </c>
      <c r="D317" s="3" t="s">
        <v>5732</v>
      </c>
      <c r="E317" s="454" t="s">
        <v>5733</v>
      </c>
      <c r="F317" s="454" t="s">
        <v>5734</v>
      </c>
      <c r="G317" s="459" t="s">
        <v>5735</v>
      </c>
      <c r="H317" s="453" t="s">
        <v>5736</v>
      </c>
      <c r="I317" s="453" t="s">
        <v>5718</v>
      </c>
      <c r="J317" s="453" t="s">
        <v>5749</v>
      </c>
      <c r="K317" s="136" t="s">
        <v>181</v>
      </c>
      <c r="L317" s="459" t="s">
        <v>5720</v>
      </c>
      <c r="M317" s="455">
        <v>3</v>
      </c>
      <c r="N317" s="454" t="s">
        <v>5738</v>
      </c>
      <c r="O317" s="568" t="s">
        <v>5750</v>
      </c>
      <c r="P317" s="31"/>
    </row>
    <row r="318" spans="1:16" s="17" customFormat="1" ht="33" customHeight="1">
      <c r="A318" s="424"/>
      <c r="B318" s="399">
        <v>46157</v>
      </c>
      <c r="C318" s="3" t="s">
        <v>21</v>
      </c>
      <c r="D318" s="3" t="s">
        <v>14</v>
      </c>
      <c r="E318" s="454" t="s">
        <v>1893</v>
      </c>
      <c r="F318" s="454" t="s">
        <v>4939</v>
      </c>
      <c r="G318" s="459" t="s">
        <v>2193</v>
      </c>
      <c r="H318" s="453" t="s">
        <v>5784</v>
      </c>
      <c r="I318" s="454" t="s">
        <v>5785</v>
      </c>
      <c r="J318" s="453" t="s">
        <v>5786</v>
      </c>
      <c r="K318" s="136" t="s">
        <v>181</v>
      </c>
      <c r="L318" s="459">
        <v>9080</v>
      </c>
      <c r="M318" s="455">
        <v>2</v>
      </c>
      <c r="N318" s="454"/>
      <c r="O318" s="568"/>
      <c r="P318" s="31"/>
    </row>
    <row r="319" spans="1:16" s="17" customFormat="1" ht="33" customHeight="1">
      <c r="A319" s="424"/>
      <c r="B319" s="399">
        <v>46158</v>
      </c>
      <c r="C319" s="3" t="s">
        <v>24</v>
      </c>
      <c r="D319" s="3" t="s">
        <v>14</v>
      </c>
      <c r="E319" s="454" t="s">
        <v>899</v>
      </c>
      <c r="F319" s="454" t="s">
        <v>1968</v>
      </c>
      <c r="G319" s="459" t="s">
        <v>142</v>
      </c>
      <c r="H319" s="193" t="s">
        <v>5716</v>
      </c>
      <c r="I319" s="193" t="s">
        <v>5718</v>
      </c>
      <c r="J319" s="193" t="s">
        <v>5719</v>
      </c>
      <c r="K319" s="125" t="s">
        <v>5717</v>
      </c>
      <c r="L319" s="16" t="s">
        <v>5720</v>
      </c>
      <c r="M319" s="8">
        <v>2</v>
      </c>
      <c r="N319" s="193"/>
      <c r="O319" s="428" t="s">
        <v>5751</v>
      </c>
      <c r="P319" s="31"/>
    </row>
    <row r="320" spans="1:16" s="17" customFormat="1" ht="33" customHeight="1">
      <c r="A320" s="425"/>
      <c r="B320" s="399">
        <v>46158</v>
      </c>
      <c r="C320" s="4"/>
      <c r="D320" s="4"/>
      <c r="E320" s="31"/>
      <c r="F320" s="31"/>
      <c r="G320" s="16"/>
      <c r="H320" s="193"/>
      <c r="I320" s="193"/>
      <c r="J320" s="193"/>
      <c r="K320" s="125"/>
      <c r="L320" s="16"/>
      <c r="M320" s="8"/>
      <c r="N320" s="31"/>
      <c r="O320" s="432"/>
      <c r="P320" s="31"/>
    </row>
    <row r="321" spans="1:16" s="17" customFormat="1" ht="33" customHeight="1">
      <c r="A321" s="426" t="s">
        <v>0</v>
      </c>
      <c r="B321" s="323" t="s">
        <v>1</v>
      </c>
      <c r="C321" s="322" t="s">
        <v>2</v>
      </c>
      <c r="D321" s="322" t="s">
        <v>3</v>
      </c>
      <c r="E321" s="322" t="s">
        <v>4</v>
      </c>
      <c r="F321" s="322" t="s">
        <v>5</v>
      </c>
      <c r="G321" s="322" t="s">
        <v>6</v>
      </c>
      <c r="H321" s="324" t="s">
        <v>7</v>
      </c>
      <c r="I321" s="322" t="s">
        <v>8</v>
      </c>
      <c r="J321" s="322" t="s">
        <v>9</v>
      </c>
      <c r="K321" s="325" t="s">
        <v>10</v>
      </c>
      <c r="L321" s="326" t="s">
        <v>11</v>
      </c>
      <c r="M321" s="322" t="s">
        <v>12</v>
      </c>
      <c r="N321" s="327" t="s">
        <v>13</v>
      </c>
      <c r="O321" s="427" t="s">
        <v>63</v>
      </c>
      <c r="P321" s="427" t="s">
        <v>5411</v>
      </c>
    </row>
    <row r="322" spans="1:16" s="17" customFormat="1" ht="33" customHeight="1">
      <c r="A322" s="423" t="s">
        <v>4502</v>
      </c>
      <c r="B322" s="399">
        <v>46160</v>
      </c>
      <c r="C322" s="3" t="s">
        <v>21</v>
      </c>
      <c r="D322" s="3" t="s">
        <v>14</v>
      </c>
      <c r="E322" s="454" t="s">
        <v>1787</v>
      </c>
      <c r="F322" s="453" t="s">
        <v>2462</v>
      </c>
      <c r="G322" s="459" t="s">
        <v>23</v>
      </c>
      <c r="H322" s="453" t="s">
        <v>5584</v>
      </c>
      <c r="I322" s="454" t="s">
        <v>5484</v>
      </c>
      <c r="J322" s="454"/>
      <c r="K322" s="136" t="s">
        <v>15</v>
      </c>
      <c r="L322" s="459" t="s">
        <v>33</v>
      </c>
      <c r="M322" s="455">
        <v>2</v>
      </c>
      <c r="N322" s="31" t="s">
        <v>5778</v>
      </c>
      <c r="O322" s="428"/>
      <c r="P322" s="31"/>
    </row>
    <row r="323" spans="1:16" s="17" customFormat="1" ht="33" customHeight="1">
      <c r="A323" s="424"/>
      <c r="B323" s="399">
        <v>46160</v>
      </c>
      <c r="C323" s="3" t="s">
        <v>163</v>
      </c>
      <c r="D323" s="3" t="s">
        <v>5721</v>
      </c>
      <c r="E323" s="454" t="s">
        <v>5722</v>
      </c>
      <c r="F323" s="458" t="s">
        <v>3332</v>
      </c>
      <c r="G323" s="459" t="s">
        <v>5723</v>
      </c>
      <c r="H323" s="453" t="s">
        <v>5753</v>
      </c>
      <c r="I323" s="454"/>
      <c r="J323" s="454" t="s">
        <v>5740</v>
      </c>
      <c r="K323" s="136" t="s">
        <v>5724</v>
      </c>
      <c r="L323" s="459" t="s">
        <v>5725</v>
      </c>
      <c r="M323" s="455">
        <v>2</v>
      </c>
      <c r="N323" s="31"/>
      <c r="O323" s="428" t="s">
        <v>5752</v>
      </c>
      <c r="P323" s="31"/>
    </row>
    <row r="324" spans="1:16" s="17" customFormat="1" ht="33" customHeight="1">
      <c r="A324" s="424"/>
      <c r="B324" s="399">
        <v>46160</v>
      </c>
      <c r="C324" s="3" t="s">
        <v>138</v>
      </c>
      <c r="D324" s="3" t="s">
        <v>17</v>
      </c>
      <c r="E324" s="454" t="s">
        <v>5276</v>
      </c>
      <c r="F324" s="454">
        <v>7064</v>
      </c>
      <c r="G324" s="459" t="s">
        <v>83</v>
      </c>
      <c r="H324" s="453" t="s">
        <v>5564</v>
      </c>
      <c r="I324" s="453" t="s">
        <v>2017</v>
      </c>
      <c r="J324" s="453" t="s">
        <v>68</v>
      </c>
      <c r="K324" s="136" t="s">
        <v>15</v>
      </c>
      <c r="L324" s="459" t="s">
        <v>4550</v>
      </c>
      <c r="M324" s="455">
        <v>2</v>
      </c>
      <c r="N324" s="31"/>
      <c r="O324" s="431"/>
      <c r="P324" s="31"/>
    </row>
    <row r="325" spans="1:16" s="17" customFormat="1" ht="33" customHeight="1">
      <c r="A325" s="424"/>
      <c r="B325" s="399">
        <v>46161</v>
      </c>
      <c r="C325" s="3" t="s">
        <v>138</v>
      </c>
      <c r="D325" s="3" t="s">
        <v>17</v>
      </c>
      <c r="E325" s="454" t="s">
        <v>5276</v>
      </c>
      <c r="F325" s="454">
        <v>7064</v>
      </c>
      <c r="G325" s="459" t="s">
        <v>83</v>
      </c>
      <c r="H325" s="453" t="s">
        <v>5564</v>
      </c>
      <c r="I325" s="453" t="s">
        <v>2017</v>
      </c>
      <c r="J325" s="453" t="s">
        <v>68</v>
      </c>
      <c r="K325" s="136" t="s">
        <v>15</v>
      </c>
      <c r="L325" s="459" t="s">
        <v>4550</v>
      </c>
      <c r="M325" s="455">
        <v>2</v>
      </c>
      <c r="N325" s="31"/>
      <c r="O325" s="431"/>
      <c r="P325" s="31"/>
    </row>
    <row r="326" spans="1:16" s="17" customFormat="1" ht="33" customHeight="1">
      <c r="A326" s="424"/>
      <c r="B326" s="399">
        <v>46161</v>
      </c>
      <c r="C326" s="3" t="s">
        <v>138</v>
      </c>
      <c r="D326" s="3" t="s">
        <v>14</v>
      </c>
      <c r="E326" s="454" t="s">
        <v>1787</v>
      </c>
      <c r="F326" s="454" t="s">
        <v>2135</v>
      </c>
      <c r="G326" s="459" t="s">
        <v>142</v>
      </c>
      <c r="H326" s="453" t="s">
        <v>3466</v>
      </c>
      <c r="I326" s="454" t="s">
        <v>5484</v>
      </c>
      <c r="J326" s="453"/>
      <c r="K326" s="136" t="s">
        <v>15</v>
      </c>
      <c r="L326" s="459" t="s">
        <v>33</v>
      </c>
      <c r="M326" s="455">
        <v>2</v>
      </c>
      <c r="N326" s="422"/>
      <c r="O326" s="437"/>
      <c r="P326" s="31"/>
    </row>
    <row r="327" spans="1:16" s="17" customFormat="1" ht="33" customHeight="1">
      <c r="A327" s="424"/>
      <c r="B327" s="369">
        <v>46161</v>
      </c>
      <c r="C327" s="3" t="s">
        <v>21</v>
      </c>
      <c r="D327" s="3" t="s">
        <v>14</v>
      </c>
      <c r="E327" s="454" t="s">
        <v>1893</v>
      </c>
      <c r="F327" s="454" t="s">
        <v>4939</v>
      </c>
      <c r="G327" s="459" t="s">
        <v>5787</v>
      </c>
      <c r="H327" s="453" t="s">
        <v>5788</v>
      </c>
      <c r="I327" s="453" t="s">
        <v>5791</v>
      </c>
      <c r="J327" s="453"/>
      <c r="K327" s="136" t="s">
        <v>5789</v>
      </c>
      <c r="L327" s="459">
        <v>9080</v>
      </c>
      <c r="M327" s="455">
        <v>3</v>
      </c>
      <c r="N327" s="422"/>
      <c r="O327" s="430"/>
      <c r="P327" s="31"/>
    </row>
    <row r="328" spans="1:16" s="17" customFormat="1" ht="33" customHeight="1">
      <c r="A328" s="424"/>
      <c r="B328" s="198">
        <v>46162</v>
      </c>
      <c r="C328" s="3"/>
      <c r="D328" s="3"/>
      <c r="E328" s="453"/>
      <c r="F328" s="458"/>
      <c r="G328" s="459"/>
      <c r="H328" s="453"/>
      <c r="I328" s="454"/>
      <c r="J328" s="454"/>
      <c r="K328" s="136"/>
      <c r="L328" s="459"/>
      <c r="M328" s="455"/>
      <c r="N328" s="31" t="s">
        <v>5741</v>
      </c>
      <c r="O328" s="430"/>
      <c r="P328" s="31"/>
    </row>
    <row r="329" spans="1:16" s="17" customFormat="1" ht="33" customHeight="1">
      <c r="A329" s="424"/>
      <c r="B329" s="399">
        <v>46163</v>
      </c>
      <c r="C329" s="3" t="s">
        <v>21</v>
      </c>
      <c r="D329" s="3" t="s">
        <v>14</v>
      </c>
      <c r="E329" s="454" t="s">
        <v>2241</v>
      </c>
      <c r="F329" s="193" t="s">
        <v>5793</v>
      </c>
      <c r="G329" s="16" t="s">
        <v>5726</v>
      </c>
      <c r="H329" s="314" t="s">
        <v>5819</v>
      </c>
      <c r="I329" s="31" t="s">
        <v>5779</v>
      </c>
      <c r="J329" s="193"/>
      <c r="K329" s="125" t="s">
        <v>5780</v>
      </c>
      <c r="L329" s="16" t="s">
        <v>5781</v>
      </c>
      <c r="M329" s="8">
        <v>2</v>
      </c>
      <c r="N329" s="422"/>
      <c r="O329" s="430"/>
      <c r="P329" s="31"/>
    </row>
    <row r="330" spans="1:16" s="17" customFormat="1" ht="33" customHeight="1">
      <c r="A330" s="424"/>
      <c r="B330" s="399">
        <v>46164</v>
      </c>
      <c r="C330" s="3" t="s">
        <v>19</v>
      </c>
      <c r="D330" s="3" t="s">
        <v>25</v>
      </c>
      <c r="E330" s="454" t="s">
        <v>1069</v>
      </c>
      <c r="F330" s="454" t="s">
        <v>5754</v>
      </c>
      <c r="G330" s="459" t="s">
        <v>18</v>
      </c>
      <c r="H330" s="453" t="s">
        <v>5777</v>
      </c>
      <c r="I330" s="454"/>
      <c r="J330" s="453" t="s">
        <v>5820</v>
      </c>
      <c r="K330" s="136"/>
      <c r="L330" s="459" t="s">
        <v>5837</v>
      </c>
      <c r="M330" s="455">
        <v>2</v>
      </c>
      <c r="N330" s="31"/>
      <c r="O330" s="432"/>
      <c r="P330" s="31"/>
    </row>
    <row r="331" spans="1:16" s="17" customFormat="1" ht="33" customHeight="1">
      <c r="A331" s="424"/>
      <c r="B331" s="399">
        <v>46164</v>
      </c>
      <c r="C331" s="4" t="s">
        <v>5743</v>
      </c>
      <c r="D331" s="4" t="s">
        <v>5732</v>
      </c>
      <c r="E331" s="31" t="s">
        <v>5744</v>
      </c>
      <c r="F331" s="31">
        <v>124001</v>
      </c>
      <c r="G331" s="16" t="s">
        <v>5745</v>
      </c>
      <c r="H331" s="193" t="s">
        <v>5806</v>
      </c>
      <c r="I331" s="31" t="s">
        <v>5826</v>
      </c>
      <c r="J331" s="31"/>
      <c r="K331" s="125" t="s">
        <v>5746</v>
      </c>
      <c r="L331" s="16" t="s">
        <v>5720</v>
      </c>
      <c r="M331" s="8">
        <v>1</v>
      </c>
      <c r="N331" s="31"/>
      <c r="O331" s="428"/>
      <c r="P331" s="31"/>
    </row>
    <row r="332" spans="1:16" s="17" customFormat="1" ht="33" customHeight="1">
      <c r="A332" s="425"/>
      <c r="B332" s="399">
        <v>46165</v>
      </c>
      <c r="C332" s="4" t="s">
        <v>5800</v>
      </c>
      <c r="D332" s="4" t="s">
        <v>5801</v>
      </c>
      <c r="E332" s="31" t="s">
        <v>5802</v>
      </c>
      <c r="F332" s="31" t="s">
        <v>5803</v>
      </c>
      <c r="G332" s="16" t="s">
        <v>5804</v>
      </c>
      <c r="H332" s="193" t="s">
        <v>5805</v>
      </c>
      <c r="I332" s="193" t="s">
        <v>5810</v>
      </c>
      <c r="J332" s="193" t="s">
        <v>5809</v>
      </c>
      <c r="K332" s="125" t="s">
        <v>15</v>
      </c>
      <c r="L332" s="16" t="s">
        <v>5808</v>
      </c>
      <c r="M332" s="8">
        <v>4</v>
      </c>
      <c r="N332" s="31"/>
      <c r="O332" s="432"/>
      <c r="P332" s="31"/>
    </row>
    <row r="333" spans="1:16" s="17" customFormat="1" ht="33" customHeight="1">
      <c r="A333" s="426" t="s">
        <v>0</v>
      </c>
      <c r="B333" s="323" t="s">
        <v>1</v>
      </c>
      <c r="C333" s="322" t="s">
        <v>2</v>
      </c>
      <c r="D333" s="322" t="s">
        <v>3</v>
      </c>
      <c r="E333" s="322" t="s">
        <v>4</v>
      </c>
      <c r="F333" s="322" t="s">
        <v>5</v>
      </c>
      <c r="G333" s="322" t="s">
        <v>6</v>
      </c>
      <c r="H333" s="324" t="s">
        <v>7</v>
      </c>
      <c r="I333" s="322" t="s">
        <v>8</v>
      </c>
      <c r="J333" s="322" t="s">
        <v>9</v>
      </c>
      <c r="K333" s="325" t="s">
        <v>10</v>
      </c>
      <c r="L333" s="326" t="s">
        <v>11</v>
      </c>
      <c r="M333" s="322" t="s">
        <v>12</v>
      </c>
      <c r="N333" s="327" t="s">
        <v>13</v>
      </c>
      <c r="O333" s="427" t="s">
        <v>63</v>
      </c>
      <c r="P333" s="427" t="s">
        <v>5411</v>
      </c>
    </row>
    <row r="334" spans="1:16" s="17" customFormat="1" ht="33" customHeight="1">
      <c r="A334" s="423" t="s">
        <v>4503</v>
      </c>
      <c r="B334" s="369">
        <v>46167</v>
      </c>
      <c r="C334" s="4"/>
      <c r="D334" s="4"/>
      <c r="E334" s="31"/>
      <c r="F334" s="193"/>
      <c r="G334" s="16"/>
      <c r="H334" s="404" t="s">
        <v>4664</v>
      </c>
      <c r="I334" s="31"/>
      <c r="J334" s="31"/>
      <c r="K334" s="125"/>
      <c r="L334" s="16"/>
      <c r="M334" s="8"/>
      <c r="N334" s="31"/>
      <c r="O334" s="431"/>
      <c r="P334" s="31"/>
    </row>
    <row r="335" spans="1:16" s="17" customFormat="1" ht="33" customHeight="1">
      <c r="A335" s="424"/>
      <c r="B335" s="399">
        <v>46168</v>
      </c>
      <c r="C335" s="4" t="s">
        <v>21</v>
      </c>
      <c r="D335" s="4" t="s">
        <v>14</v>
      </c>
      <c r="E335" s="31" t="s">
        <v>107</v>
      </c>
      <c r="F335" s="31" t="s">
        <v>3386</v>
      </c>
      <c r="G335" s="16" t="s">
        <v>23</v>
      </c>
      <c r="H335" s="193" t="s">
        <v>5828</v>
      </c>
      <c r="I335" s="31"/>
      <c r="J335" s="193" t="s">
        <v>5824</v>
      </c>
      <c r="K335" s="125" t="s">
        <v>5817</v>
      </c>
      <c r="L335" s="16" t="s">
        <v>5799</v>
      </c>
      <c r="M335" s="8">
        <v>3</v>
      </c>
      <c r="N335" s="31"/>
      <c r="O335" s="431" t="s">
        <v>5836</v>
      </c>
      <c r="P335" s="31"/>
    </row>
    <row r="336" spans="1:16" s="17" customFormat="1" ht="33" customHeight="1">
      <c r="A336" s="424"/>
      <c r="B336" s="369">
        <v>46168</v>
      </c>
      <c r="C336" s="4" t="s">
        <v>5729</v>
      </c>
      <c r="D336" s="4" t="s">
        <v>5732</v>
      </c>
      <c r="E336" s="31" t="s">
        <v>5782</v>
      </c>
      <c r="F336" s="31" t="s">
        <v>2959</v>
      </c>
      <c r="G336" s="16" t="s">
        <v>5783</v>
      </c>
      <c r="H336" s="193" t="s">
        <v>5827</v>
      </c>
      <c r="I336" s="193"/>
      <c r="J336" s="193" t="s">
        <v>5816</v>
      </c>
      <c r="K336" s="125" t="s">
        <v>5811</v>
      </c>
      <c r="L336" s="16" t="s">
        <v>5830</v>
      </c>
      <c r="M336" s="8">
        <v>2</v>
      </c>
      <c r="N336" s="422"/>
      <c r="O336" s="437" t="s">
        <v>5835</v>
      </c>
      <c r="P336" s="31"/>
    </row>
    <row r="337" spans="1:16" s="17" customFormat="1" ht="33" customHeight="1">
      <c r="A337" s="424"/>
      <c r="B337" s="369">
        <v>46168</v>
      </c>
      <c r="C337" s="4" t="s">
        <v>5800</v>
      </c>
      <c r="D337" s="4" t="s">
        <v>5801</v>
      </c>
      <c r="E337" s="31" t="s">
        <v>5802</v>
      </c>
      <c r="F337" s="31" t="s">
        <v>5803</v>
      </c>
      <c r="G337" s="16" t="s">
        <v>5804</v>
      </c>
      <c r="H337" s="193" t="s">
        <v>5812</v>
      </c>
      <c r="I337" s="31" t="s">
        <v>5807</v>
      </c>
      <c r="J337" s="193" t="s">
        <v>5815</v>
      </c>
      <c r="K337" s="125" t="s">
        <v>5813</v>
      </c>
      <c r="L337" s="16" t="s">
        <v>5799</v>
      </c>
      <c r="M337" s="8">
        <v>2</v>
      </c>
      <c r="N337" s="31"/>
      <c r="O337" s="430"/>
      <c r="P337" s="31"/>
    </row>
    <row r="338" spans="1:16" s="17" customFormat="1" ht="33" customHeight="1">
      <c r="A338" s="424"/>
      <c r="B338" s="369">
        <v>46169</v>
      </c>
      <c r="C338" s="3" t="s">
        <v>5794</v>
      </c>
      <c r="D338" s="3" t="s">
        <v>5795</v>
      </c>
      <c r="E338" s="453" t="s">
        <v>5814</v>
      </c>
      <c r="F338" s="454" t="s">
        <v>5796</v>
      </c>
      <c r="G338" s="459" t="s">
        <v>5797</v>
      </c>
      <c r="H338" s="453" t="s">
        <v>5926</v>
      </c>
      <c r="I338" s="454" t="s">
        <v>5877</v>
      </c>
      <c r="J338" s="453"/>
      <c r="K338" s="136" t="s">
        <v>5798</v>
      </c>
      <c r="L338" s="459" t="s">
        <v>5799</v>
      </c>
      <c r="M338" s="455">
        <v>1</v>
      </c>
      <c r="N338" s="31"/>
      <c r="O338" s="430"/>
      <c r="P338" s="31"/>
    </row>
    <row r="339" spans="1:16" s="17" customFormat="1" ht="33" customHeight="1">
      <c r="A339" s="424"/>
      <c r="B339" s="369">
        <v>46169</v>
      </c>
      <c r="C339" s="4" t="s">
        <v>21</v>
      </c>
      <c r="D339" s="4" t="s">
        <v>14</v>
      </c>
      <c r="E339" s="31" t="s">
        <v>107</v>
      </c>
      <c r="F339" s="31" t="s">
        <v>2959</v>
      </c>
      <c r="G339" s="16" t="s">
        <v>1895</v>
      </c>
      <c r="H339" s="193" t="s">
        <v>5885</v>
      </c>
      <c r="I339" s="193"/>
      <c r="J339" s="193" t="s">
        <v>5816</v>
      </c>
      <c r="K339" s="125" t="s">
        <v>5811</v>
      </c>
      <c r="L339" s="16" t="s">
        <v>5808</v>
      </c>
      <c r="M339" s="8">
        <v>2</v>
      </c>
      <c r="N339" s="31"/>
      <c r="O339" s="437" t="s">
        <v>5835</v>
      </c>
      <c r="P339" s="31"/>
    </row>
    <row r="340" spans="1:16" s="17" customFormat="1" ht="33" customHeight="1">
      <c r="A340" s="424"/>
      <c r="B340" s="369">
        <v>46169</v>
      </c>
      <c r="C340" s="4" t="s">
        <v>21</v>
      </c>
      <c r="D340" s="4" t="s">
        <v>14</v>
      </c>
      <c r="E340" s="31" t="s">
        <v>107</v>
      </c>
      <c r="F340" s="31" t="s">
        <v>3386</v>
      </c>
      <c r="G340" s="16" t="s">
        <v>23</v>
      </c>
      <c r="H340" s="193" t="s">
        <v>5886</v>
      </c>
      <c r="I340" s="193" t="s">
        <v>5810</v>
      </c>
      <c r="J340" s="193"/>
      <c r="K340" s="125" t="s">
        <v>5811</v>
      </c>
      <c r="L340" s="16" t="s">
        <v>5808</v>
      </c>
      <c r="M340" s="8">
        <v>1</v>
      </c>
      <c r="N340" s="31"/>
      <c r="O340" s="430"/>
      <c r="P340" s="31"/>
    </row>
    <row r="341" spans="1:16" s="17" customFormat="1" ht="33" customHeight="1">
      <c r="A341" s="424"/>
      <c r="B341" s="369">
        <v>46169</v>
      </c>
      <c r="C341" s="3" t="s">
        <v>163</v>
      </c>
      <c r="D341" s="3" t="s">
        <v>5748</v>
      </c>
      <c r="E341" s="454" t="s">
        <v>5755</v>
      </c>
      <c r="F341" s="453" t="s">
        <v>5747</v>
      </c>
      <c r="G341" s="459" t="s">
        <v>5821</v>
      </c>
      <c r="H341" s="453" t="s">
        <v>5823</v>
      </c>
      <c r="I341" s="454" t="s">
        <v>202</v>
      </c>
      <c r="J341" s="454" t="s">
        <v>5822</v>
      </c>
      <c r="K341" s="125" t="s">
        <v>5811</v>
      </c>
      <c r="L341" s="459" t="s">
        <v>5720</v>
      </c>
      <c r="M341" s="8">
        <v>2</v>
      </c>
      <c r="N341" s="31"/>
      <c r="O341" s="432" t="s">
        <v>5834</v>
      </c>
      <c r="P341" s="31"/>
    </row>
    <row r="342" spans="1:16" s="17" customFormat="1" ht="33" customHeight="1">
      <c r="A342" s="424"/>
      <c r="B342" s="369">
        <v>46169</v>
      </c>
      <c r="C342" s="3" t="s">
        <v>2064</v>
      </c>
      <c r="D342" s="3" t="s">
        <v>3264</v>
      </c>
      <c r="E342" s="453" t="s">
        <v>5814</v>
      </c>
      <c r="F342" s="454" t="s">
        <v>5796</v>
      </c>
      <c r="G342" s="459" t="s">
        <v>4091</v>
      </c>
      <c r="H342" s="453" t="s">
        <v>442</v>
      </c>
      <c r="I342" s="454" t="s">
        <v>5882</v>
      </c>
      <c r="J342" s="453" t="s">
        <v>5883</v>
      </c>
      <c r="K342" s="136" t="s">
        <v>3265</v>
      </c>
      <c r="L342" s="459" t="s">
        <v>4550</v>
      </c>
      <c r="M342" s="8">
        <v>3</v>
      </c>
      <c r="N342" s="31"/>
      <c r="O342" s="432" t="s">
        <v>5884</v>
      </c>
      <c r="P342" s="31"/>
    </row>
    <row r="343" spans="1:16" s="17" customFormat="1" ht="33" customHeight="1">
      <c r="A343" s="424"/>
      <c r="B343" s="369">
        <v>46169</v>
      </c>
      <c r="C343" s="4"/>
      <c r="D343" s="4"/>
      <c r="E343" s="193" t="s">
        <v>5602</v>
      </c>
      <c r="F343" s="31"/>
      <c r="G343" s="16"/>
      <c r="H343" s="193" t="s">
        <v>5604</v>
      </c>
      <c r="I343" s="31" t="s">
        <v>226</v>
      </c>
      <c r="J343" s="193"/>
      <c r="K343" s="125"/>
      <c r="L343" s="16" t="s">
        <v>4550</v>
      </c>
      <c r="M343" s="8">
        <v>1</v>
      </c>
      <c r="N343" s="31"/>
      <c r="O343" s="432"/>
      <c r="P343" s="31"/>
    </row>
    <row r="344" spans="1:16" s="17" customFormat="1" ht="33" customHeight="1">
      <c r="A344" s="424"/>
      <c r="B344" s="399">
        <v>46170</v>
      </c>
      <c r="C344" s="3" t="s">
        <v>2064</v>
      </c>
      <c r="D344" s="3" t="s">
        <v>3264</v>
      </c>
      <c r="E344" s="453" t="s">
        <v>5814</v>
      </c>
      <c r="F344" s="454" t="s">
        <v>5796</v>
      </c>
      <c r="G344" s="459" t="s">
        <v>4091</v>
      </c>
      <c r="H344" s="453" t="s">
        <v>442</v>
      </c>
      <c r="I344" s="454" t="s">
        <v>5882</v>
      </c>
      <c r="J344" s="453" t="s">
        <v>5883</v>
      </c>
      <c r="K344" s="136" t="s">
        <v>3265</v>
      </c>
      <c r="L344" s="459" t="s">
        <v>4550</v>
      </c>
      <c r="M344" s="8">
        <v>3</v>
      </c>
      <c r="N344" s="31"/>
      <c r="O344" s="432" t="s">
        <v>5925</v>
      </c>
      <c r="P344" s="31"/>
    </row>
    <row r="345" spans="1:16" s="17" customFormat="1" ht="33" customHeight="1">
      <c r="A345" s="424"/>
      <c r="B345" s="369">
        <v>46170</v>
      </c>
      <c r="C345" s="3" t="s">
        <v>21</v>
      </c>
      <c r="D345" s="3" t="s">
        <v>17</v>
      </c>
      <c r="E345" s="453" t="s">
        <v>2206</v>
      </c>
      <c r="F345" s="458" t="s">
        <v>5878</v>
      </c>
      <c r="G345" s="459" t="s">
        <v>5879</v>
      </c>
      <c r="H345" s="453" t="s">
        <v>5880</v>
      </c>
      <c r="I345" s="454" t="s">
        <v>5829</v>
      </c>
      <c r="J345" s="453" t="s">
        <v>5881</v>
      </c>
      <c r="K345" s="125" t="s">
        <v>5811</v>
      </c>
      <c r="L345" s="459" t="s">
        <v>5818</v>
      </c>
      <c r="M345" s="455">
        <v>3</v>
      </c>
      <c r="N345" s="422"/>
      <c r="O345" s="437" t="s">
        <v>5924</v>
      </c>
      <c r="P345" s="31"/>
    </row>
    <row r="346" spans="1:16" s="17" customFormat="1" ht="33" customHeight="1">
      <c r="A346" s="424"/>
      <c r="B346" s="369">
        <v>46171</v>
      </c>
      <c r="C346" s="3" t="s">
        <v>21</v>
      </c>
      <c r="D346" s="3" t="s">
        <v>14</v>
      </c>
      <c r="E346" s="454" t="s">
        <v>1893</v>
      </c>
      <c r="F346" s="454" t="s">
        <v>4939</v>
      </c>
      <c r="G346" s="459" t="s">
        <v>482</v>
      </c>
      <c r="H346" s="193" t="s">
        <v>5910</v>
      </c>
      <c r="I346" s="31" t="s">
        <v>202</v>
      </c>
      <c r="J346" s="193" t="s">
        <v>5911</v>
      </c>
      <c r="K346" s="125" t="s">
        <v>3265</v>
      </c>
      <c r="L346" s="16">
        <v>9080</v>
      </c>
      <c r="M346" s="8">
        <v>2</v>
      </c>
      <c r="N346" s="31"/>
      <c r="O346" s="437"/>
      <c r="P346" s="31"/>
    </row>
    <row r="347" spans="1:16" s="17" customFormat="1" ht="33" customHeight="1">
      <c r="A347" s="424"/>
      <c r="B347" s="369">
        <v>46171</v>
      </c>
      <c r="C347" s="3" t="s">
        <v>21</v>
      </c>
      <c r="D347" s="3" t="s">
        <v>17</v>
      </c>
      <c r="E347" s="453" t="s">
        <v>2206</v>
      </c>
      <c r="F347" s="458" t="s">
        <v>5878</v>
      </c>
      <c r="G347" s="459" t="s">
        <v>5879</v>
      </c>
      <c r="H347" s="453" t="s">
        <v>5880</v>
      </c>
      <c r="I347" s="454" t="s">
        <v>3274</v>
      </c>
      <c r="J347" s="453" t="s">
        <v>5923</v>
      </c>
      <c r="K347" s="125" t="s">
        <v>3265</v>
      </c>
      <c r="L347" s="459" t="s">
        <v>4379</v>
      </c>
      <c r="M347" s="455">
        <v>3</v>
      </c>
      <c r="N347" s="422"/>
      <c r="O347" s="437" t="s">
        <v>5922</v>
      </c>
      <c r="P347" s="31"/>
    </row>
    <row r="348" spans="1:16" s="17" customFormat="1" ht="33" customHeight="1">
      <c r="A348" s="424"/>
      <c r="B348" s="369">
        <v>46171</v>
      </c>
      <c r="C348" s="3" t="s">
        <v>24</v>
      </c>
      <c r="D348" s="3" t="s">
        <v>31</v>
      </c>
      <c r="E348" s="454" t="s">
        <v>5890</v>
      </c>
      <c r="F348" s="454">
        <v>3307</v>
      </c>
      <c r="G348" s="459" t="s">
        <v>1328</v>
      </c>
      <c r="H348" s="453" t="s">
        <v>5891</v>
      </c>
      <c r="I348" s="453" t="s">
        <v>5892</v>
      </c>
      <c r="J348" s="453" t="s">
        <v>686</v>
      </c>
      <c r="K348" s="125" t="s">
        <v>5893</v>
      </c>
      <c r="L348" s="459" t="s">
        <v>5894</v>
      </c>
      <c r="M348" s="455">
        <v>4</v>
      </c>
      <c r="N348" s="31"/>
      <c r="O348" s="437" t="s">
        <v>5921</v>
      </c>
      <c r="P348" s="31"/>
    </row>
    <row r="349" spans="1:16" s="17" customFormat="1" ht="33" customHeight="1">
      <c r="A349" s="425"/>
      <c r="B349" s="399">
        <v>46172</v>
      </c>
      <c r="C349" s="3" t="s">
        <v>24</v>
      </c>
      <c r="D349" s="3" t="s">
        <v>31</v>
      </c>
      <c r="E349" s="454" t="s">
        <v>5890</v>
      </c>
      <c r="F349" s="454">
        <v>3307</v>
      </c>
      <c r="G349" s="459" t="s">
        <v>1328</v>
      </c>
      <c r="H349" s="453" t="s">
        <v>5891</v>
      </c>
      <c r="I349" s="453" t="s">
        <v>5892</v>
      </c>
      <c r="J349" s="453" t="s">
        <v>686</v>
      </c>
      <c r="K349" s="125" t="s">
        <v>5893</v>
      </c>
      <c r="L349" s="459" t="s">
        <v>5894</v>
      </c>
      <c r="M349" s="455">
        <v>4</v>
      </c>
      <c r="N349" s="31"/>
      <c r="O349" s="437" t="s">
        <v>5921</v>
      </c>
      <c r="P349" s="31"/>
    </row>
    <row r="350" spans="1:16" s="17" customFormat="1" ht="33" customHeight="1">
      <c r="A350" s="426" t="s">
        <v>0</v>
      </c>
      <c r="B350" s="323" t="s">
        <v>1</v>
      </c>
      <c r="C350" s="322" t="s">
        <v>2</v>
      </c>
      <c r="D350" s="322" t="s">
        <v>3</v>
      </c>
      <c r="E350" s="322" t="s">
        <v>4</v>
      </c>
      <c r="F350" s="322" t="s">
        <v>5</v>
      </c>
      <c r="G350" s="322" t="s">
        <v>6</v>
      </c>
      <c r="H350" s="324" t="s">
        <v>7</v>
      </c>
      <c r="I350" s="322" t="s">
        <v>8</v>
      </c>
      <c r="J350" s="322" t="s">
        <v>9</v>
      </c>
      <c r="K350" s="325" t="s">
        <v>10</v>
      </c>
      <c r="L350" s="326" t="s">
        <v>11</v>
      </c>
      <c r="M350" s="322" t="s">
        <v>12</v>
      </c>
      <c r="N350" s="327" t="s">
        <v>13</v>
      </c>
      <c r="O350" s="427" t="s">
        <v>63</v>
      </c>
      <c r="P350" s="427" t="s">
        <v>5411</v>
      </c>
    </row>
    <row r="351" spans="1:16" s="17" customFormat="1" ht="33" customHeight="1">
      <c r="A351" s="423" t="s">
        <v>4504</v>
      </c>
      <c r="B351" s="399">
        <v>46174</v>
      </c>
      <c r="C351" s="3" t="s">
        <v>21</v>
      </c>
      <c r="D351" s="3" t="s">
        <v>14</v>
      </c>
      <c r="E351" s="454" t="s">
        <v>211</v>
      </c>
      <c r="F351" s="454" t="s">
        <v>2916</v>
      </c>
      <c r="G351" s="459" t="s">
        <v>2917</v>
      </c>
      <c r="H351" s="453" t="s">
        <v>5833</v>
      </c>
      <c r="I351" s="454" t="s">
        <v>3274</v>
      </c>
      <c r="J351" s="454" t="s">
        <v>3454</v>
      </c>
      <c r="K351" s="125" t="s">
        <v>3265</v>
      </c>
      <c r="L351" s="459" t="s">
        <v>4379</v>
      </c>
      <c r="M351" s="455">
        <v>2</v>
      </c>
      <c r="N351" s="31"/>
      <c r="O351" s="428" t="s">
        <v>4393</v>
      </c>
      <c r="P351" s="31"/>
    </row>
    <row r="352" spans="1:16" s="17" customFormat="1" ht="33" customHeight="1">
      <c r="A352" s="424"/>
      <c r="B352" s="369">
        <v>46174</v>
      </c>
      <c r="C352" s="3" t="s">
        <v>21</v>
      </c>
      <c r="D352" s="3" t="s">
        <v>14</v>
      </c>
      <c r="E352" s="454" t="s">
        <v>211</v>
      </c>
      <c r="F352" s="454" t="s">
        <v>5754</v>
      </c>
      <c r="G352" s="459" t="s">
        <v>5832</v>
      </c>
      <c r="H352" s="453" t="s">
        <v>5831</v>
      </c>
      <c r="I352" s="454" t="s">
        <v>3274</v>
      </c>
      <c r="J352" s="454" t="s">
        <v>3454</v>
      </c>
      <c r="K352" s="125" t="s">
        <v>3265</v>
      </c>
      <c r="L352" s="459" t="s">
        <v>4379</v>
      </c>
      <c r="M352" s="455">
        <v>2</v>
      </c>
      <c r="N352" s="31"/>
      <c r="O352" s="428" t="s">
        <v>4393</v>
      </c>
      <c r="P352" s="31"/>
    </row>
    <row r="353" spans="1:16" s="17" customFormat="1" ht="33" customHeight="1">
      <c r="A353" s="424"/>
      <c r="B353" s="369">
        <v>46174</v>
      </c>
      <c r="C353" s="3" t="s">
        <v>21</v>
      </c>
      <c r="D353" s="3" t="s">
        <v>17</v>
      </c>
      <c r="E353" s="453" t="s">
        <v>2206</v>
      </c>
      <c r="F353" s="458" t="s">
        <v>5878</v>
      </c>
      <c r="G353" s="459" t="s">
        <v>5879</v>
      </c>
      <c r="H353" s="453" t="s">
        <v>5887</v>
      </c>
      <c r="I353" s="454"/>
      <c r="J353" s="453" t="s">
        <v>3074</v>
      </c>
      <c r="K353" s="125" t="s">
        <v>15</v>
      </c>
      <c r="L353" s="459" t="s">
        <v>5908</v>
      </c>
      <c r="M353" s="455">
        <v>1</v>
      </c>
      <c r="N353" s="31"/>
      <c r="O353" s="428" t="s">
        <v>5909</v>
      </c>
      <c r="P353" s="31"/>
    </row>
    <row r="354" spans="1:16" s="17" customFormat="1" ht="33" customHeight="1">
      <c r="A354" s="424"/>
      <c r="B354" s="369">
        <v>46174</v>
      </c>
      <c r="C354" s="3" t="s">
        <v>21</v>
      </c>
      <c r="D354" s="3" t="s">
        <v>14</v>
      </c>
      <c r="E354" s="454" t="s">
        <v>1893</v>
      </c>
      <c r="F354" s="454" t="s">
        <v>4939</v>
      </c>
      <c r="G354" s="459" t="s">
        <v>482</v>
      </c>
      <c r="H354" s="193" t="s">
        <v>5910</v>
      </c>
      <c r="I354" s="31" t="s">
        <v>202</v>
      </c>
      <c r="J354" s="193" t="s">
        <v>5912</v>
      </c>
      <c r="K354" s="125" t="s">
        <v>3265</v>
      </c>
      <c r="L354" s="16">
        <v>9080</v>
      </c>
      <c r="M354" s="8">
        <v>3</v>
      </c>
      <c r="N354" s="31"/>
      <c r="O354" s="428"/>
      <c r="P354" s="31"/>
    </row>
    <row r="355" spans="1:16" s="17" customFormat="1" ht="33" customHeight="1">
      <c r="A355" s="424"/>
      <c r="B355" s="369">
        <v>46174</v>
      </c>
      <c r="C355" s="3" t="s">
        <v>5927</v>
      </c>
      <c r="D355" s="3" t="s">
        <v>5928</v>
      </c>
      <c r="E355" s="454" t="s">
        <v>5929</v>
      </c>
      <c r="F355" s="454">
        <v>7064</v>
      </c>
      <c r="G355" s="459" t="s">
        <v>5930</v>
      </c>
      <c r="H355" s="193" t="s">
        <v>5931</v>
      </c>
      <c r="I355" s="31"/>
      <c r="J355" s="193" t="s">
        <v>5932</v>
      </c>
      <c r="K355" s="125" t="s">
        <v>15</v>
      </c>
      <c r="L355" s="16" t="s">
        <v>5908</v>
      </c>
      <c r="M355" s="8">
        <v>4</v>
      </c>
      <c r="N355" s="31"/>
      <c r="O355" s="428" t="s">
        <v>5933</v>
      </c>
      <c r="P355" s="31"/>
    </row>
    <row r="356" spans="1:16" s="17" customFormat="1" ht="33" customHeight="1">
      <c r="A356" s="424"/>
      <c r="B356" s="399">
        <v>46175</v>
      </c>
      <c r="C356" s="3" t="s">
        <v>24</v>
      </c>
      <c r="D356" s="3" t="s">
        <v>31</v>
      </c>
      <c r="E356" s="454" t="s">
        <v>5890</v>
      </c>
      <c r="F356" s="454">
        <v>3307</v>
      </c>
      <c r="G356" s="459" t="s">
        <v>1328</v>
      </c>
      <c r="H356" s="453" t="s">
        <v>5891</v>
      </c>
      <c r="I356" s="453" t="s">
        <v>5892</v>
      </c>
      <c r="J356" s="453" t="s">
        <v>686</v>
      </c>
      <c r="K356" s="125" t="s">
        <v>5893</v>
      </c>
      <c r="L356" s="459" t="s">
        <v>5894</v>
      </c>
      <c r="M356" s="455">
        <v>4</v>
      </c>
      <c r="N356" s="422"/>
      <c r="O356" s="437" t="s">
        <v>5921</v>
      </c>
      <c r="P356" s="31"/>
    </row>
    <row r="357" spans="1:16" s="17" customFormat="1" ht="33" customHeight="1">
      <c r="A357" s="424"/>
      <c r="B357" s="369">
        <v>46175</v>
      </c>
      <c r="C357" s="3" t="s">
        <v>21</v>
      </c>
      <c r="D357" s="3" t="s">
        <v>17</v>
      </c>
      <c r="E357" s="453" t="s">
        <v>1893</v>
      </c>
      <c r="F357" s="458" t="s">
        <v>1323</v>
      </c>
      <c r="G357" s="459" t="s">
        <v>1391</v>
      </c>
      <c r="H357" s="453" t="s">
        <v>5790</v>
      </c>
      <c r="I357" s="454" t="s">
        <v>3274</v>
      </c>
      <c r="J357" s="453" t="s">
        <v>5896</v>
      </c>
      <c r="K357" s="125" t="s">
        <v>3265</v>
      </c>
      <c r="L357" s="459" t="s">
        <v>4379</v>
      </c>
      <c r="M357" s="455">
        <v>2</v>
      </c>
      <c r="N357" s="422"/>
      <c r="O357" s="428" t="s">
        <v>5897</v>
      </c>
      <c r="P357" s="31"/>
    </row>
    <row r="358" spans="1:16" s="17" customFormat="1" ht="33" customHeight="1">
      <c r="A358" s="424"/>
      <c r="B358" s="369">
        <v>46175</v>
      </c>
      <c r="C358" s="3" t="s">
        <v>2064</v>
      </c>
      <c r="D358" s="3" t="s">
        <v>3264</v>
      </c>
      <c r="E358" s="453" t="s">
        <v>5814</v>
      </c>
      <c r="F358" s="454" t="s">
        <v>5974</v>
      </c>
      <c r="G358" s="459" t="s">
        <v>4091</v>
      </c>
      <c r="H358" s="453" t="s">
        <v>5990</v>
      </c>
      <c r="I358" s="454" t="s">
        <v>5898</v>
      </c>
      <c r="J358" s="453" t="s">
        <v>5883</v>
      </c>
      <c r="K358" s="136" t="s">
        <v>3265</v>
      </c>
      <c r="L358" s="459" t="s">
        <v>4550</v>
      </c>
      <c r="M358" s="8">
        <v>2</v>
      </c>
      <c r="N358" s="31"/>
      <c r="O358" s="428" t="s">
        <v>5899</v>
      </c>
      <c r="P358" s="31"/>
    </row>
    <row r="359" spans="1:16" s="17" customFormat="1" ht="33" customHeight="1">
      <c r="A359" s="424"/>
      <c r="B359" s="369">
        <v>46175</v>
      </c>
      <c r="C359" s="3" t="s">
        <v>5927</v>
      </c>
      <c r="D359" s="3" t="s">
        <v>5928</v>
      </c>
      <c r="E359" s="454" t="s">
        <v>5929</v>
      </c>
      <c r="F359" s="454">
        <v>7064</v>
      </c>
      <c r="G359" s="459" t="s">
        <v>5930</v>
      </c>
      <c r="H359" s="193" t="s">
        <v>5931</v>
      </c>
      <c r="I359" s="31"/>
      <c r="J359" s="193" t="s">
        <v>5932</v>
      </c>
      <c r="K359" s="125" t="s">
        <v>15</v>
      </c>
      <c r="L359" s="16" t="s">
        <v>5908</v>
      </c>
      <c r="M359" s="8">
        <v>4</v>
      </c>
      <c r="N359" s="31"/>
      <c r="O359" s="428" t="s">
        <v>5933</v>
      </c>
      <c r="P359" s="31"/>
    </row>
    <row r="360" spans="1:16" s="17" customFormat="1" ht="33" customHeight="1">
      <c r="A360" s="424"/>
      <c r="B360" s="369">
        <v>46175</v>
      </c>
      <c r="C360" s="3" t="s">
        <v>21</v>
      </c>
      <c r="D360" s="3" t="s">
        <v>14</v>
      </c>
      <c r="E360" s="454" t="s">
        <v>1893</v>
      </c>
      <c r="F360" s="454" t="s">
        <v>4939</v>
      </c>
      <c r="G360" s="459" t="s">
        <v>482</v>
      </c>
      <c r="H360" s="193" t="s">
        <v>6029</v>
      </c>
      <c r="I360" s="31" t="s">
        <v>6030</v>
      </c>
      <c r="J360" s="193" t="s">
        <v>6031</v>
      </c>
      <c r="K360" s="125" t="s">
        <v>6027</v>
      </c>
      <c r="L360" s="16">
        <v>9080</v>
      </c>
      <c r="M360" s="8">
        <v>4</v>
      </c>
      <c r="N360" s="31"/>
      <c r="O360" s="428"/>
      <c r="P360" s="31"/>
    </row>
    <row r="361" spans="1:16" s="17" customFormat="1" ht="33" customHeight="1">
      <c r="A361" s="424"/>
      <c r="B361" s="399">
        <v>46176</v>
      </c>
      <c r="C361" s="4"/>
      <c r="D361" s="4"/>
      <c r="E361" s="31"/>
      <c r="F361" s="31"/>
      <c r="G361" s="16"/>
      <c r="H361" s="404" t="s">
        <v>4752</v>
      </c>
      <c r="I361" s="31"/>
      <c r="J361" s="193"/>
      <c r="K361" s="125"/>
      <c r="L361" s="16"/>
      <c r="M361" s="8"/>
      <c r="N361" s="422"/>
      <c r="O361" s="430"/>
      <c r="P361" s="31"/>
    </row>
    <row r="362" spans="1:16" s="17" customFormat="1" ht="33" customHeight="1">
      <c r="A362" s="424"/>
      <c r="B362" s="399">
        <v>46176</v>
      </c>
      <c r="C362" s="3" t="s">
        <v>24</v>
      </c>
      <c r="D362" s="3" t="s">
        <v>31</v>
      </c>
      <c r="E362" s="454" t="s">
        <v>5890</v>
      </c>
      <c r="F362" s="454">
        <v>3307</v>
      </c>
      <c r="G362" s="459" t="s">
        <v>1328</v>
      </c>
      <c r="H362" s="453" t="s">
        <v>5891</v>
      </c>
      <c r="I362" s="453" t="s">
        <v>5892</v>
      </c>
      <c r="J362" s="453" t="s">
        <v>686</v>
      </c>
      <c r="K362" s="125" t="s">
        <v>5893</v>
      </c>
      <c r="L362" s="459" t="s">
        <v>5894</v>
      </c>
      <c r="M362" s="455">
        <v>4</v>
      </c>
      <c r="N362" s="31"/>
      <c r="O362" s="437" t="s">
        <v>5921</v>
      </c>
      <c r="P362" s="31"/>
    </row>
    <row r="363" spans="1:16" s="17" customFormat="1" ht="33" customHeight="1">
      <c r="A363" s="424"/>
      <c r="B363" s="399">
        <v>46177</v>
      </c>
      <c r="C363" s="3" t="s">
        <v>5900</v>
      </c>
      <c r="D363" s="3" t="s">
        <v>14</v>
      </c>
      <c r="E363" s="454" t="s">
        <v>5901</v>
      </c>
      <c r="F363" s="454" t="s">
        <v>5902</v>
      </c>
      <c r="G363" s="459" t="s">
        <v>6010</v>
      </c>
      <c r="H363" s="453" t="s">
        <v>5904</v>
      </c>
      <c r="I363" s="454" t="s">
        <v>5905</v>
      </c>
      <c r="J363" s="454" t="s">
        <v>5987</v>
      </c>
      <c r="K363" s="125" t="s">
        <v>5893</v>
      </c>
      <c r="L363" s="459" t="s">
        <v>5907</v>
      </c>
      <c r="M363" s="455">
        <v>4</v>
      </c>
      <c r="N363" s="31"/>
      <c r="O363" s="432" t="s">
        <v>5988</v>
      </c>
      <c r="P363" s="31"/>
    </row>
    <row r="364" spans="1:16" s="17" customFormat="1" ht="33" customHeight="1">
      <c r="A364" s="424"/>
      <c r="B364" s="399">
        <v>46177</v>
      </c>
      <c r="C364" s="3" t="s">
        <v>24</v>
      </c>
      <c r="D364" s="3" t="s">
        <v>31</v>
      </c>
      <c r="E364" s="454" t="s">
        <v>5890</v>
      </c>
      <c r="F364" s="454">
        <v>3307</v>
      </c>
      <c r="G364" s="459" t="s">
        <v>1328</v>
      </c>
      <c r="H364" s="453" t="s">
        <v>5891</v>
      </c>
      <c r="I364" s="453" t="s">
        <v>5892</v>
      </c>
      <c r="J364" s="453" t="s">
        <v>686</v>
      </c>
      <c r="K364" s="125" t="s">
        <v>5893</v>
      </c>
      <c r="L364" s="459" t="s">
        <v>5894</v>
      </c>
      <c r="M364" s="455">
        <v>4</v>
      </c>
      <c r="N364" s="31"/>
      <c r="O364" s="437" t="s">
        <v>5921</v>
      </c>
      <c r="P364" s="31"/>
    </row>
    <row r="365" spans="1:16" s="17" customFormat="1" ht="33" customHeight="1">
      <c r="A365" s="424"/>
      <c r="B365" s="399">
        <v>46177</v>
      </c>
      <c r="C365" s="3" t="s">
        <v>21</v>
      </c>
      <c r="D365" s="3" t="s">
        <v>14</v>
      </c>
      <c r="E365" s="454" t="s">
        <v>1893</v>
      </c>
      <c r="F365" s="454" t="s">
        <v>4939</v>
      </c>
      <c r="G365" s="459" t="s">
        <v>6012</v>
      </c>
      <c r="H365" s="193" t="s">
        <v>6032</v>
      </c>
      <c r="I365" s="31" t="s">
        <v>6030</v>
      </c>
      <c r="J365" s="193" t="s">
        <v>6033</v>
      </c>
      <c r="K365" s="125" t="s">
        <v>6027</v>
      </c>
      <c r="L365" s="16">
        <v>9080</v>
      </c>
      <c r="M365" s="8">
        <v>3</v>
      </c>
      <c r="N365" s="31"/>
      <c r="O365" s="437"/>
      <c r="P365" s="31"/>
    </row>
    <row r="366" spans="1:16" s="17" customFormat="1" ht="33" customHeight="1">
      <c r="A366" s="424"/>
      <c r="B366" s="399">
        <v>46177</v>
      </c>
      <c r="C366" s="3" t="s">
        <v>21</v>
      </c>
      <c r="D366" s="3" t="s">
        <v>14</v>
      </c>
      <c r="E366" s="454" t="s">
        <v>1893</v>
      </c>
      <c r="F366" s="454" t="s">
        <v>4939</v>
      </c>
      <c r="G366" s="459" t="s">
        <v>482</v>
      </c>
      <c r="H366" s="193" t="s">
        <v>6034</v>
      </c>
      <c r="I366" s="31" t="s">
        <v>6030</v>
      </c>
      <c r="J366" s="193" t="s">
        <v>6035</v>
      </c>
      <c r="K366" s="125" t="s">
        <v>6036</v>
      </c>
      <c r="L366" s="16">
        <v>9080</v>
      </c>
      <c r="M366" s="8">
        <v>2</v>
      </c>
      <c r="N366" s="31"/>
      <c r="O366" s="437"/>
      <c r="P366" s="31"/>
    </row>
    <row r="367" spans="1:16" s="17" customFormat="1" ht="33" customHeight="1">
      <c r="A367" s="424"/>
      <c r="B367" s="399">
        <v>46178</v>
      </c>
      <c r="C367" s="3" t="s">
        <v>24</v>
      </c>
      <c r="D367" s="3" t="s">
        <v>31</v>
      </c>
      <c r="E367" s="454" t="s">
        <v>5890</v>
      </c>
      <c r="F367" s="454">
        <v>3307</v>
      </c>
      <c r="G367" s="459" t="s">
        <v>1328</v>
      </c>
      <c r="H367" s="453" t="s">
        <v>5891</v>
      </c>
      <c r="I367" s="453" t="s">
        <v>5892</v>
      </c>
      <c r="J367" s="453" t="s">
        <v>686</v>
      </c>
      <c r="K367" s="125" t="s">
        <v>5893</v>
      </c>
      <c r="L367" s="459" t="s">
        <v>5894</v>
      </c>
      <c r="M367" s="455">
        <v>4</v>
      </c>
      <c r="N367" s="31"/>
      <c r="O367" s="437" t="s">
        <v>5921</v>
      </c>
      <c r="P367" s="31"/>
    </row>
    <row r="368" spans="1:16" s="17" customFormat="1" ht="33" customHeight="1">
      <c r="A368" s="424"/>
      <c r="B368" s="369">
        <v>46178</v>
      </c>
      <c r="C368" s="4" t="s">
        <v>5913</v>
      </c>
      <c r="D368" s="4" t="s">
        <v>5914</v>
      </c>
      <c r="E368" s="31" t="s">
        <v>5915</v>
      </c>
      <c r="F368" s="31" t="s">
        <v>5916</v>
      </c>
      <c r="G368" s="16" t="s">
        <v>553</v>
      </c>
      <c r="H368" s="193" t="s">
        <v>5971</v>
      </c>
      <c r="I368" s="31"/>
      <c r="J368" s="193" t="s">
        <v>5920</v>
      </c>
      <c r="K368" s="125" t="s">
        <v>15</v>
      </c>
      <c r="L368" s="16">
        <v>9080</v>
      </c>
      <c r="M368" s="8">
        <v>2</v>
      </c>
      <c r="N368" s="31"/>
      <c r="O368" s="428"/>
      <c r="P368" s="31"/>
    </row>
    <row r="369" spans="1:16" s="17" customFormat="1" ht="33" customHeight="1">
      <c r="A369" s="424"/>
      <c r="B369" s="369">
        <v>46178</v>
      </c>
      <c r="C369" s="4" t="s">
        <v>5913</v>
      </c>
      <c r="D369" s="4" t="s">
        <v>5914</v>
      </c>
      <c r="E369" s="31" t="s">
        <v>5915</v>
      </c>
      <c r="F369" s="31" t="s">
        <v>5916</v>
      </c>
      <c r="G369" s="16" t="s">
        <v>5917</v>
      </c>
      <c r="H369" s="193" t="s">
        <v>5919</v>
      </c>
      <c r="I369" s="31"/>
      <c r="J369" s="193" t="s">
        <v>5920</v>
      </c>
      <c r="K369" s="125" t="s">
        <v>15</v>
      </c>
      <c r="L369" s="16">
        <v>9080</v>
      </c>
      <c r="M369" s="8">
        <v>2</v>
      </c>
      <c r="N369" s="31"/>
      <c r="O369" s="428"/>
      <c r="P369" s="31"/>
    </row>
    <row r="370" spans="1:16" s="17" customFormat="1" ht="33" customHeight="1">
      <c r="A370" s="424"/>
      <c r="B370" s="369">
        <v>46178</v>
      </c>
      <c r="C370" s="3" t="s">
        <v>21</v>
      </c>
      <c r="D370" s="3" t="s">
        <v>14</v>
      </c>
      <c r="E370" s="454" t="s">
        <v>107</v>
      </c>
      <c r="F370" s="454" t="s">
        <v>3386</v>
      </c>
      <c r="G370" s="459" t="s">
        <v>6010</v>
      </c>
      <c r="H370" s="453" t="s">
        <v>5904</v>
      </c>
      <c r="I370" s="454" t="s">
        <v>90</v>
      </c>
      <c r="J370" s="454" t="s">
        <v>6009</v>
      </c>
      <c r="K370" s="125" t="s">
        <v>15</v>
      </c>
      <c r="L370" s="459" t="s">
        <v>33</v>
      </c>
      <c r="M370" s="455">
        <v>2</v>
      </c>
      <c r="N370" s="31"/>
      <c r="O370" s="428"/>
      <c r="P370" s="31"/>
    </row>
    <row r="371" spans="1:16" s="17" customFormat="1" ht="33" customHeight="1">
      <c r="A371" s="424"/>
      <c r="B371" s="369">
        <v>46178</v>
      </c>
      <c r="C371" s="4" t="s">
        <v>21</v>
      </c>
      <c r="D371" s="4" t="s">
        <v>5998</v>
      </c>
      <c r="E371" s="31" t="s">
        <v>5999</v>
      </c>
      <c r="F371" s="454" t="s">
        <v>4939</v>
      </c>
      <c r="G371" s="16" t="s">
        <v>6012</v>
      </c>
      <c r="H371" s="193" t="s">
        <v>6000</v>
      </c>
      <c r="I371" s="31" t="s">
        <v>6037</v>
      </c>
      <c r="J371" s="193" t="s">
        <v>6011</v>
      </c>
      <c r="K371" s="125" t="s">
        <v>6001</v>
      </c>
      <c r="L371" s="16">
        <v>9080</v>
      </c>
      <c r="M371" s="8">
        <v>1</v>
      </c>
      <c r="N371" s="31"/>
      <c r="O371" s="428"/>
      <c r="P371" s="31"/>
    </row>
    <row r="372" spans="1:16" s="17" customFormat="1" ht="33" customHeight="1">
      <c r="A372" s="425"/>
      <c r="B372" s="399">
        <v>46179</v>
      </c>
      <c r="C372" s="3" t="s">
        <v>24</v>
      </c>
      <c r="D372" s="3" t="s">
        <v>31</v>
      </c>
      <c r="E372" s="454" t="s">
        <v>5890</v>
      </c>
      <c r="F372" s="454">
        <v>3307</v>
      </c>
      <c r="G372" s="459" t="s">
        <v>1328</v>
      </c>
      <c r="H372" s="453" t="s">
        <v>5891</v>
      </c>
      <c r="I372" s="453" t="s">
        <v>5892</v>
      </c>
      <c r="J372" s="453" t="s">
        <v>686</v>
      </c>
      <c r="K372" s="125" t="s">
        <v>5893</v>
      </c>
      <c r="L372" s="459" t="s">
        <v>5894</v>
      </c>
      <c r="M372" s="455">
        <v>4</v>
      </c>
      <c r="N372" s="31"/>
      <c r="O372" s="437" t="s">
        <v>5921</v>
      </c>
      <c r="P372" s="31"/>
    </row>
    <row r="373" spans="1:16" s="17" customFormat="1" ht="33" customHeight="1">
      <c r="A373" s="322" t="s">
        <v>0</v>
      </c>
      <c r="B373" s="323" t="s">
        <v>1</v>
      </c>
      <c r="C373" s="322" t="s">
        <v>2</v>
      </c>
      <c r="D373" s="322" t="s">
        <v>3</v>
      </c>
      <c r="E373" s="322" t="s">
        <v>4</v>
      </c>
      <c r="F373" s="322" t="s">
        <v>5</v>
      </c>
      <c r="G373" s="322" t="s">
        <v>6</v>
      </c>
      <c r="H373" s="324" t="s">
        <v>7</v>
      </c>
      <c r="I373" s="322" t="s">
        <v>8</v>
      </c>
      <c r="J373" s="322" t="s">
        <v>9</v>
      </c>
      <c r="K373" s="325" t="s">
        <v>10</v>
      </c>
      <c r="L373" s="326" t="s">
        <v>11</v>
      </c>
      <c r="M373" s="322" t="s">
        <v>12</v>
      </c>
      <c r="N373" s="327" t="s">
        <v>13</v>
      </c>
      <c r="O373" s="427" t="s">
        <v>63</v>
      </c>
      <c r="P373" s="322" t="s">
        <v>5411</v>
      </c>
    </row>
    <row r="374" spans="1:16" s="17" customFormat="1" ht="33" customHeight="1">
      <c r="A374" s="594" t="s">
        <v>4505</v>
      </c>
      <c r="B374" s="399">
        <v>46181</v>
      </c>
      <c r="C374" s="3" t="s">
        <v>6004</v>
      </c>
      <c r="D374" s="3" t="s">
        <v>6005</v>
      </c>
      <c r="E374" s="454" t="s">
        <v>6006</v>
      </c>
      <c r="F374" s="453" t="s">
        <v>6015</v>
      </c>
      <c r="G374" s="459" t="s">
        <v>6003</v>
      </c>
      <c r="H374" s="453" t="s">
        <v>6013</v>
      </c>
      <c r="I374" s="31" t="s">
        <v>90</v>
      </c>
      <c r="J374" s="31" t="s">
        <v>6007</v>
      </c>
      <c r="K374" s="136" t="s">
        <v>15</v>
      </c>
      <c r="L374" s="16" t="s">
        <v>6008</v>
      </c>
      <c r="M374" s="8">
        <v>2</v>
      </c>
      <c r="N374" s="31" t="s">
        <v>6081</v>
      </c>
      <c r="O374" s="431" t="s">
        <v>6014</v>
      </c>
      <c r="P374" s="31"/>
    </row>
    <row r="375" spans="1:16" s="17" customFormat="1" ht="33" customHeight="1">
      <c r="A375" s="424"/>
      <c r="B375" s="399">
        <v>46181</v>
      </c>
      <c r="C375" s="4" t="s">
        <v>21</v>
      </c>
      <c r="D375" s="4" t="s">
        <v>17</v>
      </c>
      <c r="E375" s="31" t="s">
        <v>78</v>
      </c>
      <c r="F375" s="453" t="s">
        <v>6015</v>
      </c>
      <c r="G375" s="16" t="s">
        <v>37</v>
      </c>
      <c r="H375" s="193" t="s">
        <v>5996</v>
      </c>
      <c r="I375" s="31" t="s">
        <v>90</v>
      </c>
      <c r="J375" s="31" t="s">
        <v>6007</v>
      </c>
      <c r="K375" s="136" t="s">
        <v>15</v>
      </c>
      <c r="L375" s="16" t="s">
        <v>6008</v>
      </c>
      <c r="M375" s="8">
        <v>2</v>
      </c>
      <c r="N375" s="31"/>
      <c r="O375" s="431" t="s">
        <v>6014</v>
      </c>
      <c r="P375" s="31"/>
    </row>
    <row r="376" spans="1:16" s="474" customFormat="1" ht="33" customHeight="1">
      <c r="A376" s="695"/>
      <c r="B376" s="198">
        <v>46181</v>
      </c>
      <c r="C376" s="3" t="s">
        <v>163</v>
      </c>
      <c r="D376" s="3" t="s">
        <v>5727</v>
      </c>
      <c r="E376" s="472" t="s">
        <v>5728</v>
      </c>
      <c r="F376" s="454" t="s">
        <v>5993</v>
      </c>
      <c r="G376" s="459" t="s">
        <v>5994</v>
      </c>
      <c r="H376" s="453" t="s">
        <v>6083</v>
      </c>
      <c r="I376" s="454" t="s">
        <v>6002</v>
      </c>
      <c r="J376" s="454" t="s">
        <v>6082</v>
      </c>
      <c r="K376" s="136" t="s">
        <v>5977</v>
      </c>
      <c r="L376" s="459" t="s">
        <v>5894</v>
      </c>
      <c r="M376" s="455">
        <v>3</v>
      </c>
      <c r="N376" s="454"/>
      <c r="O376" s="457" t="s">
        <v>6086</v>
      </c>
      <c r="P376" s="454"/>
    </row>
    <row r="377" spans="1:16" s="17" customFormat="1" ht="33" customHeight="1">
      <c r="A377" s="595"/>
      <c r="B377" s="369">
        <v>46181</v>
      </c>
      <c r="C377" s="3" t="s">
        <v>24</v>
      </c>
      <c r="D377" s="3" t="s">
        <v>31</v>
      </c>
      <c r="E377" s="454" t="s">
        <v>5890</v>
      </c>
      <c r="F377" s="454">
        <v>3307</v>
      </c>
      <c r="G377" s="459" t="s">
        <v>1328</v>
      </c>
      <c r="H377" s="453" t="s">
        <v>5891</v>
      </c>
      <c r="I377" s="453" t="s">
        <v>5892</v>
      </c>
      <c r="J377" s="453" t="s">
        <v>686</v>
      </c>
      <c r="K377" s="125" t="s">
        <v>5893</v>
      </c>
      <c r="L377" s="459" t="s">
        <v>5894</v>
      </c>
      <c r="M377" s="455">
        <v>4</v>
      </c>
      <c r="N377" s="422"/>
      <c r="O377" s="430"/>
      <c r="P377" s="31"/>
    </row>
    <row r="378" spans="1:16" s="17" customFormat="1" ht="33" customHeight="1">
      <c r="A378" s="424"/>
      <c r="B378" s="369">
        <v>46181</v>
      </c>
      <c r="C378" s="3" t="s">
        <v>6020</v>
      </c>
      <c r="D378" s="3" t="s">
        <v>6021</v>
      </c>
      <c r="E378" s="454" t="s">
        <v>6022</v>
      </c>
      <c r="F378" s="454" t="s">
        <v>6023</v>
      </c>
      <c r="G378" s="459" t="s">
        <v>6024</v>
      </c>
      <c r="H378" s="453" t="s">
        <v>6025</v>
      </c>
      <c r="I378" s="454"/>
      <c r="J378" s="453" t="s">
        <v>6026</v>
      </c>
      <c r="K378" s="125" t="s">
        <v>6027</v>
      </c>
      <c r="L378" s="459" t="s">
        <v>5262</v>
      </c>
      <c r="M378" s="455">
        <v>1</v>
      </c>
      <c r="N378" s="31"/>
      <c r="O378" s="437" t="s">
        <v>6028</v>
      </c>
      <c r="P378" s="31"/>
    </row>
    <row r="379" spans="1:16" s="17" customFormat="1" ht="33" customHeight="1">
      <c r="A379" s="424"/>
      <c r="B379" s="369">
        <v>46181</v>
      </c>
      <c r="C379" s="3" t="s">
        <v>21</v>
      </c>
      <c r="D379" s="3" t="s">
        <v>14</v>
      </c>
      <c r="E379" s="454" t="s">
        <v>1893</v>
      </c>
      <c r="F379" s="454" t="s">
        <v>4939</v>
      </c>
      <c r="G379" s="459" t="s">
        <v>482</v>
      </c>
      <c r="H379" s="453" t="s">
        <v>6038</v>
      </c>
      <c r="I379" s="454" t="s">
        <v>6039</v>
      </c>
      <c r="J379" s="453" t="s">
        <v>6040</v>
      </c>
      <c r="K379" s="125" t="s">
        <v>6041</v>
      </c>
      <c r="L379" s="459">
        <v>9080</v>
      </c>
      <c r="M379" s="455">
        <v>2</v>
      </c>
      <c r="N379" s="31"/>
      <c r="O379" s="437" t="s">
        <v>6054</v>
      </c>
      <c r="P379" s="31"/>
    </row>
    <row r="380" spans="1:16" s="474" customFormat="1" ht="33" customHeight="1">
      <c r="A380" s="695"/>
      <c r="B380" s="198">
        <v>46182</v>
      </c>
      <c r="C380" s="3" t="s">
        <v>163</v>
      </c>
      <c r="D380" s="3" t="s">
        <v>5727</v>
      </c>
      <c r="E380" s="472" t="s">
        <v>5728</v>
      </c>
      <c r="F380" s="454" t="s">
        <v>5993</v>
      </c>
      <c r="G380" s="459" t="s">
        <v>5994</v>
      </c>
      <c r="H380" s="453" t="s">
        <v>6084</v>
      </c>
      <c r="I380" s="454" t="s">
        <v>6002</v>
      </c>
      <c r="J380" s="454" t="s">
        <v>6085</v>
      </c>
      <c r="K380" s="136" t="s">
        <v>15</v>
      </c>
      <c r="L380" s="459" t="s">
        <v>5262</v>
      </c>
      <c r="M380" s="455">
        <v>2</v>
      </c>
      <c r="N380" s="456"/>
      <c r="O380" s="437" t="s">
        <v>6054</v>
      </c>
      <c r="P380" s="454"/>
    </row>
    <row r="381" spans="1:16" s="17" customFormat="1" ht="33" customHeight="1">
      <c r="A381" s="424"/>
      <c r="B381" s="399">
        <v>46182</v>
      </c>
      <c r="C381" s="3" t="s">
        <v>24</v>
      </c>
      <c r="D381" s="3" t="s">
        <v>31</v>
      </c>
      <c r="E381" s="454" t="s">
        <v>5890</v>
      </c>
      <c r="F381" s="454">
        <v>3307</v>
      </c>
      <c r="G381" s="459" t="s">
        <v>1328</v>
      </c>
      <c r="H381" s="453" t="s">
        <v>5891</v>
      </c>
      <c r="I381" s="453" t="s">
        <v>5892</v>
      </c>
      <c r="J381" s="453" t="s">
        <v>686</v>
      </c>
      <c r="K381" s="125" t="s">
        <v>5893</v>
      </c>
      <c r="L381" s="459" t="s">
        <v>5894</v>
      </c>
      <c r="M381" s="455">
        <v>4</v>
      </c>
      <c r="N381" s="31"/>
      <c r="O381" s="430"/>
      <c r="P381" s="31"/>
    </row>
    <row r="382" spans="1:16" s="17" customFormat="1" ht="33" customHeight="1">
      <c r="A382" s="424"/>
      <c r="B382" s="369">
        <v>46182</v>
      </c>
      <c r="C382" s="3" t="s">
        <v>21</v>
      </c>
      <c r="D382" s="3" t="s">
        <v>14</v>
      </c>
      <c r="E382" s="454" t="s">
        <v>107</v>
      </c>
      <c r="F382" s="454" t="s">
        <v>3386</v>
      </c>
      <c r="G382" s="459" t="s">
        <v>6010</v>
      </c>
      <c r="H382" s="193" t="s">
        <v>6043</v>
      </c>
      <c r="I382" s="31" t="s">
        <v>6049</v>
      </c>
      <c r="J382" s="193" t="s">
        <v>6048</v>
      </c>
      <c r="K382" s="125" t="s">
        <v>6044</v>
      </c>
      <c r="L382" s="16" t="s">
        <v>6045</v>
      </c>
      <c r="M382" s="8">
        <v>2</v>
      </c>
      <c r="N382" s="31"/>
      <c r="O382" s="430"/>
      <c r="P382" s="31"/>
    </row>
    <row r="383" spans="1:16" s="17" customFormat="1" ht="33" customHeight="1">
      <c r="A383" s="424"/>
      <c r="B383" s="399">
        <v>46183</v>
      </c>
      <c r="C383" s="3" t="s">
        <v>21</v>
      </c>
      <c r="D383" s="3" t="s">
        <v>14</v>
      </c>
      <c r="E383" s="472" t="s">
        <v>149</v>
      </c>
      <c r="F383" s="454" t="s">
        <v>4090</v>
      </c>
      <c r="G383" s="459" t="s">
        <v>4091</v>
      </c>
      <c r="H383" s="453" t="s">
        <v>6084</v>
      </c>
      <c r="I383" s="454" t="s">
        <v>6002</v>
      </c>
      <c r="J383" s="454" t="s">
        <v>6085</v>
      </c>
      <c r="K383" s="136" t="s">
        <v>15</v>
      </c>
      <c r="L383" s="459" t="s">
        <v>5262</v>
      </c>
      <c r="M383" s="455">
        <v>2</v>
      </c>
      <c r="N383" s="31" t="s">
        <v>6080</v>
      </c>
      <c r="O383" s="430"/>
      <c r="P383" s="31"/>
    </row>
    <row r="384" spans="1:16" s="17" customFormat="1" ht="33" customHeight="1">
      <c r="A384" s="424"/>
      <c r="B384" s="399">
        <v>46183</v>
      </c>
      <c r="C384" s="3" t="s">
        <v>21</v>
      </c>
      <c r="D384" s="3" t="s">
        <v>14</v>
      </c>
      <c r="E384" s="454" t="s">
        <v>1893</v>
      </c>
      <c r="F384" s="454" t="s">
        <v>4939</v>
      </c>
      <c r="G384" s="459" t="s">
        <v>482</v>
      </c>
      <c r="H384" s="453" t="s">
        <v>6038</v>
      </c>
      <c r="I384" s="454" t="s">
        <v>6039</v>
      </c>
      <c r="J384" s="453" t="s">
        <v>6042</v>
      </c>
      <c r="K384" s="125" t="s">
        <v>6041</v>
      </c>
      <c r="L384" s="459">
        <v>9080</v>
      </c>
      <c r="M384" s="455">
        <v>4</v>
      </c>
      <c r="N384" s="31" t="s">
        <v>6144</v>
      </c>
      <c r="O384" s="430"/>
      <c r="P384" s="31"/>
    </row>
    <row r="385" spans="1:16" s="17" customFormat="1" ht="33" customHeight="1">
      <c r="A385" s="595"/>
      <c r="B385" s="399">
        <v>46183</v>
      </c>
      <c r="C385" s="3" t="s">
        <v>24</v>
      </c>
      <c r="D385" s="3" t="s">
        <v>31</v>
      </c>
      <c r="E385" s="454" t="s">
        <v>5991</v>
      </c>
      <c r="F385" s="454">
        <v>3306</v>
      </c>
      <c r="G385" s="459" t="s">
        <v>1328</v>
      </c>
      <c r="H385" s="453" t="s">
        <v>5891</v>
      </c>
      <c r="I385" s="453" t="s">
        <v>5892</v>
      </c>
      <c r="J385" s="453" t="s">
        <v>686</v>
      </c>
      <c r="K385" s="125" t="s">
        <v>5893</v>
      </c>
      <c r="L385" s="459" t="s">
        <v>5894</v>
      </c>
      <c r="M385" s="455">
        <v>4</v>
      </c>
      <c r="N385" s="422"/>
      <c r="O385" s="430"/>
      <c r="P385" s="31"/>
    </row>
    <row r="386" spans="1:16" s="17" customFormat="1" ht="33" customHeight="1">
      <c r="A386" s="595"/>
      <c r="B386" s="399">
        <v>46183</v>
      </c>
      <c r="C386" s="3" t="s">
        <v>21</v>
      </c>
      <c r="D386" s="3" t="s">
        <v>14</v>
      </c>
      <c r="E386" s="454" t="s">
        <v>2241</v>
      </c>
      <c r="F386" s="193" t="s">
        <v>5793</v>
      </c>
      <c r="G386" s="16" t="s">
        <v>2963</v>
      </c>
      <c r="H386" s="193" t="s">
        <v>5997</v>
      </c>
      <c r="I386" s="31" t="s">
        <v>5979</v>
      </c>
      <c r="J386" s="31"/>
      <c r="K386" s="136" t="s">
        <v>15</v>
      </c>
      <c r="L386" s="16" t="s">
        <v>6008</v>
      </c>
      <c r="M386" s="8">
        <v>1</v>
      </c>
      <c r="N386" s="31"/>
      <c r="O386" s="432"/>
      <c r="P386" s="31"/>
    </row>
    <row r="387" spans="1:16" s="17" customFormat="1" ht="33" customHeight="1">
      <c r="A387" s="424"/>
      <c r="B387" s="369">
        <v>46184</v>
      </c>
      <c r="C387" s="3" t="s">
        <v>21</v>
      </c>
      <c r="D387" s="3" t="s">
        <v>14</v>
      </c>
      <c r="E387" s="454" t="s">
        <v>1893</v>
      </c>
      <c r="F387" s="454" t="s">
        <v>4939</v>
      </c>
      <c r="G387" s="459" t="s">
        <v>482</v>
      </c>
      <c r="H387" s="453" t="s">
        <v>6038</v>
      </c>
      <c r="I387" s="454" t="s">
        <v>6039</v>
      </c>
      <c r="J387" s="453" t="s">
        <v>6042</v>
      </c>
      <c r="K387" s="125" t="s">
        <v>6041</v>
      </c>
      <c r="L387" s="459">
        <v>9080</v>
      </c>
      <c r="M387" s="455">
        <v>4</v>
      </c>
      <c r="N387" s="31"/>
      <c r="O387" s="432"/>
      <c r="P387" s="31"/>
    </row>
    <row r="388" spans="1:16" s="17" customFormat="1" ht="33" customHeight="1">
      <c r="A388" s="595"/>
      <c r="B388" s="369">
        <v>46184</v>
      </c>
      <c r="C388" s="3" t="s">
        <v>24</v>
      </c>
      <c r="D388" s="3" t="s">
        <v>31</v>
      </c>
      <c r="E388" s="454" t="s">
        <v>5895</v>
      </c>
      <c r="F388" s="454">
        <v>3306</v>
      </c>
      <c r="G388" s="459" t="s">
        <v>1328</v>
      </c>
      <c r="H388" s="453" t="s">
        <v>5891</v>
      </c>
      <c r="I388" s="453" t="s">
        <v>5892</v>
      </c>
      <c r="J388" s="453" t="s">
        <v>686</v>
      </c>
      <c r="K388" s="125" t="s">
        <v>5893</v>
      </c>
      <c r="L388" s="459" t="s">
        <v>5894</v>
      </c>
      <c r="M388" s="455">
        <v>4</v>
      </c>
      <c r="N388" s="422"/>
      <c r="O388" s="430"/>
      <c r="P388" s="31"/>
    </row>
    <row r="389" spans="1:16" s="17" customFormat="1" ht="33" customHeight="1">
      <c r="A389" s="595"/>
      <c r="B389" s="399">
        <v>46185</v>
      </c>
      <c r="C389" s="3" t="s">
        <v>24</v>
      </c>
      <c r="D389" s="3" t="s">
        <v>31</v>
      </c>
      <c r="E389" s="454" t="s">
        <v>5895</v>
      </c>
      <c r="F389" s="454">
        <v>3306</v>
      </c>
      <c r="G389" s="459" t="s">
        <v>1328</v>
      </c>
      <c r="H389" s="453" t="s">
        <v>5891</v>
      </c>
      <c r="I389" s="453" t="s">
        <v>5892</v>
      </c>
      <c r="J389" s="453" t="s">
        <v>686</v>
      </c>
      <c r="K389" s="125" t="s">
        <v>5893</v>
      </c>
      <c r="L389" s="459" t="s">
        <v>5894</v>
      </c>
      <c r="M389" s="455">
        <v>4</v>
      </c>
      <c r="N389" s="31" t="s">
        <v>6079</v>
      </c>
      <c r="O389" s="429"/>
      <c r="P389" s="31"/>
    </row>
    <row r="390" spans="1:16" s="17" customFormat="1" ht="33" customHeight="1">
      <c r="A390" s="424"/>
      <c r="B390" s="369">
        <v>46185</v>
      </c>
      <c r="C390" s="4" t="s">
        <v>29</v>
      </c>
      <c r="D390" s="4" t="s">
        <v>17</v>
      </c>
      <c r="E390" s="291" t="s">
        <v>1893</v>
      </c>
      <c r="F390" s="31" t="s">
        <v>5888</v>
      </c>
      <c r="G390" s="16" t="s">
        <v>207</v>
      </c>
      <c r="H390" s="193" t="s">
        <v>5889</v>
      </c>
      <c r="I390" s="31" t="s">
        <v>6123</v>
      </c>
      <c r="J390" s="31"/>
      <c r="K390" s="125" t="s">
        <v>15</v>
      </c>
      <c r="L390" s="16" t="s">
        <v>6016</v>
      </c>
      <c r="M390" s="8">
        <v>2</v>
      </c>
      <c r="N390" s="31"/>
      <c r="O390" s="429"/>
      <c r="P390" s="31"/>
    </row>
    <row r="391" spans="1:16" s="17" customFormat="1" ht="33" customHeight="1">
      <c r="A391" s="424"/>
      <c r="B391" s="369">
        <v>46185</v>
      </c>
      <c r="C391" s="3" t="s">
        <v>21</v>
      </c>
      <c r="D391" s="3" t="s">
        <v>17</v>
      </c>
      <c r="E391" s="454" t="s">
        <v>78</v>
      </c>
      <c r="F391" s="454" t="s">
        <v>3833</v>
      </c>
      <c r="G391" s="459" t="s">
        <v>207</v>
      </c>
      <c r="H391" s="453" t="s">
        <v>5792</v>
      </c>
      <c r="I391" s="454" t="s">
        <v>6142</v>
      </c>
      <c r="J391" s="453"/>
      <c r="K391" s="136" t="s">
        <v>15</v>
      </c>
      <c r="L391" s="459" t="s">
        <v>4550</v>
      </c>
      <c r="M391" s="8">
        <v>1</v>
      </c>
      <c r="N391" s="31"/>
      <c r="O391" s="429"/>
      <c r="P391" s="31"/>
    </row>
    <row r="392" spans="1:16" s="17" customFormat="1" ht="33" customHeight="1">
      <c r="A392" s="595"/>
      <c r="B392" s="399">
        <v>46185</v>
      </c>
      <c r="C392" s="4" t="s">
        <v>6087</v>
      </c>
      <c r="D392" s="4" t="s">
        <v>6021</v>
      </c>
      <c r="E392" s="31" t="s">
        <v>6088</v>
      </c>
      <c r="F392" s="31" t="s">
        <v>6089</v>
      </c>
      <c r="G392" s="16" t="s">
        <v>6090</v>
      </c>
      <c r="H392" s="193" t="s">
        <v>6091</v>
      </c>
      <c r="I392" s="454" t="s">
        <v>6019</v>
      </c>
      <c r="J392" s="459" t="s">
        <v>6018</v>
      </c>
      <c r="K392" s="459" t="s">
        <v>6041</v>
      </c>
      <c r="L392" s="459" t="s">
        <v>6106</v>
      </c>
      <c r="M392" s="459">
        <v>2</v>
      </c>
      <c r="N392" s="31"/>
      <c r="O392" s="428" t="s">
        <v>6116</v>
      </c>
      <c r="P392" s="31"/>
    </row>
    <row r="393" spans="1:16" s="17" customFormat="1" ht="33" customHeight="1">
      <c r="A393" s="596"/>
      <c r="B393" s="369">
        <v>46186</v>
      </c>
      <c r="C393" s="4"/>
      <c r="D393" s="4"/>
      <c r="E393" s="31"/>
      <c r="F393" s="31"/>
      <c r="G393" s="16"/>
      <c r="H393" s="193"/>
      <c r="I393" s="193"/>
      <c r="J393" s="193"/>
      <c r="K393" s="125"/>
      <c r="L393" s="16"/>
      <c r="M393" s="8"/>
      <c r="N393" s="193"/>
      <c r="O393" s="438"/>
      <c r="P393" s="31"/>
    </row>
    <row r="394" spans="1:16" s="17" customFormat="1" ht="33" customHeight="1">
      <c r="A394" s="322" t="s">
        <v>0</v>
      </c>
      <c r="B394" s="323" t="s">
        <v>1</v>
      </c>
      <c r="C394" s="322" t="s">
        <v>2</v>
      </c>
      <c r="D394" s="322" t="s">
        <v>3</v>
      </c>
      <c r="E394" s="322" t="s">
        <v>4</v>
      </c>
      <c r="F394" s="322" t="s">
        <v>5</v>
      </c>
      <c r="G394" s="322" t="s">
        <v>6</v>
      </c>
      <c r="H394" s="324" t="s">
        <v>7</v>
      </c>
      <c r="I394" s="322" t="s">
        <v>8</v>
      </c>
      <c r="J394" s="322" t="s">
        <v>9</v>
      </c>
      <c r="K394" s="325" t="s">
        <v>10</v>
      </c>
      <c r="L394" s="326" t="s">
        <v>11</v>
      </c>
      <c r="M394" s="322" t="s">
        <v>12</v>
      </c>
      <c r="N394" s="327" t="s">
        <v>13</v>
      </c>
      <c r="O394" s="427" t="s">
        <v>63</v>
      </c>
      <c r="P394" s="322" t="s">
        <v>123</v>
      </c>
    </row>
    <row r="395" spans="1:16" s="17" customFormat="1" ht="33" customHeight="1">
      <c r="A395" s="594" t="s">
        <v>5625</v>
      </c>
      <c r="B395" s="399">
        <v>46188</v>
      </c>
      <c r="C395" s="3" t="s">
        <v>21</v>
      </c>
      <c r="D395" s="3" t="s">
        <v>17</v>
      </c>
      <c r="E395" s="454" t="s">
        <v>4836</v>
      </c>
      <c r="F395" s="454">
        <v>3306</v>
      </c>
      <c r="G395" s="459" t="s">
        <v>1328</v>
      </c>
      <c r="H395" s="453" t="s">
        <v>5891</v>
      </c>
      <c r="I395" s="453" t="s">
        <v>5892</v>
      </c>
      <c r="J395" s="453" t="s">
        <v>686</v>
      </c>
      <c r="K395" s="125" t="s">
        <v>15</v>
      </c>
      <c r="L395" s="459" t="s">
        <v>5262</v>
      </c>
      <c r="M395" s="455">
        <v>4</v>
      </c>
      <c r="N395" s="31" t="s">
        <v>6030</v>
      </c>
      <c r="O395" s="431"/>
      <c r="P395" s="31"/>
    </row>
    <row r="396" spans="1:16" s="17" customFormat="1" ht="33" customHeight="1">
      <c r="A396" s="595"/>
      <c r="B396" s="399">
        <v>46188</v>
      </c>
      <c r="C396" s="3" t="s">
        <v>6118</v>
      </c>
      <c r="D396" s="3" t="s">
        <v>6021</v>
      </c>
      <c r="E396" s="454" t="s">
        <v>6119</v>
      </c>
      <c r="F396" s="454" t="s">
        <v>6120</v>
      </c>
      <c r="G396" s="459" t="s">
        <v>6121</v>
      </c>
      <c r="H396" s="453" t="s">
        <v>6122</v>
      </c>
      <c r="I396" s="453"/>
      <c r="J396" s="453" t="s">
        <v>5606</v>
      </c>
      <c r="K396" s="125" t="s">
        <v>6041</v>
      </c>
      <c r="L396" s="459" t="s">
        <v>6106</v>
      </c>
      <c r="M396" s="455">
        <v>2</v>
      </c>
      <c r="N396" s="31" t="s">
        <v>6145</v>
      </c>
      <c r="O396" s="431"/>
      <c r="P396" s="31"/>
    </row>
    <row r="397" spans="1:16" s="17" customFormat="1" ht="33" customHeight="1">
      <c r="A397" s="595"/>
      <c r="B397" s="399">
        <v>46188</v>
      </c>
      <c r="C397" s="3" t="s">
        <v>21</v>
      </c>
      <c r="D397" s="3" t="s">
        <v>14</v>
      </c>
      <c r="E397" s="454" t="s">
        <v>1893</v>
      </c>
      <c r="F397" s="454" t="s">
        <v>4939</v>
      </c>
      <c r="G397" s="459" t="s">
        <v>482</v>
      </c>
      <c r="H397" s="453" t="s">
        <v>271</v>
      </c>
      <c r="I397" s="453"/>
      <c r="J397" s="453" t="s">
        <v>999</v>
      </c>
      <c r="K397" s="125" t="s">
        <v>15</v>
      </c>
      <c r="L397" s="459">
        <v>9080</v>
      </c>
      <c r="M397" s="455">
        <v>1</v>
      </c>
      <c r="N397" s="422" t="s">
        <v>6229</v>
      </c>
      <c r="O397" s="431"/>
      <c r="P397" s="31"/>
    </row>
    <row r="398" spans="1:16" s="17" customFormat="1" ht="33" customHeight="1">
      <c r="A398" s="595"/>
      <c r="B398" s="399">
        <v>46189</v>
      </c>
      <c r="C398" s="3" t="s">
        <v>21</v>
      </c>
      <c r="D398" s="3" t="s">
        <v>17</v>
      </c>
      <c r="E398" s="454" t="s">
        <v>4836</v>
      </c>
      <c r="F398" s="454">
        <v>3306</v>
      </c>
      <c r="G398" s="459" t="s">
        <v>1328</v>
      </c>
      <c r="H398" s="453" t="s">
        <v>5891</v>
      </c>
      <c r="I398" s="453" t="s">
        <v>5892</v>
      </c>
      <c r="J398" s="453" t="s">
        <v>686</v>
      </c>
      <c r="K398" s="125" t="s">
        <v>15</v>
      </c>
      <c r="L398" s="459" t="s">
        <v>5262</v>
      </c>
      <c r="M398" s="455">
        <v>4</v>
      </c>
      <c r="N398" s="422" t="s">
        <v>6229</v>
      </c>
      <c r="O398" s="431"/>
      <c r="P398" s="31"/>
    </row>
    <row r="399" spans="1:16" s="17" customFormat="1" ht="33" customHeight="1">
      <c r="A399" s="595"/>
      <c r="B399" s="399">
        <v>46189</v>
      </c>
      <c r="C399" s="3" t="s">
        <v>21</v>
      </c>
      <c r="D399" s="3" t="s">
        <v>14</v>
      </c>
      <c r="E399" s="454" t="s">
        <v>1893</v>
      </c>
      <c r="F399" s="454" t="s">
        <v>4939</v>
      </c>
      <c r="G399" s="459" t="s">
        <v>482</v>
      </c>
      <c r="H399" s="453" t="s">
        <v>6038</v>
      </c>
      <c r="I399" s="453" t="s">
        <v>6132</v>
      </c>
      <c r="J399" s="453"/>
      <c r="K399" s="125" t="s">
        <v>6041</v>
      </c>
      <c r="L399" s="459">
        <v>9080</v>
      </c>
      <c r="M399" s="455">
        <v>1</v>
      </c>
      <c r="N399" s="454"/>
      <c r="O399" s="431"/>
      <c r="P399" s="31"/>
    </row>
    <row r="400" spans="1:16" s="17" customFormat="1" ht="33" customHeight="1">
      <c r="A400" s="595"/>
      <c r="B400" s="399">
        <v>46189</v>
      </c>
      <c r="C400" s="3" t="s">
        <v>6093</v>
      </c>
      <c r="D400" s="3" t="s">
        <v>6094</v>
      </c>
      <c r="E400" s="453" t="s">
        <v>6095</v>
      </c>
      <c r="F400" s="31" t="s">
        <v>6097</v>
      </c>
      <c r="G400" s="16" t="s">
        <v>6101</v>
      </c>
      <c r="H400" s="193" t="s">
        <v>6100</v>
      </c>
      <c r="I400" s="31"/>
      <c r="J400" s="193" t="s">
        <v>6096</v>
      </c>
      <c r="K400" s="125" t="s">
        <v>6036</v>
      </c>
      <c r="L400" s="16" t="s">
        <v>6092</v>
      </c>
      <c r="M400" s="8">
        <v>2</v>
      </c>
      <c r="N400" s="454"/>
      <c r="O400" s="431" t="s">
        <v>6102</v>
      </c>
      <c r="P400" s="31"/>
    </row>
    <row r="401" spans="1:16" s="17" customFormat="1" ht="33" customHeight="1">
      <c r="A401" s="595"/>
      <c r="B401" s="399">
        <v>46190</v>
      </c>
      <c r="C401" s="3" t="s">
        <v>6093</v>
      </c>
      <c r="D401" s="3" t="s">
        <v>6094</v>
      </c>
      <c r="E401" s="453" t="s">
        <v>6095</v>
      </c>
      <c r="F401" s="31" t="s">
        <v>6097</v>
      </c>
      <c r="G401" s="16" t="s">
        <v>6098</v>
      </c>
      <c r="H401" s="193" t="s">
        <v>6099</v>
      </c>
      <c r="I401" s="31"/>
      <c r="J401" s="193" t="s">
        <v>6096</v>
      </c>
      <c r="K401" s="125" t="s">
        <v>6036</v>
      </c>
      <c r="L401" s="16" t="s">
        <v>6092</v>
      </c>
      <c r="M401" s="8">
        <v>2</v>
      </c>
      <c r="N401" s="422" t="s">
        <v>6229</v>
      </c>
      <c r="O401" s="437" t="s">
        <v>6103</v>
      </c>
      <c r="P401" s="31"/>
    </row>
    <row r="402" spans="1:16" s="17" customFormat="1" ht="33" customHeight="1">
      <c r="A402" s="595"/>
      <c r="B402" s="399">
        <v>46190</v>
      </c>
      <c r="C402" s="3" t="s">
        <v>21</v>
      </c>
      <c r="D402" s="3" t="s">
        <v>14</v>
      </c>
      <c r="E402" s="454" t="s">
        <v>1893</v>
      </c>
      <c r="F402" s="454" t="s">
        <v>4939</v>
      </c>
      <c r="G402" s="459" t="s">
        <v>482</v>
      </c>
      <c r="H402" s="453" t="s">
        <v>6038</v>
      </c>
      <c r="I402" s="453" t="s">
        <v>6132</v>
      </c>
      <c r="J402" s="453" t="s">
        <v>6011</v>
      </c>
      <c r="K402" s="125" t="s">
        <v>6041</v>
      </c>
      <c r="L402" s="459">
        <v>9080</v>
      </c>
      <c r="M402" s="455">
        <v>2</v>
      </c>
      <c r="N402" s="454"/>
      <c r="O402" s="430"/>
      <c r="P402" s="31"/>
    </row>
    <row r="403" spans="1:16" s="17" customFormat="1" ht="33" customHeight="1">
      <c r="A403" s="595"/>
      <c r="B403" s="399">
        <v>46190</v>
      </c>
      <c r="C403" s="3" t="s">
        <v>138</v>
      </c>
      <c r="D403" s="3" t="s">
        <v>14</v>
      </c>
      <c r="E403" s="454" t="s">
        <v>107</v>
      </c>
      <c r="F403" s="454" t="s">
        <v>3386</v>
      </c>
      <c r="G403" s="459" t="s">
        <v>115</v>
      </c>
      <c r="H403" s="453" t="s">
        <v>6122</v>
      </c>
      <c r="I403" s="453" t="s">
        <v>6224</v>
      </c>
      <c r="J403" s="453" t="s">
        <v>6223</v>
      </c>
      <c r="K403" s="125" t="s">
        <v>15</v>
      </c>
      <c r="L403" s="459" t="s">
        <v>33</v>
      </c>
      <c r="M403" s="455">
        <v>2</v>
      </c>
      <c r="N403" s="454"/>
      <c r="O403" s="430"/>
      <c r="P403" s="31"/>
    </row>
    <row r="404" spans="1:16" s="17" customFormat="1" ht="33" customHeight="1">
      <c r="A404" s="595"/>
      <c r="B404" s="399">
        <v>46191</v>
      </c>
      <c r="C404" s="3" t="s">
        <v>6020</v>
      </c>
      <c r="D404" s="3" t="s">
        <v>6109</v>
      </c>
      <c r="E404" s="453" t="s">
        <v>6110</v>
      </c>
      <c r="F404" s="31">
        <v>7060</v>
      </c>
      <c r="G404" s="16" t="s">
        <v>6111</v>
      </c>
      <c r="H404" s="193" t="s">
        <v>6112</v>
      </c>
      <c r="I404" s="31" t="s">
        <v>6049</v>
      </c>
      <c r="J404" s="193" t="s">
        <v>6113</v>
      </c>
      <c r="K404" s="125" t="s">
        <v>6041</v>
      </c>
      <c r="L404" s="16" t="s">
        <v>6008</v>
      </c>
      <c r="M404" s="8">
        <v>2</v>
      </c>
      <c r="N404" s="422"/>
      <c r="O404" s="430"/>
      <c r="P404" s="31"/>
    </row>
    <row r="405" spans="1:16" s="17" customFormat="1" ht="33" customHeight="1">
      <c r="A405" s="595"/>
      <c r="B405" s="399">
        <v>46191</v>
      </c>
      <c r="C405" s="3" t="s">
        <v>21</v>
      </c>
      <c r="D405" s="3" t="s">
        <v>14</v>
      </c>
      <c r="E405" s="454" t="s">
        <v>1893</v>
      </c>
      <c r="F405" s="454" t="s">
        <v>4939</v>
      </c>
      <c r="G405" s="459" t="s">
        <v>482</v>
      </c>
      <c r="H405" s="453" t="s">
        <v>6038</v>
      </c>
      <c r="I405" s="453" t="s">
        <v>6132</v>
      </c>
      <c r="J405" s="453" t="s">
        <v>6011</v>
      </c>
      <c r="K405" s="125" t="s">
        <v>6041</v>
      </c>
      <c r="L405" s="459">
        <v>9080</v>
      </c>
      <c r="M405" s="455">
        <v>2</v>
      </c>
      <c r="N405" s="422"/>
      <c r="O405" s="430"/>
      <c r="P405" s="31"/>
    </row>
    <row r="406" spans="1:16" s="17" customFormat="1" ht="33" customHeight="1">
      <c r="A406" s="595"/>
      <c r="B406" s="399">
        <v>46192</v>
      </c>
      <c r="C406" s="3" t="s">
        <v>21</v>
      </c>
      <c r="D406" s="3" t="s">
        <v>14</v>
      </c>
      <c r="E406" s="454" t="s">
        <v>1893</v>
      </c>
      <c r="F406" s="454" t="s">
        <v>4939</v>
      </c>
      <c r="G406" s="459" t="s">
        <v>482</v>
      </c>
      <c r="H406" s="453" t="s">
        <v>6038</v>
      </c>
      <c r="I406" s="453" t="s">
        <v>6132</v>
      </c>
      <c r="J406" s="453" t="s">
        <v>6011</v>
      </c>
      <c r="K406" s="125" t="s">
        <v>6041</v>
      </c>
      <c r="L406" s="459">
        <v>9080</v>
      </c>
      <c r="M406" s="455">
        <v>2</v>
      </c>
      <c r="N406" s="422" t="s">
        <v>6229</v>
      </c>
      <c r="O406" s="430"/>
      <c r="P406" s="31"/>
    </row>
    <row r="407" spans="1:16" s="17" customFormat="1" ht="33" customHeight="1">
      <c r="A407" s="595"/>
      <c r="B407" s="399">
        <v>46193</v>
      </c>
      <c r="C407" s="4"/>
      <c r="D407" s="4"/>
      <c r="E407" s="291"/>
      <c r="F407" s="31"/>
      <c r="G407" s="16"/>
      <c r="H407" s="193"/>
      <c r="I407" s="31"/>
      <c r="J407" s="31"/>
      <c r="K407" s="125"/>
      <c r="L407" s="16"/>
      <c r="M407" s="8"/>
      <c r="N407" s="31"/>
      <c r="O407" s="432"/>
      <c r="P407" s="31"/>
    </row>
    <row r="408" spans="1:16" s="17" customFormat="1" ht="33" customHeight="1">
      <c r="A408" s="322" t="s">
        <v>0</v>
      </c>
      <c r="B408" s="323" t="s">
        <v>1</v>
      </c>
      <c r="C408" s="322" t="s">
        <v>2</v>
      </c>
      <c r="D408" s="322" t="s">
        <v>3</v>
      </c>
      <c r="E408" s="322" t="s">
        <v>4</v>
      </c>
      <c r="F408" s="322" t="s">
        <v>5</v>
      </c>
      <c r="G408" s="322" t="s">
        <v>6</v>
      </c>
      <c r="H408" s="324" t="s">
        <v>7</v>
      </c>
      <c r="I408" s="322" t="s">
        <v>8</v>
      </c>
      <c r="J408" s="322" t="s">
        <v>9</v>
      </c>
      <c r="K408" s="325" t="s">
        <v>10</v>
      </c>
      <c r="L408" s="326" t="s">
        <v>11</v>
      </c>
      <c r="M408" s="322" t="s">
        <v>12</v>
      </c>
      <c r="N408" s="327" t="s">
        <v>13</v>
      </c>
      <c r="O408" s="427" t="s">
        <v>63</v>
      </c>
      <c r="P408" s="322" t="s">
        <v>123</v>
      </c>
    </row>
    <row r="409" spans="1:16" s="17" customFormat="1" ht="33" customHeight="1">
      <c r="A409" s="594" t="s">
        <v>5626</v>
      </c>
      <c r="B409" s="399">
        <v>46195</v>
      </c>
      <c r="C409" s="4" t="s">
        <v>24</v>
      </c>
      <c r="D409" s="4" t="s">
        <v>6207</v>
      </c>
      <c r="E409" s="193" t="s">
        <v>6208</v>
      </c>
      <c r="F409" s="31" t="s">
        <v>6209</v>
      </c>
      <c r="G409" s="16" t="s">
        <v>6210</v>
      </c>
      <c r="H409" s="193" t="s">
        <v>6211</v>
      </c>
      <c r="I409" s="454"/>
      <c r="J409" s="453" t="s">
        <v>641</v>
      </c>
      <c r="K409" s="136" t="s">
        <v>15</v>
      </c>
      <c r="L409" s="459" t="s">
        <v>4550</v>
      </c>
      <c r="M409" s="455">
        <v>2</v>
      </c>
      <c r="N409" s="422"/>
      <c r="O409" s="430" t="s">
        <v>6247</v>
      </c>
      <c r="P409" s="31" t="s">
        <v>6245</v>
      </c>
    </row>
    <row r="410" spans="1:16" s="17" customFormat="1" ht="33" customHeight="1">
      <c r="A410" s="595"/>
      <c r="B410" s="399">
        <v>46195</v>
      </c>
      <c r="C410" s="3" t="s">
        <v>21</v>
      </c>
      <c r="D410" s="3" t="s">
        <v>31</v>
      </c>
      <c r="E410" s="454" t="s">
        <v>5276</v>
      </c>
      <c r="F410" s="454">
        <v>7064</v>
      </c>
      <c r="G410" s="459" t="s">
        <v>83</v>
      </c>
      <c r="H410" s="453" t="s">
        <v>6108</v>
      </c>
      <c r="I410" s="454" t="s">
        <v>6220</v>
      </c>
      <c r="J410" s="454" t="s">
        <v>68</v>
      </c>
      <c r="K410" s="136" t="s">
        <v>15</v>
      </c>
      <c r="L410" s="459" t="s">
        <v>4550</v>
      </c>
      <c r="M410" s="455">
        <v>2</v>
      </c>
      <c r="N410" s="31"/>
      <c r="O410" s="431"/>
      <c r="P410" s="31"/>
    </row>
    <row r="411" spans="1:16" s="17" customFormat="1" ht="33" customHeight="1">
      <c r="A411" s="595"/>
      <c r="B411" s="399">
        <v>46196</v>
      </c>
      <c r="C411" s="3" t="s">
        <v>21</v>
      </c>
      <c r="D411" s="3" t="s">
        <v>14</v>
      </c>
      <c r="E411" s="454" t="s">
        <v>107</v>
      </c>
      <c r="F411" s="454" t="s">
        <v>3386</v>
      </c>
      <c r="G411" s="459" t="s">
        <v>115</v>
      </c>
      <c r="H411" s="453" t="s">
        <v>6227</v>
      </c>
      <c r="I411" s="31" t="s">
        <v>120</v>
      </c>
      <c r="J411" s="31" t="s">
        <v>6228</v>
      </c>
      <c r="K411" s="125" t="s">
        <v>15</v>
      </c>
      <c r="L411" s="16" t="s">
        <v>6213</v>
      </c>
      <c r="M411" s="8">
        <v>2</v>
      </c>
      <c r="N411" s="31"/>
      <c r="O411" s="430" t="s">
        <v>6246</v>
      </c>
      <c r="P411" s="31"/>
    </row>
    <row r="412" spans="1:16" s="17" customFormat="1" ht="33" customHeight="1">
      <c r="A412" s="595"/>
      <c r="B412" s="399">
        <v>46196</v>
      </c>
      <c r="C412" s="3" t="s">
        <v>21</v>
      </c>
      <c r="D412" s="3" t="s">
        <v>31</v>
      </c>
      <c r="E412" s="454" t="s">
        <v>5276</v>
      </c>
      <c r="F412" s="454">
        <v>7064</v>
      </c>
      <c r="G412" s="459" t="s">
        <v>83</v>
      </c>
      <c r="H412" s="453" t="s">
        <v>6108</v>
      </c>
      <c r="I412" s="454"/>
      <c r="J412" s="454" t="s">
        <v>68</v>
      </c>
      <c r="K412" s="136" t="s">
        <v>15</v>
      </c>
      <c r="L412" s="459" t="s">
        <v>4550</v>
      </c>
      <c r="M412" s="455">
        <v>1</v>
      </c>
      <c r="N412" s="31"/>
      <c r="O412" s="431"/>
      <c r="P412" s="31"/>
    </row>
    <row r="413" spans="1:16" s="17" customFormat="1" ht="40.5">
      <c r="A413" s="595"/>
      <c r="B413" s="198">
        <v>46196</v>
      </c>
      <c r="C413" s="3" t="s">
        <v>21</v>
      </c>
      <c r="D413" s="3" t="s">
        <v>14</v>
      </c>
      <c r="E413" s="472" t="s">
        <v>149</v>
      </c>
      <c r="F413" s="454" t="s">
        <v>4090</v>
      </c>
      <c r="G413" s="459" t="s">
        <v>4091</v>
      </c>
      <c r="H413" s="453" t="s">
        <v>6256</v>
      </c>
      <c r="I413" s="454" t="s">
        <v>6225</v>
      </c>
      <c r="J413" s="453" t="s">
        <v>6096</v>
      </c>
      <c r="K413" s="136" t="s">
        <v>15</v>
      </c>
      <c r="L413" s="459">
        <v>9080</v>
      </c>
      <c r="M413" s="455">
        <v>3</v>
      </c>
      <c r="N413" s="454"/>
      <c r="O413" s="473" t="s">
        <v>6271</v>
      </c>
      <c r="P413" s="31"/>
    </row>
    <row r="414" spans="1:16" s="17" customFormat="1" ht="33" customHeight="1">
      <c r="A414" s="595"/>
      <c r="B414" s="198">
        <v>46197</v>
      </c>
      <c r="C414" s="3" t="s">
        <v>21</v>
      </c>
      <c r="D414" s="3" t="s">
        <v>14</v>
      </c>
      <c r="E414" s="472" t="s">
        <v>149</v>
      </c>
      <c r="F414" s="454" t="s">
        <v>4090</v>
      </c>
      <c r="G414" s="459" t="s">
        <v>4091</v>
      </c>
      <c r="H414" s="453" t="s">
        <v>6255</v>
      </c>
      <c r="I414" s="454" t="s">
        <v>168</v>
      </c>
      <c r="J414" s="453" t="s">
        <v>487</v>
      </c>
      <c r="K414" s="136" t="s">
        <v>15</v>
      </c>
      <c r="L414" s="459">
        <v>9080</v>
      </c>
      <c r="M414" s="455">
        <v>3</v>
      </c>
      <c r="N414" s="456"/>
      <c r="O414" s="473" t="s">
        <v>6272</v>
      </c>
      <c r="P414" s="31" t="s">
        <v>6231</v>
      </c>
    </row>
    <row r="415" spans="1:16" s="17" customFormat="1" ht="33" customHeight="1">
      <c r="A415" s="595"/>
      <c r="B415" s="198">
        <v>46197</v>
      </c>
      <c r="C415" s="3" t="s">
        <v>21</v>
      </c>
      <c r="D415" s="3" t="s">
        <v>14</v>
      </c>
      <c r="E415" s="454" t="s">
        <v>107</v>
      </c>
      <c r="F415" s="454" t="s">
        <v>3386</v>
      </c>
      <c r="G415" s="459" t="s">
        <v>102</v>
      </c>
      <c r="H415" s="453" t="s">
        <v>6266</v>
      </c>
      <c r="I415" s="454" t="s">
        <v>90</v>
      </c>
      <c r="J415" s="453" t="s">
        <v>6267</v>
      </c>
      <c r="K415" s="136" t="s">
        <v>15</v>
      </c>
      <c r="L415" s="459" t="s">
        <v>6268</v>
      </c>
      <c r="M415" s="455">
        <v>2</v>
      </c>
      <c r="N415" s="456"/>
      <c r="O415" s="473" t="s">
        <v>6270</v>
      </c>
      <c r="P415" s="31" t="s">
        <v>6231</v>
      </c>
    </row>
    <row r="416" spans="1:16" s="17" customFormat="1" ht="33" customHeight="1">
      <c r="A416" s="595"/>
      <c r="B416" s="198">
        <v>46197</v>
      </c>
      <c r="C416" s="3" t="s">
        <v>21</v>
      </c>
      <c r="D416" s="3" t="s">
        <v>14</v>
      </c>
      <c r="E416" s="454" t="s">
        <v>1893</v>
      </c>
      <c r="F416" s="454" t="s">
        <v>4939</v>
      </c>
      <c r="G416" s="459" t="s">
        <v>482</v>
      </c>
      <c r="H416" s="453" t="s">
        <v>271</v>
      </c>
      <c r="I416" s="453" t="s">
        <v>202</v>
      </c>
      <c r="J416" s="453" t="s">
        <v>6263</v>
      </c>
      <c r="K416" s="125" t="s">
        <v>15</v>
      </c>
      <c r="L416" s="459">
        <v>9080</v>
      </c>
      <c r="M416" s="455">
        <v>3</v>
      </c>
      <c r="N416" s="456"/>
      <c r="O416" s="473" t="s">
        <v>6269</v>
      </c>
      <c r="P416" s="31"/>
    </row>
    <row r="417" spans="1:16" s="17" customFormat="1" ht="33" customHeight="1">
      <c r="A417" s="595"/>
      <c r="B417" s="198">
        <v>46198</v>
      </c>
      <c r="C417" s="3" t="s">
        <v>24</v>
      </c>
      <c r="D417" s="3" t="s">
        <v>31</v>
      </c>
      <c r="E417" s="453" t="s">
        <v>6095</v>
      </c>
      <c r="F417" s="454" t="s">
        <v>2713</v>
      </c>
      <c r="G417" s="459" t="s">
        <v>115</v>
      </c>
      <c r="H417" s="453" t="s">
        <v>6212</v>
      </c>
      <c r="I417" s="454" t="s">
        <v>6257</v>
      </c>
      <c r="J417" s="453" t="s">
        <v>6273</v>
      </c>
      <c r="K417" s="136" t="s">
        <v>15</v>
      </c>
      <c r="L417" s="459">
        <v>9080</v>
      </c>
      <c r="M417" s="455">
        <v>2</v>
      </c>
      <c r="N417" s="456"/>
      <c r="O417" s="473" t="s">
        <v>6274</v>
      </c>
      <c r="P417" s="31"/>
    </row>
    <row r="418" spans="1:16" s="17" customFormat="1" ht="33" customHeight="1">
      <c r="A418" s="595"/>
      <c r="B418" s="198">
        <v>46198</v>
      </c>
      <c r="C418" s="3" t="s">
        <v>21</v>
      </c>
      <c r="D418" s="3" t="s">
        <v>14</v>
      </c>
      <c r="E418" s="454" t="s">
        <v>1893</v>
      </c>
      <c r="F418" s="454" t="s">
        <v>4939</v>
      </c>
      <c r="G418" s="459" t="s">
        <v>482</v>
      </c>
      <c r="H418" s="453" t="s">
        <v>271</v>
      </c>
      <c r="I418" s="453" t="s">
        <v>493</v>
      </c>
      <c r="J418" s="453" t="s">
        <v>6286</v>
      </c>
      <c r="K418" s="136" t="s">
        <v>15</v>
      </c>
      <c r="L418" s="459" t="s">
        <v>6287</v>
      </c>
      <c r="M418" s="455">
        <v>3</v>
      </c>
      <c r="N418" s="456"/>
      <c r="O418" s="473"/>
      <c r="P418" s="31"/>
    </row>
    <row r="419" spans="1:16" s="17" customFormat="1" ht="33" customHeight="1">
      <c r="A419" s="595"/>
      <c r="B419" s="198">
        <v>46198</v>
      </c>
      <c r="C419" s="3" t="s">
        <v>6232</v>
      </c>
      <c r="D419" s="3" t="s">
        <v>6233</v>
      </c>
      <c r="E419" s="454" t="s">
        <v>6234</v>
      </c>
      <c r="F419" s="454" t="s">
        <v>6235</v>
      </c>
      <c r="G419" s="459" t="s">
        <v>6236</v>
      </c>
      <c r="H419" s="453" t="s">
        <v>6265</v>
      </c>
      <c r="I419" s="454" t="s">
        <v>6238</v>
      </c>
      <c r="J419" s="454" t="s">
        <v>6239</v>
      </c>
      <c r="K419" s="136" t="s">
        <v>6240</v>
      </c>
      <c r="L419" s="459" t="s">
        <v>6241</v>
      </c>
      <c r="M419" s="455">
        <v>3</v>
      </c>
      <c r="N419" s="456"/>
      <c r="O419" s="473"/>
      <c r="P419" s="31"/>
    </row>
    <row r="420" spans="1:16" s="17" customFormat="1" ht="33" customHeight="1">
      <c r="A420" s="595"/>
      <c r="B420" s="198">
        <v>46199</v>
      </c>
      <c r="C420" s="3" t="s">
        <v>6232</v>
      </c>
      <c r="D420" s="3" t="s">
        <v>6233</v>
      </c>
      <c r="E420" s="454" t="s">
        <v>6234</v>
      </c>
      <c r="F420" s="454" t="s">
        <v>6235</v>
      </c>
      <c r="G420" s="459" t="s">
        <v>6236</v>
      </c>
      <c r="H420" s="453" t="s">
        <v>6237</v>
      </c>
      <c r="I420" s="454" t="s">
        <v>6238</v>
      </c>
      <c r="J420" s="454" t="s">
        <v>6239</v>
      </c>
      <c r="K420" s="136" t="s">
        <v>6240</v>
      </c>
      <c r="L420" s="459" t="s">
        <v>6241</v>
      </c>
      <c r="M420" s="455">
        <v>3</v>
      </c>
      <c r="N420" s="456"/>
      <c r="O420" s="473"/>
      <c r="P420" s="31" t="s">
        <v>6231</v>
      </c>
    </row>
    <row r="421" spans="1:16" s="17" customFormat="1" ht="33" customHeight="1">
      <c r="A421" s="595"/>
      <c r="B421" s="198">
        <v>46199</v>
      </c>
      <c r="C421" s="3" t="s">
        <v>21</v>
      </c>
      <c r="D421" s="3" t="s">
        <v>14</v>
      </c>
      <c r="E421" s="454" t="s">
        <v>1893</v>
      </c>
      <c r="F421" s="454" t="s">
        <v>4939</v>
      </c>
      <c r="G421" s="459" t="s">
        <v>482</v>
      </c>
      <c r="H421" s="453" t="s">
        <v>271</v>
      </c>
      <c r="I421" s="453" t="s">
        <v>493</v>
      </c>
      <c r="J421" s="453" t="s">
        <v>999</v>
      </c>
      <c r="K421" s="136" t="s">
        <v>15</v>
      </c>
      <c r="L421" s="459">
        <v>9080</v>
      </c>
      <c r="M421" s="455">
        <v>2</v>
      </c>
      <c r="N421" s="456"/>
      <c r="O421" s="473"/>
      <c r="P421" s="31"/>
    </row>
    <row r="422" spans="1:16" s="17" customFormat="1" ht="33" customHeight="1">
      <c r="A422" s="595"/>
      <c r="B422" s="198">
        <v>46199</v>
      </c>
      <c r="C422" s="3" t="s">
        <v>21</v>
      </c>
      <c r="D422" s="3" t="s">
        <v>14</v>
      </c>
      <c r="E422" s="454" t="s">
        <v>107</v>
      </c>
      <c r="F422" s="454" t="s">
        <v>3386</v>
      </c>
      <c r="G422" s="459" t="s">
        <v>102</v>
      </c>
      <c r="H422" s="453" t="s">
        <v>6266</v>
      </c>
      <c r="I422" s="454"/>
      <c r="J422" s="453" t="s">
        <v>6281</v>
      </c>
      <c r="K422" s="136" t="s">
        <v>15</v>
      </c>
      <c r="L422" s="459" t="s">
        <v>4550</v>
      </c>
      <c r="M422" s="455">
        <v>2</v>
      </c>
      <c r="N422" s="456"/>
      <c r="O422" s="473"/>
      <c r="P422" s="31"/>
    </row>
    <row r="423" spans="1:16" s="17" customFormat="1" ht="33" customHeight="1">
      <c r="A423" s="595"/>
      <c r="B423" s="198">
        <v>46199</v>
      </c>
      <c r="C423" s="3" t="s">
        <v>21</v>
      </c>
      <c r="D423" s="3" t="s">
        <v>14</v>
      </c>
      <c r="E423" s="454" t="s">
        <v>107</v>
      </c>
      <c r="F423" s="454" t="s">
        <v>3386</v>
      </c>
      <c r="G423" s="459" t="s">
        <v>6242</v>
      </c>
      <c r="H423" s="453" t="s">
        <v>6243</v>
      </c>
      <c r="I423" s="454"/>
      <c r="J423" s="453" t="s">
        <v>6244</v>
      </c>
      <c r="K423" s="136" t="s">
        <v>15</v>
      </c>
      <c r="L423" s="459" t="s">
        <v>4550</v>
      </c>
      <c r="M423" s="455">
        <v>1</v>
      </c>
      <c r="N423" s="456"/>
      <c r="O423" s="473"/>
      <c r="P423" s="31"/>
    </row>
    <row r="424" spans="1:16" s="17" customFormat="1" ht="33" customHeight="1">
      <c r="A424" s="596"/>
      <c r="B424" s="369">
        <v>46200</v>
      </c>
      <c r="C424" s="4"/>
      <c r="D424" s="4"/>
      <c r="E424" s="291"/>
      <c r="F424" s="31"/>
      <c r="G424" s="16"/>
      <c r="H424" s="193"/>
      <c r="I424" s="31"/>
      <c r="J424" s="31"/>
      <c r="K424" s="125"/>
      <c r="L424" s="16"/>
      <c r="M424" s="8"/>
      <c r="N424" s="31"/>
      <c r="O424" s="432"/>
      <c r="P424" s="31"/>
    </row>
    <row r="425" spans="1:16" s="17" customFormat="1" ht="33" customHeight="1">
      <c r="A425" s="322" t="s">
        <v>0</v>
      </c>
      <c r="B425" s="323" t="s">
        <v>1</v>
      </c>
      <c r="C425" s="322" t="s">
        <v>2</v>
      </c>
      <c r="D425" s="322" t="s">
        <v>3</v>
      </c>
      <c r="E425" s="322" t="s">
        <v>4</v>
      </c>
      <c r="F425" s="322" t="s">
        <v>5</v>
      </c>
      <c r="G425" s="322" t="s">
        <v>6</v>
      </c>
      <c r="H425" s="324" t="s">
        <v>7</v>
      </c>
      <c r="I425" s="322" t="s">
        <v>8</v>
      </c>
      <c r="J425" s="322" t="s">
        <v>9</v>
      </c>
      <c r="K425" s="325" t="s">
        <v>10</v>
      </c>
      <c r="L425" s="326" t="s">
        <v>11</v>
      </c>
      <c r="M425" s="322" t="s">
        <v>12</v>
      </c>
      <c r="N425" s="327" t="s">
        <v>13</v>
      </c>
      <c r="O425" s="427" t="s">
        <v>63</v>
      </c>
      <c r="P425" s="322" t="s">
        <v>123</v>
      </c>
    </row>
    <row r="426" spans="1:16" s="17" customFormat="1" ht="33" customHeight="1">
      <c r="A426" s="594" t="s">
        <v>5627</v>
      </c>
      <c r="B426" s="399">
        <v>46202</v>
      </c>
      <c r="C426" s="3" t="s">
        <v>21</v>
      </c>
      <c r="D426" s="3" t="s">
        <v>14</v>
      </c>
      <c r="E426" s="454" t="s">
        <v>107</v>
      </c>
      <c r="F426" s="454" t="s">
        <v>3386</v>
      </c>
      <c r="G426" s="459" t="s">
        <v>23</v>
      </c>
      <c r="H426" s="453" t="s">
        <v>6288</v>
      </c>
      <c r="I426" s="68" t="s">
        <v>6325</v>
      </c>
      <c r="J426" s="136" t="s">
        <v>3075</v>
      </c>
      <c r="K426" s="136" t="s">
        <v>15</v>
      </c>
      <c r="L426" s="730" t="s">
        <v>33</v>
      </c>
      <c r="M426" s="731">
        <v>2</v>
      </c>
      <c r="N426" s="6"/>
      <c r="O426" s="434"/>
      <c r="P426" s="31" t="s">
        <v>6293</v>
      </c>
    </row>
    <row r="427" spans="1:16" s="17" customFormat="1" ht="33" customHeight="1">
      <c r="A427" s="595"/>
      <c r="B427" s="399">
        <v>46202</v>
      </c>
      <c r="C427" s="3" t="s">
        <v>21</v>
      </c>
      <c r="D427" s="3" t="s">
        <v>14</v>
      </c>
      <c r="E427" s="454" t="s">
        <v>107</v>
      </c>
      <c r="F427" s="454" t="s">
        <v>3386</v>
      </c>
      <c r="G427" s="459" t="s">
        <v>102</v>
      </c>
      <c r="H427" s="453" t="s">
        <v>6266</v>
      </c>
      <c r="I427" s="454"/>
      <c r="J427" s="453" t="s">
        <v>6328</v>
      </c>
      <c r="K427" s="136" t="s">
        <v>15</v>
      </c>
      <c r="L427" s="459" t="s">
        <v>4550</v>
      </c>
      <c r="M427" s="455">
        <v>2</v>
      </c>
      <c r="N427" s="6"/>
      <c r="O427" s="434"/>
      <c r="P427" s="31"/>
    </row>
    <row r="428" spans="1:16" s="17" customFormat="1" ht="33" customHeight="1">
      <c r="A428" s="595"/>
      <c r="B428" s="399">
        <v>46203</v>
      </c>
      <c r="C428" s="3" t="s">
        <v>24</v>
      </c>
      <c r="D428" s="3" t="s">
        <v>6215</v>
      </c>
      <c r="E428" s="454" t="s">
        <v>6216</v>
      </c>
      <c r="F428" s="454" t="s">
        <v>6217</v>
      </c>
      <c r="G428" s="459" t="s">
        <v>6210</v>
      </c>
      <c r="H428" s="453" t="s">
        <v>6343</v>
      </c>
      <c r="I428" s="68" t="s">
        <v>6326</v>
      </c>
      <c r="J428" s="136" t="s">
        <v>6289</v>
      </c>
      <c r="K428" s="136" t="s">
        <v>6214</v>
      </c>
      <c r="L428" s="730" t="s">
        <v>6218</v>
      </c>
      <c r="M428" s="731">
        <v>2</v>
      </c>
      <c r="N428" s="6"/>
      <c r="O428" s="434"/>
      <c r="P428" s="31" t="s">
        <v>6293</v>
      </c>
    </row>
    <row r="429" spans="1:16" s="17" customFormat="1" ht="33" customHeight="1">
      <c r="A429" s="595"/>
      <c r="B429" s="399">
        <v>46203</v>
      </c>
      <c r="C429" s="3" t="s">
        <v>21</v>
      </c>
      <c r="D429" s="3" t="s">
        <v>17</v>
      </c>
      <c r="E429" s="454" t="s">
        <v>107</v>
      </c>
      <c r="F429" s="454" t="s">
        <v>3386</v>
      </c>
      <c r="G429" s="459" t="s">
        <v>102</v>
      </c>
      <c r="H429" s="453" t="s">
        <v>6266</v>
      </c>
      <c r="I429" s="454"/>
      <c r="J429" s="453" t="s">
        <v>641</v>
      </c>
      <c r="K429" s="136" t="s">
        <v>15</v>
      </c>
      <c r="L429" s="459" t="s">
        <v>4550</v>
      </c>
      <c r="M429" s="455">
        <v>2</v>
      </c>
      <c r="N429" s="6"/>
      <c r="O429" s="434"/>
      <c r="P429" s="31"/>
    </row>
    <row r="430" spans="1:16" s="17" customFormat="1" ht="33" customHeight="1">
      <c r="A430" s="595"/>
      <c r="B430" s="399">
        <v>46203</v>
      </c>
      <c r="C430" s="4" t="s">
        <v>29</v>
      </c>
      <c r="D430" s="4" t="s">
        <v>31</v>
      </c>
      <c r="E430" s="193" t="s">
        <v>78</v>
      </c>
      <c r="F430" s="31" t="s">
        <v>5975</v>
      </c>
      <c r="G430" s="16" t="s">
        <v>145</v>
      </c>
      <c r="H430" s="193" t="s">
        <v>6334</v>
      </c>
      <c r="I430" s="6" t="s">
        <v>5978</v>
      </c>
      <c r="J430" s="6" t="s">
        <v>5976</v>
      </c>
      <c r="K430" s="125" t="s">
        <v>15</v>
      </c>
      <c r="L430" s="277" t="s">
        <v>4550</v>
      </c>
      <c r="M430" s="417">
        <v>4</v>
      </c>
      <c r="N430" s="6"/>
      <c r="O430" s="434" t="s">
        <v>6305</v>
      </c>
      <c r="P430" s="31"/>
    </row>
    <row r="431" spans="1:16" s="17" customFormat="1" ht="33" customHeight="1">
      <c r="A431" s="595"/>
      <c r="B431" s="399">
        <v>46204</v>
      </c>
      <c r="C431" s="3" t="s">
        <v>21</v>
      </c>
      <c r="D431" s="3" t="s">
        <v>14</v>
      </c>
      <c r="E431" s="454" t="s">
        <v>427</v>
      </c>
      <c r="F431" s="454" t="s">
        <v>3386</v>
      </c>
      <c r="G431" s="459" t="s">
        <v>23</v>
      </c>
      <c r="H431" s="193" t="s">
        <v>6344</v>
      </c>
      <c r="I431" s="6" t="s">
        <v>6380</v>
      </c>
      <c r="J431" s="6" t="s">
        <v>6348</v>
      </c>
      <c r="K431" s="125" t="s">
        <v>6290</v>
      </c>
      <c r="L431" s="277" t="s">
        <v>6291</v>
      </c>
      <c r="M431" s="417">
        <v>2</v>
      </c>
      <c r="N431" s="6"/>
      <c r="O431" s="434" t="s">
        <v>6342</v>
      </c>
      <c r="P431" s="31"/>
    </row>
    <row r="432" spans="1:16" s="17" customFormat="1" ht="33" customHeight="1">
      <c r="A432" s="595"/>
      <c r="B432" s="399">
        <v>46204</v>
      </c>
      <c r="C432" s="3" t="s">
        <v>21</v>
      </c>
      <c r="D432" s="3" t="s">
        <v>17</v>
      </c>
      <c r="E432" s="454" t="s">
        <v>107</v>
      </c>
      <c r="F432" s="454" t="s">
        <v>2959</v>
      </c>
      <c r="G432" s="459" t="s">
        <v>109</v>
      </c>
      <c r="H432" s="453" t="s">
        <v>6365</v>
      </c>
      <c r="I432" s="68"/>
      <c r="J432" s="136" t="s">
        <v>641</v>
      </c>
      <c r="K432" s="136" t="s">
        <v>15</v>
      </c>
      <c r="L432" s="730" t="s">
        <v>4550</v>
      </c>
      <c r="M432" s="731">
        <v>2</v>
      </c>
      <c r="N432" s="6"/>
      <c r="O432" s="434"/>
      <c r="P432" s="193"/>
    </row>
    <row r="433" spans="1:16" s="17" customFormat="1" ht="33" customHeight="1">
      <c r="A433" s="595"/>
      <c r="B433" s="399">
        <v>46204</v>
      </c>
      <c r="C433" s="4" t="s">
        <v>21</v>
      </c>
      <c r="D433" s="4" t="s">
        <v>6259</v>
      </c>
      <c r="E433" s="31" t="s">
        <v>6282</v>
      </c>
      <c r="F433" s="31" t="s">
        <v>6283</v>
      </c>
      <c r="G433" s="16" t="s">
        <v>6284</v>
      </c>
      <c r="H433" s="193" t="s">
        <v>6285</v>
      </c>
      <c r="I433" s="6" t="s">
        <v>6299</v>
      </c>
      <c r="J433" s="6" t="s">
        <v>3074</v>
      </c>
      <c r="K433" s="125" t="s">
        <v>6280</v>
      </c>
      <c r="L433" s="277" t="s">
        <v>6369</v>
      </c>
      <c r="M433" s="417">
        <v>2</v>
      </c>
      <c r="N433" s="394"/>
      <c r="O433" s="437" t="s">
        <v>6335</v>
      </c>
      <c r="P433" s="31"/>
    </row>
    <row r="434" spans="1:16" s="17" customFormat="1" ht="33" customHeight="1">
      <c r="A434" s="595"/>
      <c r="B434" s="399">
        <v>46204</v>
      </c>
      <c r="C434" s="4" t="s">
        <v>21</v>
      </c>
      <c r="D434" s="4" t="s">
        <v>14</v>
      </c>
      <c r="E434" s="31" t="s">
        <v>3449</v>
      </c>
      <c r="F434" s="31" t="s">
        <v>6677</v>
      </c>
      <c r="G434" s="16" t="s">
        <v>6353</v>
      </c>
      <c r="H434" s="193" t="s">
        <v>6354</v>
      </c>
      <c r="I434" s="6" t="s">
        <v>6355</v>
      </c>
      <c r="J434" s="6"/>
      <c r="K434" s="125" t="s">
        <v>6356</v>
      </c>
      <c r="L434" s="277" t="s">
        <v>5476</v>
      </c>
      <c r="M434" s="417">
        <v>1</v>
      </c>
      <c r="N434" s="394"/>
      <c r="O434" s="437"/>
      <c r="P434" s="31"/>
    </row>
    <row r="435" spans="1:16" s="17" customFormat="1" ht="33" customHeight="1">
      <c r="A435" s="595"/>
      <c r="B435" s="399">
        <v>46204</v>
      </c>
      <c r="C435" s="4" t="s">
        <v>21</v>
      </c>
      <c r="D435" s="4" t="s">
        <v>6358</v>
      </c>
      <c r="E435" s="31" t="s">
        <v>6359</v>
      </c>
      <c r="F435" s="31" t="s">
        <v>6360</v>
      </c>
      <c r="G435" s="16" t="s">
        <v>6361</v>
      </c>
      <c r="H435" s="193" t="s">
        <v>6362</v>
      </c>
      <c r="I435" s="6"/>
      <c r="J435" s="6" t="s">
        <v>6363</v>
      </c>
      <c r="K435" s="125" t="s">
        <v>15</v>
      </c>
      <c r="L435" s="277" t="s">
        <v>6364</v>
      </c>
      <c r="M435" s="417">
        <v>3</v>
      </c>
      <c r="N435" s="394"/>
      <c r="O435" s="437"/>
      <c r="P435" s="31"/>
    </row>
    <row r="436" spans="1:16" s="17" customFormat="1" ht="33" customHeight="1">
      <c r="A436" s="595"/>
      <c r="B436" s="399">
        <v>46204</v>
      </c>
      <c r="C436" s="3" t="s">
        <v>21</v>
      </c>
      <c r="D436" s="3" t="s">
        <v>14</v>
      </c>
      <c r="E436" s="454" t="s">
        <v>427</v>
      </c>
      <c r="F436" s="454" t="s">
        <v>2959</v>
      </c>
      <c r="G436" s="459" t="s">
        <v>929</v>
      </c>
      <c r="H436" s="453" t="s">
        <v>6302</v>
      </c>
      <c r="I436" s="136" t="s">
        <v>6381</v>
      </c>
      <c r="J436" s="68" t="s">
        <v>6303</v>
      </c>
      <c r="K436" s="136" t="s">
        <v>15</v>
      </c>
      <c r="L436" s="277">
        <v>9080</v>
      </c>
      <c r="M436" s="731">
        <v>4</v>
      </c>
      <c r="N436" s="394"/>
      <c r="O436" s="437" t="s">
        <v>6352</v>
      </c>
      <c r="P436" s="31"/>
    </row>
    <row r="437" spans="1:16" s="17" customFormat="1" ht="33" customHeight="1">
      <c r="A437" s="595"/>
      <c r="B437" s="399">
        <v>46204</v>
      </c>
      <c r="C437" s="3" t="s">
        <v>21</v>
      </c>
      <c r="D437" s="3" t="s">
        <v>17</v>
      </c>
      <c r="E437" s="454" t="s">
        <v>107</v>
      </c>
      <c r="F437" s="454" t="s">
        <v>2959</v>
      </c>
      <c r="G437" s="459" t="s">
        <v>1172</v>
      </c>
      <c r="H437" s="453" t="s">
        <v>6327</v>
      </c>
      <c r="I437" s="68" t="s">
        <v>6368</v>
      </c>
      <c r="J437" s="68" t="s">
        <v>6303</v>
      </c>
      <c r="K437" s="136" t="s">
        <v>15</v>
      </c>
      <c r="L437" s="277">
        <v>9080</v>
      </c>
      <c r="M437" s="731">
        <v>2</v>
      </c>
      <c r="N437" s="394"/>
      <c r="O437" s="437" t="s">
        <v>6352</v>
      </c>
      <c r="P437" s="31"/>
    </row>
    <row r="438" spans="1:16" s="17" customFormat="1" ht="33" customHeight="1">
      <c r="A438" s="595"/>
      <c r="B438" s="399">
        <v>46204</v>
      </c>
      <c r="C438" s="4" t="s">
        <v>21</v>
      </c>
      <c r="D438" s="4" t="s">
        <v>14</v>
      </c>
      <c r="E438" s="31" t="s">
        <v>211</v>
      </c>
      <c r="F438" s="31" t="s">
        <v>2916</v>
      </c>
      <c r="G438" s="16" t="s">
        <v>2917</v>
      </c>
      <c r="H438" s="193" t="s">
        <v>6143</v>
      </c>
      <c r="I438" s="68"/>
      <c r="J438" s="68" t="s">
        <v>6336</v>
      </c>
      <c r="K438" s="136" t="s">
        <v>15</v>
      </c>
      <c r="L438" s="277" t="s">
        <v>6301</v>
      </c>
      <c r="M438" s="731">
        <v>2</v>
      </c>
      <c r="N438" s="394"/>
      <c r="O438" s="437" t="s">
        <v>6351</v>
      </c>
      <c r="P438" s="31"/>
    </row>
    <row r="439" spans="1:16" s="17" customFormat="1" ht="33" customHeight="1">
      <c r="A439" s="595"/>
      <c r="B439" s="399">
        <v>46205</v>
      </c>
      <c r="C439" s="4" t="s">
        <v>21</v>
      </c>
      <c r="D439" s="4" t="s">
        <v>14</v>
      </c>
      <c r="E439" s="31" t="s">
        <v>1787</v>
      </c>
      <c r="F439" s="31" t="s">
        <v>2978</v>
      </c>
      <c r="G439" s="16" t="s">
        <v>4108</v>
      </c>
      <c r="H439" s="193" t="s">
        <v>6297</v>
      </c>
      <c r="I439" s="6"/>
      <c r="J439" s="125" t="s">
        <v>3074</v>
      </c>
      <c r="K439" s="125" t="s">
        <v>105</v>
      </c>
      <c r="L439" s="277" t="s">
        <v>4550</v>
      </c>
      <c r="M439" s="417">
        <v>1</v>
      </c>
      <c r="N439" s="394"/>
      <c r="O439" s="437"/>
      <c r="P439" s="31" t="s">
        <v>6293</v>
      </c>
    </row>
    <row r="440" spans="1:16" s="17" customFormat="1" ht="33" customHeight="1">
      <c r="A440" s="595"/>
      <c r="B440" s="399">
        <v>46205</v>
      </c>
      <c r="C440" s="4" t="s">
        <v>21</v>
      </c>
      <c r="D440" s="4" t="s">
        <v>14</v>
      </c>
      <c r="E440" s="31" t="s">
        <v>1787</v>
      </c>
      <c r="F440" s="31" t="s">
        <v>6296</v>
      </c>
      <c r="G440" s="16" t="s">
        <v>553</v>
      </c>
      <c r="H440" s="193" t="s">
        <v>6298</v>
      </c>
      <c r="I440" s="6"/>
      <c r="J440" s="125" t="s">
        <v>3074</v>
      </c>
      <c r="K440" s="125" t="s">
        <v>15</v>
      </c>
      <c r="L440" s="277" t="s">
        <v>6300</v>
      </c>
      <c r="M440" s="417">
        <v>1</v>
      </c>
      <c r="N440" s="394"/>
      <c r="O440" s="437"/>
      <c r="P440" s="31"/>
    </row>
    <row r="441" spans="1:16" s="17" customFormat="1" ht="33" customHeight="1">
      <c r="A441" s="595"/>
      <c r="B441" s="198">
        <v>46205</v>
      </c>
      <c r="C441" s="3" t="s">
        <v>6258</v>
      </c>
      <c r="D441" s="3" t="s">
        <v>6259</v>
      </c>
      <c r="E441" s="454" t="s">
        <v>6260</v>
      </c>
      <c r="F441" s="454" t="s">
        <v>6261</v>
      </c>
      <c r="G441" s="459" t="s">
        <v>6262</v>
      </c>
      <c r="H441" s="453" t="s">
        <v>6302</v>
      </c>
      <c r="I441" s="68" t="s">
        <v>6366</v>
      </c>
      <c r="J441" s="68"/>
      <c r="K441" s="136" t="s">
        <v>15</v>
      </c>
      <c r="L441" s="277">
        <v>9080</v>
      </c>
      <c r="M441" s="731">
        <v>2</v>
      </c>
      <c r="N441" s="394"/>
      <c r="O441" s="437"/>
      <c r="P441" s="31"/>
    </row>
    <row r="442" spans="1:16" s="17" customFormat="1" ht="33" customHeight="1">
      <c r="A442" s="595"/>
      <c r="B442" s="399">
        <v>46205</v>
      </c>
      <c r="C442" s="3" t="s">
        <v>21</v>
      </c>
      <c r="D442" s="3" t="s">
        <v>17</v>
      </c>
      <c r="E442" s="454" t="s">
        <v>107</v>
      </c>
      <c r="F442" s="454" t="s">
        <v>2959</v>
      </c>
      <c r="G442" s="459" t="s">
        <v>109</v>
      </c>
      <c r="H442" s="453" t="s">
        <v>6365</v>
      </c>
      <c r="I442" s="68"/>
      <c r="J442" s="136" t="s">
        <v>641</v>
      </c>
      <c r="K442" s="136" t="s">
        <v>15</v>
      </c>
      <c r="L442" s="730" t="s">
        <v>4550</v>
      </c>
      <c r="M442" s="731">
        <v>2</v>
      </c>
      <c r="N442" s="394"/>
      <c r="O442" s="437"/>
      <c r="P442" s="31"/>
    </row>
    <row r="443" spans="1:16" s="17" customFormat="1" ht="33" customHeight="1">
      <c r="A443" s="595"/>
      <c r="B443" s="399">
        <v>46205</v>
      </c>
      <c r="C443" s="4" t="s">
        <v>21</v>
      </c>
      <c r="D443" s="4" t="s">
        <v>14</v>
      </c>
      <c r="E443" s="31" t="s">
        <v>211</v>
      </c>
      <c r="F443" s="31" t="s">
        <v>2916</v>
      </c>
      <c r="G443" s="16" t="s">
        <v>2917</v>
      </c>
      <c r="H443" s="193" t="s">
        <v>6143</v>
      </c>
      <c r="I443" s="68"/>
      <c r="J443" s="68" t="s">
        <v>6336</v>
      </c>
      <c r="K443" s="136" t="s">
        <v>15</v>
      </c>
      <c r="L443" s="277" t="s">
        <v>6301</v>
      </c>
      <c r="M443" s="731">
        <v>2</v>
      </c>
      <c r="N443" s="394"/>
      <c r="O443" s="437" t="s">
        <v>6351</v>
      </c>
      <c r="P443" s="31"/>
    </row>
    <row r="444" spans="1:16" s="17" customFormat="1" ht="33" customHeight="1">
      <c r="A444" s="595"/>
      <c r="B444" s="399">
        <v>46205</v>
      </c>
      <c r="C444" s="3" t="s">
        <v>21</v>
      </c>
      <c r="D444" s="3" t="s">
        <v>14</v>
      </c>
      <c r="E444" s="454" t="s">
        <v>427</v>
      </c>
      <c r="F444" s="454" t="s">
        <v>3386</v>
      </c>
      <c r="G444" s="459" t="s">
        <v>23</v>
      </c>
      <c r="H444" s="193" t="s">
        <v>6382</v>
      </c>
      <c r="I444" s="6" t="s">
        <v>6380</v>
      </c>
      <c r="J444" s="6" t="s">
        <v>6348</v>
      </c>
      <c r="K444" s="125" t="s">
        <v>15</v>
      </c>
      <c r="L444" s="277" t="s">
        <v>33</v>
      </c>
      <c r="M444" s="417">
        <v>2</v>
      </c>
      <c r="N444" s="394"/>
      <c r="O444" s="437"/>
      <c r="P444" s="31"/>
    </row>
    <row r="445" spans="1:16" s="17" customFormat="1" ht="33" customHeight="1">
      <c r="A445" s="595"/>
      <c r="B445" s="399">
        <v>46205</v>
      </c>
      <c r="C445" s="3" t="s">
        <v>6387</v>
      </c>
      <c r="D445" s="3" t="s">
        <v>14</v>
      </c>
      <c r="E445" s="454" t="s">
        <v>427</v>
      </c>
      <c r="F445" s="454" t="s">
        <v>3386</v>
      </c>
      <c r="G445" s="459" t="s">
        <v>6388</v>
      </c>
      <c r="H445" s="193" t="s">
        <v>6389</v>
      </c>
      <c r="I445" s="6" t="s">
        <v>5978</v>
      </c>
      <c r="J445" s="6"/>
      <c r="K445" s="125" t="s">
        <v>15</v>
      </c>
      <c r="L445" s="277" t="s">
        <v>33</v>
      </c>
      <c r="M445" s="417">
        <v>2</v>
      </c>
      <c r="N445" s="394"/>
      <c r="O445" s="437"/>
      <c r="P445" s="31"/>
    </row>
    <row r="446" spans="1:16" s="17" customFormat="1" ht="33" customHeight="1">
      <c r="A446" s="595"/>
      <c r="B446" s="399">
        <v>46206</v>
      </c>
      <c r="C446" s="3" t="s">
        <v>21</v>
      </c>
      <c r="D446" s="3" t="s">
        <v>14</v>
      </c>
      <c r="E446" s="454" t="s">
        <v>107</v>
      </c>
      <c r="F446" s="454" t="s">
        <v>3420</v>
      </c>
      <c r="G446" s="459" t="s">
        <v>1492</v>
      </c>
      <c r="H446" s="453" t="s">
        <v>6391</v>
      </c>
      <c r="I446" s="68" t="s">
        <v>6366</v>
      </c>
      <c r="J446" s="68"/>
      <c r="K446" s="136" t="s">
        <v>15</v>
      </c>
      <c r="L446" s="277">
        <v>9080</v>
      </c>
      <c r="M446" s="731">
        <v>2</v>
      </c>
      <c r="N446" s="394"/>
      <c r="O446" s="437"/>
      <c r="P446" s="31" t="s">
        <v>6293</v>
      </c>
    </row>
    <row r="447" spans="1:16" s="17" customFormat="1" ht="33" customHeight="1">
      <c r="A447" s="595"/>
      <c r="B447" s="399">
        <v>46206</v>
      </c>
      <c r="C447" s="4" t="s">
        <v>21</v>
      </c>
      <c r="D447" s="4" t="s">
        <v>14</v>
      </c>
      <c r="E447" s="31" t="s">
        <v>211</v>
      </c>
      <c r="F447" s="31" t="s">
        <v>2916</v>
      </c>
      <c r="G447" s="16" t="s">
        <v>2917</v>
      </c>
      <c r="H447" s="193" t="s">
        <v>6143</v>
      </c>
      <c r="I447" s="68"/>
      <c r="J447" s="68" t="s">
        <v>3697</v>
      </c>
      <c r="K447" s="136" t="s">
        <v>15</v>
      </c>
      <c r="L447" s="277" t="s">
        <v>5476</v>
      </c>
      <c r="M447" s="731">
        <v>2</v>
      </c>
      <c r="N447" s="394"/>
      <c r="O447" s="437"/>
      <c r="P447" s="31"/>
    </row>
    <row r="448" spans="1:16" s="17" customFormat="1" ht="33" customHeight="1">
      <c r="A448" s="595"/>
      <c r="B448" s="399">
        <v>46206</v>
      </c>
      <c r="C448" s="4" t="s">
        <v>21</v>
      </c>
      <c r="D448" s="4" t="s">
        <v>6345</v>
      </c>
      <c r="E448" s="31" t="s">
        <v>6370</v>
      </c>
      <c r="F448" s="31" t="s">
        <v>6371</v>
      </c>
      <c r="G448" s="16" t="s">
        <v>6390</v>
      </c>
      <c r="H448" s="193" t="s">
        <v>6285</v>
      </c>
      <c r="I448" s="68"/>
      <c r="J448" s="68" t="s">
        <v>6372</v>
      </c>
      <c r="K448" s="136" t="s">
        <v>6373</v>
      </c>
      <c r="L448" s="277" t="s">
        <v>6374</v>
      </c>
      <c r="M448" s="731">
        <v>1</v>
      </c>
      <c r="N448" s="394"/>
      <c r="O448" s="437"/>
      <c r="P448" s="31"/>
    </row>
    <row r="449" spans="1:17" s="17" customFormat="1" ht="33" customHeight="1">
      <c r="A449" s="596"/>
      <c r="B449" s="369">
        <v>46207</v>
      </c>
      <c r="C449" s="3" t="s">
        <v>6387</v>
      </c>
      <c r="D449" s="3" t="s">
        <v>14</v>
      </c>
      <c r="E449" s="454" t="s">
        <v>427</v>
      </c>
      <c r="F449" s="454" t="s">
        <v>3386</v>
      </c>
      <c r="G449" s="459" t="s">
        <v>6388</v>
      </c>
      <c r="H449" s="193" t="s">
        <v>6392</v>
      </c>
      <c r="I449" s="193" t="s">
        <v>6393</v>
      </c>
      <c r="J449" s="31" t="s">
        <v>6394</v>
      </c>
      <c r="K449" s="125" t="s">
        <v>6395</v>
      </c>
      <c r="L449" s="16" t="s">
        <v>6396</v>
      </c>
      <c r="M449" s="8">
        <v>4</v>
      </c>
      <c r="N449" s="31"/>
      <c r="O449" s="432"/>
      <c r="P449" s="31"/>
    </row>
    <row r="450" spans="1:17" s="17" customFormat="1" ht="33" customHeight="1">
      <c r="A450" s="322" t="s">
        <v>0</v>
      </c>
      <c r="B450" s="323" t="s">
        <v>1</v>
      </c>
      <c r="C450" s="322" t="s">
        <v>2</v>
      </c>
      <c r="D450" s="322" t="s">
        <v>3</v>
      </c>
      <c r="E450" s="322" t="s">
        <v>4</v>
      </c>
      <c r="F450" s="322" t="s">
        <v>5</v>
      </c>
      <c r="G450" s="322" t="s">
        <v>6</v>
      </c>
      <c r="H450" s="324" t="s">
        <v>7</v>
      </c>
      <c r="I450" s="322" t="s">
        <v>8</v>
      </c>
      <c r="J450" s="322" t="s">
        <v>9</v>
      </c>
      <c r="K450" s="325" t="s">
        <v>10</v>
      </c>
      <c r="L450" s="326" t="s">
        <v>11</v>
      </c>
      <c r="M450" s="322" t="s">
        <v>12</v>
      </c>
      <c r="N450" s="327" t="s">
        <v>13</v>
      </c>
      <c r="O450" s="427" t="s">
        <v>63</v>
      </c>
      <c r="P450" s="322" t="s">
        <v>123</v>
      </c>
    </row>
    <row r="451" spans="1:17" s="17" customFormat="1" ht="33" customHeight="1">
      <c r="A451" s="594" t="s">
        <v>5628</v>
      </c>
      <c r="B451" s="399">
        <v>46209</v>
      </c>
      <c r="C451" s="3" t="s">
        <v>6421</v>
      </c>
      <c r="D451" s="3" t="s">
        <v>14</v>
      </c>
      <c r="E451" s="454" t="s">
        <v>427</v>
      </c>
      <c r="F451" s="454" t="s">
        <v>3386</v>
      </c>
      <c r="G451" s="459" t="s">
        <v>6388</v>
      </c>
      <c r="H451" s="193" t="s">
        <v>6432</v>
      </c>
      <c r="I451" s="31" t="s">
        <v>6407</v>
      </c>
      <c r="J451" s="31"/>
      <c r="K451" s="125"/>
      <c r="L451" s="16">
        <v>9080</v>
      </c>
      <c r="M451" s="18">
        <v>2</v>
      </c>
      <c r="N451" s="31"/>
      <c r="O451" s="431"/>
      <c r="P451" s="31" t="s">
        <v>6293</v>
      </c>
    </row>
    <row r="452" spans="1:17" s="17" customFormat="1" ht="33" customHeight="1">
      <c r="A452" s="595"/>
      <c r="B452" s="399">
        <v>46209</v>
      </c>
      <c r="C452" s="3" t="s">
        <v>21</v>
      </c>
      <c r="D452" s="3" t="s">
        <v>14</v>
      </c>
      <c r="E452" s="454" t="s">
        <v>1893</v>
      </c>
      <c r="F452" s="454" t="s">
        <v>4939</v>
      </c>
      <c r="G452" s="459" t="s">
        <v>482</v>
      </c>
      <c r="H452" s="193" t="s">
        <v>6397</v>
      </c>
      <c r="I452" s="31" t="s">
        <v>6398</v>
      </c>
      <c r="J452" s="31" t="s">
        <v>6399</v>
      </c>
      <c r="K452" s="125" t="s">
        <v>6373</v>
      </c>
      <c r="L452" s="16" t="s">
        <v>6357</v>
      </c>
      <c r="M452" s="8">
        <v>2</v>
      </c>
      <c r="N452" s="31"/>
      <c r="O452" s="431"/>
      <c r="P452" s="31"/>
    </row>
    <row r="453" spans="1:17" s="17" customFormat="1" ht="33" customHeight="1">
      <c r="A453" s="595"/>
      <c r="B453" s="399">
        <v>46210</v>
      </c>
      <c r="C453" s="3" t="s">
        <v>21</v>
      </c>
      <c r="D453" s="3" t="s">
        <v>14</v>
      </c>
      <c r="E453" s="454" t="s">
        <v>107</v>
      </c>
      <c r="F453" s="454" t="s">
        <v>2959</v>
      </c>
      <c r="G453" s="459" t="s">
        <v>6411</v>
      </c>
      <c r="H453" s="453" t="s">
        <v>6412</v>
      </c>
      <c r="I453" s="68"/>
      <c r="J453" s="136" t="s">
        <v>6413</v>
      </c>
      <c r="K453" s="136" t="s">
        <v>6408</v>
      </c>
      <c r="L453" s="277" t="s">
        <v>5476</v>
      </c>
      <c r="M453" s="731">
        <v>2</v>
      </c>
      <c r="N453" s="31"/>
      <c r="O453" s="431"/>
      <c r="P453" s="31" t="s">
        <v>6293</v>
      </c>
    </row>
    <row r="454" spans="1:17" s="17" customFormat="1" ht="33" customHeight="1">
      <c r="A454" s="595"/>
      <c r="B454" s="399">
        <v>46210</v>
      </c>
      <c r="C454" s="3" t="s">
        <v>21</v>
      </c>
      <c r="D454" s="3" t="s">
        <v>14</v>
      </c>
      <c r="E454" s="454" t="s">
        <v>1893</v>
      </c>
      <c r="F454" s="454" t="s">
        <v>4939</v>
      </c>
      <c r="G454" s="459" t="s">
        <v>482</v>
      </c>
      <c r="H454" s="193" t="s">
        <v>6397</v>
      </c>
      <c r="I454" s="193" t="s">
        <v>6490</v>
      </c>
      <c r="J454" s="31"/>
      <c r="K454" s="125" t="s">
        <v>6373</v>
      </c>
      <c r="L454" s="16" t="s">
        <v>6357</v>
      </c>
      <c r="M454" s="8">
        <v>3</v>
      </c>
      <c r="N454" s="31"/>
      <c r="O454" s="431"/>
      <c r="P454" s="31"/>
    </row>
    <row r="455" spans="1:17" s="17" customFormat="1" ht="33" customHeight="1">
      <c r="A455" s="595"/>
      <c r="B455" s="399">
        <v>46211</v>
      </c>
      <c r="C455" s="3" t="s">
        <v>21</v>
      </c>
      <c r="D455" s="3" t="s">
        <v>14</v>
      </c>
      <c r="E455" s="454" t="s">
        <v>107</v>
      </c>
      <c r="F455" s="454" t="s">
        <v>2959</v>
      </c>
      <c r="G455" s="459" t="s">
        <v>1172</v>
      </c>
      <c r="H455" s="453" t="s">
        <v>6219</v>
      </c>
      <c r="I455" s="68" t="s">
        <v>6347</v>
      </c>
      <c r="J455" s="136" t="s">
        <v>6468</v>
      </c>
      <c r="K455" s="136" t="s">
        <v>6408</v>
      </c>
      <c r="L455" s="277" t="s">
        <v>6409</v>
      </c>
      <c r="M455" s="731">
        <v>2</v>
      </c>
      <c r="N455" s="422"/>
      <c r="O455" s="430"/>
      <c r="P455" s="31"/>
    </row>
    <row r="456" spans="1:17" s="17" customFormat="1" ht="33" customHeight="1">
      <c r="A456" s="595"/>
      <c r="B456" s="399">
        <v>46211</v>
      </c>
      <c r="C456" s="3" t="s">
        <v>21</v>
      </c>
      <c r="D456" s="3" t="s">
        <v>14</v>
      </c>
      <c r="E456" s="454" t="s">
        <v>107</v>
      </c>
      <c r="F456" s="454" t="s">
        <v>2959</v>
      </c>
      <c r="G456" s="459" t="s">
        <v>6411</v>
      </c>
      <c r="H456" s="453" t="s">
        <v>6412</v>
      </c>
      <c r="I456" s="68"/>
      <c r="J456" s="136" t="s">
        <v>6413</v>
      </c>
      <c r="K456" s="136" t="s">
        <v>6408</v>
      </c>
      <c r="L456" s="277" t="s">
        <v>5476</v>
      </c>
      <c r="M456" s="731">
        <v>2</v>
      </c>
      <c r="N456" s="422"/>
      <c r="O456" s="430"/>
      <c r="P456" s="31"/>
    </row>
    <row r="457" spans="1:17" s="17" customFormat="1" ht="33" customHeight="1">
      <c r="A457" s="595"/>
      <c r="B457" s="399">
        <v>46211</v>
      </c>
      <c r="C457" s="3" t="s">
        <v>21</v>
      </c>
      <c r="D457" s="3" t="s">
        <v>14</v>
      </c>
      <c r="E457" s="454" t="s">
        <v>107</v>
      </c>
      <c r="F457" s="454" t="s">
        <v>2959</v>
      </c>
      <c r="G457" s="459" t="s">
        <v>67</v>
      </c>
      <c r="H457" s="453" t="s">
        <v>6221</v>
      </c>
      <c r="I457" s="68" t="s">
        <v>6347</v>
      </c>
      <c r="J457" s="136" t="s">
        <v>6410</v>
      </c>
      <c r="K457" s="136" t="s">
        <v>15</v>
      </c>
      <c r="L457" s="459">
        <v>9080</v>
      </c>
      <c r="M457" s="455">
        <v>2</v>
      </c>
      <c r="N457" s="422"/>
      <c r="O457" s="430"/>
      <c r="P457" s="31"/>
    </row>
    <row r="458" spans="1:17" s="17" customFormat="1" ht="33" customHeight="1">
      <c r="A458" s="595"/>
      <c r="B458" s="399">
        <v>46211</v>
      </c>
      <c r="C458" s="3" t="s">
        <v>6306</v>
      </c>
      <c r="D458" s="3" t="s">
        <v>6307</v>
      </c>
      <c r="E458" s="454" t="s">
        <v>6308</v>
      </c>
      <c r="F458" s="454" t="s">
        <v>6309</v>
      </c>
      <c r="G458" s="459" t="s">
        <v>6310</v>
      </c>
      <c r="H458" s="453" t="s">
        <v>6311</v>
      </c>
      <c r="I458" s="454" t="s">
        <v>6469</v>
      </c>
      <c r="J458" s="453" t="s">
        <v>3803</v>
      </c>
      <c r="K458" s="136" t="s">
        <v>6313</v>
      </c>
      <c r="L458" s="459">
        <v>9080</v>
      </c>
      <c r="M458" s="455">
        <v>2</v>
      </c>
      <c r="N458" s="422"/>
      <c r="O458" s="430"/>
      <c r="P458" s="31"/>
    </row>
    <row r="459" spans="1:17" s="17" customFormat="1" ht="33" customHeight="1">
      <c r="A459" s="595"/>
      <c r="B459" s="399">
        <v>46211</v>
      </c>
      <c r="C459" s="3" t="s">
        <v>21</v>
      </c>
      <c r="D459" s="3" t="s">
        <v>14</v>
      </c>
      <c r="E459" s="454" t="s">
        <v>6458</v>
      </c>
      <c r="F459" s="454" t="s">
        <v>6459</v>
      </c>
      <c r="G459" s="459" t="s">
        <v>6489</v>
      </c>
      <c r="H459" s="453" t="s">
        <v>4617</v>
      </c>
      <c r="I459" s="454"/>
      <c r="J459" s="453" t="s">
        <v>6460</v>
      </c>
      <c r="K459" s="136" t="s">
        <v>6373</v>
      </c>
      <c r="L459" s="459" t="s">
        <v>6461</v>
      </c>
      <c r="M459" s="455">
        <v>1</v>
      </c>
      <c r="N459" s="422"/>
      <c r="O459" s="430"/>
      <c r="P459" s="31"/>
    </row>
    <row r="460" spans="1:17" s="17" customFormat="1" ht="33" customHeight="1">
      <c r="A460" s="595"/>
      <c r="B460" s="399">
        <v>46212</v>
      </c>
      <c r="C460" s="3" t="s">
        <v>21</v>
      </c>
      <c r="D460" s="3" t="s">
        <v>14</v>
      </c>
      <c r="E460" s="454" t="s">
        <v>6458</v>
      </c>
      <c r="F460" s="454" t="s">
        <v>6459</v>
      </c>
      <c r="G460" s="459" t="s">
        <v>6489</v>
      </c>
      <c r="H460" s="453" t="s">
        <v>6285</v>
      </c>
      <c r="I460" s="454"/>
      <c r="J460" s="453" t="s">
        <v>814</v>
      </c>
      <c r="K460" s="136" t="s">
        <v>6373</v>
      </c>
      <c r="L460" s="459" t="s">
        <v>6461</v>
      </c>
      <c r="M460" s="455">
        <v>1</v>
      </c>
      <c r="N460" s="422"/>
      <c r="O460" s="430"/>
      <c r="P460" s="31"/>
      <c r="Q460" s="474"/>
    </row>
    <row r="461" spans="1:17" s="17" customFormat="1" ht="33" customHeight="1">
      <c r="A461" s="595"/>
      <c r="B461" s="399">
        <v>46212</v>
      </c>
      <c r="C461" s="3" t="s">
        <v>21</v>
      </c>
      <c r="D461" s="3" t="s">
        <v>14</v>
      </c>
      <c r="E461" s="454" t="s">
        <v>6480</v>
      </c>
      <c r="F461" s="454" t="s">
        <v>6415</v>
      </c>
      <c r="G461" s="459" t="s">
        <v>6416</v>
      </c>
      <c r="H461" s="453" t="s">
        <v>6491</v>
      </c>
      <c r="I461" s="454"/>
      <c r="J461" s="453" t="s">
        <v>6477</v>
      </c>
      <c r="K461" s="136" t="s">
        <v>6373</v>
      </c>
      <c r="L461" s="459" t="s">
        <v>5476</v>
      </c>
      <c r="M461" s="455">
        <v>3</v>
      </c>
      <c r="N461" s="422"/>
      <c r="O461" s="430"/>
      <c r="P461" s="31" t="s">
        <v>6293</v>
      </c>
    </row>
    <row r="462" spans="1:17" s="17" customFormat="1" ht="33" customHeight="1">
      <c r="A462" s="595"/>
      <c r="B462" s="399">
        <v>46212</v>
      </c>
      <c r="C462" s="3" t="s">
        <v>21</v>
      </c>
      <c r="D462" s="3" t="s">
        <v>14</v>
      </c>
      <c r="E462" s="454" t="s">
        <v>107</v>
      </c>
      <c r="F462" s="454" t="s">
        <v>2959</v>
      </c>
      <c r="G462" s="459" t="s">
        <v>1172</v>
      </c>
      <c r="H462" s="453" t="s">
        <v>6492</v>
      </c>
      <c r="I462" s="68" t="s">
        <v>6407</v>
      </c>
      <c r="J462" s="136" t="s">
        <v>6410</v>
      </c>
      <c r="K462" s="136" t="s">
        <v>6408</v>
      </c>
      <c r="L462" s="277">
        <v>9080</v>
      </c>
      <c r="M462" s="731">
        <v>2</v>
      </c>
      <c r="N462" s="422"/>
      <c r="O462" s="430"/>
      <c r="P462" s="31"/>
    </row>
    <row r="463" spans="1:17" s="17" customFormat="1" ht="33" customHeight="1">
      <c r="A463" s="595"/>
      <c r="B463" s="399">
        <v>46212</v>
      </c>
      <c r="C463" s="3" t="s">
        <v>21</v>
      </c>
      <c r="D463" s="3" t="s">
        <v>14</v>
      </c>
      <c r="E463" s="454" t="s">
        <v>107</v>
      </c>
      <c r="F463" s="454" t="s">
        <v>2959</v>
      </c>
      <c r="G463" s="459" t="s">
        <v>6479</v>
      </c>
      <c r="H463" s="453" t="s">
        <v>6503</v>
      </c>
      <c r="I463" s="68" t="s">
        <v>6407</v>
      </c>
      <c r="J463" s="136" t="s">
        <v>6410</v>
      </c>
      <c r="K463" s="136" t="s">
        <v>15</v>
      </c>
      <c r="L463" s="459">
        <v>9080</v>
      </c>
      <c r="M463" s="455">
        <v>2</v>
      </c>
      <c r="N463" s="422"/>
      <c r="O463" s="430"/>
      <c r="P463" s="31"/>
    </row>
    <row r="464" spans="1:17" s="17" customFormat="1" ht="33" customHeight="1">
      <c r="A464" s="595"/>
      <c r="B464" s="399">
        <v>46212</v>
      </c>
      <c r="C464" s="3" t="s">
        <v>21</v>
      </c>
      <c r="D464" s="3" t="s">
        <v>6345</v>
      </c>
      <c r="E464" s="454" t="s">
        <v>6466</v>
      </c>
      <c r="F464" s="454" t="s">
        <v>6470</v>
      </c>
      <c r="G464" s="459" t="s">
        <v>6471</v>
      </c>
      <c r="H464" s="193" t="s">
        <v>6472</v>
      </c>
      <c r="I464" s="454" t="s">
        <v>6509</v>
      </c>
      <c r="J464" s="453" t="s">
        <v>6478</v>
      </c>
      <c r="K464" s="136" t="s">
        <v>6349</v>
      </c>
      <c r="L464" s="459" t="s">
        <v>6357</v>
      </c>
      <c r="M464" s="455">
        <v>3</v>
      </c>
      <c r="N464" s="422"/>
      <c r="O464" s="431"/>
      <c r="P464" s="31"/>
    </row>
    <row r="465" spans="1:17" s="17" customFormat="1" ht="33" customHeight="1">
      <c r="A465" s="595"/>
      <c r="B465" s="399">
        <v>46213</v>
      </c>
      <c r="C465" s="3" t="s">
        <v>21</v>
      </c>
      <c r="D465" s="3" t="s">
        <v>14</v>
      </c>
      <c r="E465" s="454" t="s">
        <v>6480</v>
      </c>
      <c r="F465" s="454" t="s">
        <v>6415</v>
      </c>
      <c r="G465" s="459" t="s">
        <v>6416</v>
      </c>
      <c r="H465" s="453" t="s">
        <v>6417</v>
      </c>
      <c r="I465" s="454"/>
      <c r="J465" s="453" t="s">
        <v>6477</v>
      </c>
      <c r="K465" s="136" t="s">
        <v>6373</v>
      </c>
      <c r="L465" s="459" t="s">
        <v>5476</v>
      </c>
      <c r="M465" s="455">
        <v>3</v>
      </c>
      <c r="N465" s="422"/>
      <c r="O465" s="431"/>
      <c r="P465" s="31"/>
    </row>
    <row r="466" spans="1:17" s="17" customFormat="1" ht="33" customHeight="1">
      <c r="A466" s="595"/>
      <c r="B466" s="399">
        <v>46213</v>
      </c>
      <c r="C466" s="3" t="s">
        <v>21</v>
      </c>
      <c r="D466" s="3" t="s">
        <v>6345</v>
      </c>
      <c r="E466" s="454" t="s">
        <v>6466</v>
      </c>
      <c r="F466" s="454" t="s">
        <v>6470</v>
      </c>
      <c r="G466" s="459" t="s">
        <v>6346</v>
      </c>
      <c r="H466" s="193" t="s">
        <v>6511</v>
      </c>
      <c r="I466" s="454" t="s">
        <v>6510</v>
      </c>
      <c r="J466" s="453" t="s">
        <v>6512</v>
      </c>
      <c r="K466" s="136" t="s">
        <v>6349</v>
      </c>
      <c r="L466" s="459" t="s">
        <v>6357</v>
      </c>
      <c r="M466" s="455">
        <v>3</v>
      </c>
      <c r="N466" s="422"/>
      <c r="O466" s="431"/>
      <c r="P466" s="31"/>
    </row>
    <row r="467" spans="1:17" s="17" customFormat="1" ht="33" customHeight="1">
      <c r="A467" s="595"/>
      <c r="B467" s="399">
        <v>46213</v>
      </c>
      <c r="C467" s="3" t="s">
        <v>6400</v>
      </c>
      <c r="D467" s="3" t="s">
        <v>6401</v>
      </c>
      <c r="E467" s="454" t="s">
        <v>6402</v>
      </c>
      <c r="F467" s="454">
        <v>7064</v>
      </c>
      <c r="G467" s="459" t="s">
        <v>6403</v>
      </c>
      <c r="H467" s="453" t="s">
        <v>6414</v>
      </c>
      <c r="I467" s="454" t="s">
        <v>6404</v>
      </c>
      <c r="J467" s="453" t="s">
        <v>6405</v>
      </c>
      <c r="K467" s="136" t="s">
        <v>6373</v>
      </c>
      <c r="L467" s="459" t="s">
        <v>6406</v>
      </c>
      <c r="M467" s="455">
        <v>4</v>
      </c>
      <c r="N467" s="422"/>
      <c r="O467" s="430"/>
      <c r="P467" s="31" t="s">
        <v>6293</v>
      </c>
    </row>
    <row r="468" spans="1:17" s="17" customFormat="1" ht="33" customHeight="1">
      <c r="A468" s="595"/>
      <c r="B468" s="399">
        <v>46213</v>
      </c>
      <c r="C468" s="4" t="s">
        <v>6462</v>
      </c>
      <c r="D468" s="4" t="s">
        <v>6358</v>
      </c>
      <c r="E468" s="31" t="s">
        <v>6493</v>
      </c>
      <c r="F468" s="31" t="s">
        <v>6463</v>
      </c>
      <c r="G468" s="16" t="s">
        <v>6464</v>
      </c>
      <c r="H468" s="193" t="s">
        <v>6519</v>
      </c>
      <c r="I468" s="31" t="s">
        <v>6494</v>
      </c>
      <c r="J468" s="31" t="s">
        <v>6483</v>
      </c>
      <c r="K468" s="125" t="s">
        <v>6465</v>
      </c>
      <c r="L468" s="16">
        <v>9080</v>
      </c>
      <c r="M468" s="8">
        <v>2</v>
      </c>
      <c r="N468" s="422"/>
      <c r="O468" s="430"/>
      <c r="P468" s="31"/>
    </row>
    <row r="469" spans="1:17" s="17" customFormat="1" ht="33" customHeight="1">
      <c r="A469" s="596"/>
      <c r="B469" s="369">
        <v>46214</v>
      </c>
      <c r="C469" s="3" t="s">
        <v>21</v>
      </c>
      <c r="D469" s="3" t="s">
        <v>6345</v>
      </c>
      <c r="E469" s="454" t="s">
        <v>6466</v>
      </c>
      <c r="F469" s="454" t="s">
        <v>6470</v>
      </c>
      <c r="G469" s="459" t="s">
        <v>6346</v>
      </c>
      <c r="H469" s="193" t="s">
        <v>6511</v>
      </c>
      <c r="I469" s="454" t="s">
        <v>6520</v>
      </c>
      <c r="J469" s="453" t="s">
        <v>6348</v>
      </c>
      <c r="K469" s="136" t="s">
        <v>6349</v>
      </c>
      <c r="L469" s="459" t="s">
        <v>6357</v>
      </c>
      <c r="M469" s="455">
        <v>3</v>
      </c>
      <c r="N469" s="31"/>
      <c r="O469" s="432"/>
      <c r="P469" s="31"/>
    </row>
    <row r="470" spans="1:17" s="17" customFormat="1" ht="33" customHeight="1">
      <c r="A470" s="322" t="s">
        <v>0</v>
      </c>
      <c r="B470" s="323" t="s">
        <v>1</v>
      </c>
      <c r="C470" s="322" t="s">
        <v>2</v>
      </c>
      <c r="D470" s="322" t="s">
        <v>3</v>
      </c>
      <c r="E470" s="322" t="s">
        <v>4</v>
      </c>
      <c r="F470" s="322" t="s">
        <v>5</v>
      </c>
      <c r="G470" s="322" t="s">
        <v>6</v>
      </c>
      <c r="H470" s="324" t="s">
        <v>7</v>
      </c>
      <c r="I470" s="322" t="s">
        <v>8</v>
      </c>
      <c r="J470" s="322" t="s">
        <v>9</v>
      </c>
      <c r="K470" s="325" t="s">
        <v>10</v>
      </c>
      <c r="L470" s="326" t="s">
        <v>11</v>
      </c>
      <c r="M470" s="322" t="s">
        <v>12</v>
      </c>
      <c r="N470" s="327" t="s">
        <v>13</v>
      </c>
      <c r="O470" s="427" t="s">
        <v>63</v>
      </c>
      <c r="P470" s="322" t="s">
        <v>123</v>
      </c>
    </row>
    <row r="471" spans="1:17" s="17" customFormat="1" ht="33" customHeight="1">
      <c r="A471" s="594" t="s">
        <v>5629</v>
      </c>
      <c r="B471" s="399">
        <v>46216</v>
      </c>
      <c r="C471" s="4" t="s">
        <v>21</v>
      </c>
      <c r="D471" s="4" t="s">
        <v>17</v>
      </c>
      <c r="E471" s="31" t="s">
        <v>986</v>
      </c>
      <c r="F471" s="31" t="s">
        <v>986</v>
      </c>
      <c r="G471" s="16" t="s">
        <v>987</v>
      </c>
      <c r="H471" s="193" t="s">
        <v>6513</v>
      </c>
      <c r="I471" s="31" t="s">
        <v>6366</v>
      </c>
      <c r="J471" s="31"/>
      <c r="K471" s="125" t="s">
        <v>42</v>
      </c>
      <c r="L471" s="16">
        <v>9080</v>
      </c>
      <c r="M471" s="8">
        <v>2</v>
      </c>
      <c r="N471" s="31"/>
      <c r="O471" s="431" t="s">
        <v>6514</v>
      </c>
      <c r="P471" s="31" t="s">
        <v>6293</v>
      </c>
      <c r="Q471" s="17" t="s">
        <v>6379</v>
      </c>
    </row>
    <row r="472" spans="1:17" s="17" customFormat="1" ht="33" customHeight="1">
      <c r="A472" s="595"/>
      <c r="B472" s="399">
        <v>46217</v>
      </c>
      <c r="C472" s="3" t="s">
        <v>21</v>
      </c>
      <c r="D472" s="3" t="s">
        <v>14</v>
      </c>
      <c r="E472" s="454" t="s">
        <v>1787</v>
      </c>
      <c r="F472" s="454" t="s">
        <v>6485</v>
      </c>
      <c r="G472" s="459" t="s">
        <v>6484</v>
      </c>
      <c r="H472" s="193" t="s">
        <v>6486</v>
      </c>
      <c r="I472" s="31" t="s">
        <v>6488</v>
      </c>
      <c r="J472" s="31" t="s">
        <v>6507</v>
      </c>
      <c r="K472" s="125" t="s">
        <v>6482</v>
      </c>
      <c r="L472" s="16">
        <v>9080</v>
      </c>
      <c r="M472" s="8">
        <v>2</v>
      </c>
      <c r="N472" s="31"/>
      <c r="O472" s="431" t="s">
        <v>6515</v>
      </c>
      <c r="P472" s="31"/>
    </row>
    <row r="473" spans="1:17" s="17" customFormat="1" ht="33" customHeight="1">
      <c r="A473" s="595"/>
      <c r="B473" s="399">
        <v>46217</v>
      </c>
      <c r="C473" s="3" t="s">
        <v>21</v>
      </c>
      <c r="D473" s="3" t="s">
        <v>14</v>
      </c>
      <c r="E473" s="454" t="s">
        <v>6418</v>
      </c>
      <c r="F473" s="454" t="s">
        <v>6415</v>
      </c>
      <c r="G473" s="459" t="s">
        <v>6416</v>
      </c>
      <c r="H473" s="193" t="s">
        <v>6534</v>
      </c>
      <c r="I473" s="31" t="s">
        <v>6488</v>
      </c>
      <c r="J473" s="31" t="s">
        <v>6507</v>
      </c>
      <c r="K473" s="125" t="s">
        <v>911</v>
      </c>
      <c r="L473" s="16">
        <v>9080</v>
      </c>
      <c r="M473" s="8">
        <v>2</v>
      </c>
      <c r="N473" s="31"/>
      <c r="O473" s="431" t="s">
        <v>6516</v>
      </c>
      <c r="P473" s="31"/>
    </row>
    <row r="474" spans="1:17" s="17" customFormat="1" ht="33" customHeight="1">
      <c r="A474" s="595"/>
      <c r="B474" s="399">
        <v>46217</v>
      </c>
      <c r="C474" s="3" t="s">
        <v>21</v>
      </c>
      <c r="D474" s="3" t="s">
        <v>14</v>
      </c>
      <c r="E474" s="454" t="s">
        <v>6418</v>
      </c>
      <c r="F474" s="454" t="s">
        <v>6415</v>
      </c>
      <c r="G474" s="459" t="s">
        <v>6419</v>
      </c>
      <c r="H474" s="193" t="s">
        <v>6487</v>
      </c>
      <c r="I474" s="31" t="s">
        <v>6488</v>
      </c>
      <c r="J474" s="31" t="s">
        <v>6507</v>
      </c>
      <c r="K474" s="125" t="s">
        <v>6482</v>
      </c>
      <c r="L474" s="16">
        <v>9080</v>
      </c>
      <c r="M474" s="8">
        <v>2</v>
      </c>
      <c r="N474" s="31"/>
      <c r="O474" s="431" t="s">
        <v>4602</v>
      </c>
      <c r="P474" s="31"/>
    </row>
    <row r="475" spans="1:17" s="17" customFormat="1" ht="33" customHeight="1">
      <c r="A475" s="595"/>
      <c r="B475" s="399">
        <v>46217</v>
      </c>
      <c r="C475" s="4" t="s">
        <v>21</v>
      </c>
      <c r="D475" s="4" t="s">
        <v>14</v>
      </c>
      <c r="E475" s="454" t="s">
        <v>107</v>
      </c>
      <c r="F475" s="454" t="s">
        <v>3386</v>
      </c>
      <c r="G475" s="459" t="s">
        <v>943</v>
      </c>
      <c r="H475" s="453" t="s">
        <v>6543</v>
      </c>
      <c r="I475" s="31" t="s">
        <v>6544</v>
      </c>
      <c r="J475" s="31" t="s">
        <v>6536</v>
      </c>
      <c r="K475" s="125" t="s">
        <v>15</v>
      </c>
      <c r="L475" s="16" t="s">
        <v>6533</v>
      </c>
      <c r="M475" s="8">
        <v>2</v>
      </c>
      <c r="N475" s="31"/>
      <c r="O475" s="431" t="s">
        <v>5515</v>
      </c>
      <c r="P475" s="31"/>
      <c r="Q475" s="474"/>
    </row>
    <row r="476" spans="1:17" s="17" customFormat="1" ht="33" customHeight="1">
      <c r="A476" s="595"/>
      <c r="B476" s="399">
        <v>46217</v>
      </c>
      <c r="C476" s="3" t="s">
        <v>21</v>
      </c>
      <c r="D476" s="3" t="s">
        <v>17</v>
      </c>
      <c r="E476" s="454" t="s">
        <v>78</v>
      </c>
      <c r="F476" s="454" t="s">
        <v>1645</v>
      </c>
      <c r="G476" s="459" t="s">
        <v>23</v>
      </c>
      <c r="H476" s="453" t="s">
        <v>6311</v>
      </c>
      <c r="I476" s="454" t="s">
        <v>6312</v>
      </c>
      <c r="J476" s="453" t="s">
        <v>999</v>
      </c>
      <c r="K476" s="136" t="s">
        <v>15</v>
      </c>
      <c r="L476" s="459" t="s">
        <v>6533</v>
      </c>
      <c r="M476" s="455">
        <v>2</v>
      </c>
      <c r="N476" s="454"/>
      <c r="O476" s="457" t="s">
        <v>5834</v>
      </c>
      <c r="P476" s="31"/>
      <c r="Q476" s="474"/>
    </row>
    <row r="477" spans="1:17" s="17" customFormat="1" ht="33" customHeight="1">
      <c r="A477" s="595"/>
      <c r="B477" s="399">
        <v>46218</v>
      </c>
      <c r="C477" s="4" t="s">
        <v>21</v>
      </c>
      <c r="D477" s="4" t="s">
        <v>14</v>
      </c>
      <c r="E477" s="454" t="s">
        <v>6504</v>
      </c>
      <c r="F477" s="454" t="s">
        <v>3386</v>
      </c>
      <c r="G477" s="459" t="s">
        <v>964</v>
      </c>
      <c r="H477" s="453" t="s">
        <v>6508</v>
      </c>
      <c r="I477" s="454" t="s">
        <v>6505</v>
      </c>
      <c r="J477" s="31" t="s">
        <v>6536</v>
      </c>
      <c r="K477" s="125" t="s">
        <v>911</v>
      </c>
      <c r="L477" s="459" t="s">
        <v>6506</v>
      </c>
      <c r="M477" s="455">
        <v>2</v>
      </c>
      <c r="N477" s="422"/>
      <c r="O477" s="437" t="s">
        <v>5515</v>
      </c>
      <c r="P477" s="31"/>
      <c r="Q477" s="474"/>
    </row>
    <row r="478" spans="1:17" s="17" customFormat="1" ht="33" customHeight="1">
      <c r="A478" s="595"/>
      <c r="B478" s="399">
        <v>46218</v>
      </c>
      <c r="C478" s="4" t="s">
        <v>1255</v>
      </c>
      <c r="D478" s="4" t="s">
        <v>6345</v>
      </c>
      <c r="E478" s="31" t="s">
        <v>6466</v>
      </c>
      <c r="F478" s="31" t="s">
        <v>6467</v>
      </c>
      <c r="G478" s="16" t="s">
        <v>6481</v>
      </c>
      <c r="H478" s="193" t="s">
        <v>6549</v>
      </c>
      <c r="I478" s="31" t="s">
        <v>6547</v>
      </c>
      <c r="J478" s="31" t="s">
        <v>6548</v>
      </c>
      <c r="K478" s="125" t="s">
        <v>911</v>
      </c>
      <c r="L478" s="16" t="s">
        <v>6502</v>
      </c>
      <c r="M478" s="8">
        <v>3</v>
      </c>
      <c r="N478" s="422"/>
      <c r="O478" s="437" t="s">
        <v>6559</v>
      </c>
      <c r="P478" s="31"/>
      <c r="Q478" s="474"/>
    </row>
    <row r="479" spans="1:17" s="17" customFormat="1" ht="33" customHeight="1">
      <c r="A479" s="595"/>
      <c r="B479" s="399">
        <v>46219</v>
      </c>
      <c r="C479" s="4" t="s">
        <v>1255</v>
      </c>
      <c r="D479" s="4" t="s">
        <v>14</v>
      </c>
      <c r="E479" s="31" t="s">
        <v>107</v>
      </c>
      <c r="F479" s="31" t="s">
        <v>2959</v>
      </c>
      <c r="G479" s="16" t="s">
        <v>3421</v>
      </c>
      <c r="H479" s="193" t="s">
        <v>6546</v>
      </c>
      <c r="I479" s="31" t="s">
        <v>6547</v>
      </c>
      <c r="J479" s="31" t="s">
        <v>6548</v>
      </c>
      <c r="K479" s="125" t="s">
        <v>911</v>
      </c>
      <c r="L479" s="16" t="s">
        <v>33</v>
      </c>
      <c r="M479" s="8">
        <v>3</v>
      </c>
      <c r="N479" s="422"/>
      <c r="O479" s="437" t="s">
        <v>4393</v>
      </c>
      <c r="P479" s="31"/>
      <c r="Q479" s="474"/>
    </row>
    <row r="480" spans="1:17" s="17" customFormat="1" ht="33" customHeight="1">
      <c r="A480" s="595"/>
      <c r="B480" s="399">
        <v>46219</v>
      </c>
      <c r="C480" s="4" t="s">
        <v>1255</v>
      </c>
      <c r="D480" s="4" t="s">
        <v>14</v>
      </c>
      <c r="E480" s="31" t="s">
        <v>107</v>
      </c>
      <c r="F480" s="31" t="s">
        <v>2959</v>
      </c>
      <c r="G480" s="16" t="s">
        <v>1172</v>
      </c>
      <c r="H480" s="193" t="s">
        <v>6562</v>
      </c>
      <c r="I480" s="31" t="s">
        <v>6547</v>
      </c>
      <c r="J480" s="31" t="s">
        <v>6548</v>
      </c>
      <c r="K480" s="125" t="s">
        <v>911</v>
      </c>
      <c r="L480" s="16" t="s">
        <v>33</v>
      </c>
      <c r="M480" s="8">
        <v>3</v>
      </c>
      <c r="N480" s="422"/>
      <c r="O480" s="437" t="s">
        <v>4393</v>
      </c>
      <c r="P480" s="31"/>
      <c r="Q480" s="474"/>
    </row>
    <row r="481" spans="1:17" s="17" customFormat="1" ht="33" customHeight="1">
      <c r="A481" s="595"/>
      <c r="B481" s="399">
        <v>46219</v>
      </c>
      <c r="C481" s="4" t="s">
        <v>21</v>
      </c>
      <c r="D481" s="4" t="s">
        <v>6538</v>
      </c>
      <c r="E481" s="31" t="s">
        <v>3335</v>
      </c>
      <c r="F481" s="31" t="s">
        <v>6550</v>
      </c>
      <c r="G481" s="16" t="s">
        <v>6539</v>
      </c>
      <c r="H481" s="193" t="s">
        <v>1279</v>
      </c>
      <c r="I481" s="31" t="s">
        <v>1690</v>
      </c>
      <c r="J481" s="31" t="s">
        <v>6556</v>
      </c>
      <c r="K481" s="125" t="s">
        <v>6540</v>
      </c>
      <c r="L481" s="16" t="s">
        <v>6557</v>
      </c>
      <c r="M481" s="8">
        <v>4</v>
      </c>
      <c r="N481" s="422"/>
      <c r="O481" s="437" t="s">
        <v>6558</v>
      </c>
      <c r="P481" s="31"/>
      <c r="Q481" s="474"/>
    </row>
    <row r="482" spans="1:17" s="17" customFormat="1" ht="33" customHeight="1">
      <c r="A482" s="595"/>
      <c r="B482" s="399">
        <v>46219</v>
      </c>
      <c r="C482" s="4" t="s">
        <v>21</v>
      </c>
      <c r="D482" s="4" t="s">
        <v>6538</v>
      </c>
      <c r="E482" s="31" t="s">
        <v>3335</v>
      </c>
      <c r="F482" s="31" t="s">
        <v>4939</v>
      </c>
      <c r="G482" s="16" t="s">
        <v>6541</v>
      </c>
      <c r="H482" s="193" t="s">
        <v>6542</v>
      </c>
      <c r="I482" s="31" t="s">
        <v>1690</v>
      </c>
      <c r="J482" s="31" t="s">
        <v>6556</v>
      </c>
      <c r="K482" s="125" t="s">
        <v>6540</v>
      </c>
      <c r="L482" s="16" t="s">
        <v>6557</v>
      </c>
      <c r="M482" s="8">
        <v>4</v>
      </c>
      <c r="N482" s="422"/>
      <c r="O482" s="437" t="s">
        <v>6558</v>
      </c>
      <c r="P482" s="31"/>
      <c r="Q482" s="474"/>
    </row>
    <row r="483" spans="1:17" s="17" customFormat="1" ht="33" customHeight="1">
      <c r="A483" s="595"/>
      <c r="B483" s="399">
        <v>46219</v>
      </c>
      <c r="C483" s="4" t="s">
        <v>6275</v>
      </c>
      <c r="D483" s="4" t="s">
        <v>14</v>
      </c>
      <c r="E483" s="31" t="s">
        <v>6276</v>
      </c>
      <c r="F483" s="31" t="s">
        <v>6278</v>
      </c>
      <c r="G483" s="16" t="s">
        <v>6277</v>
      </c>
      <c r="H483" s="193" t="s">
        <v>6279</v>
      </c>
      <c r="I483" s="31" t="s">
        <v>6264</v>
      </c>
      <c r="J483" s="193"/>
      <c r="K483" s="125" t="s">
        <v>911</v>
      </c>
      <c r="L483" s="459">
        <v>9080</v>
      </c>
      <c r="M483" s="8">
        <v>1</v>
      </c>
      <c r="N483" s="422"/>
      <c r="O483" s="437"/>
      <c r="P483" s="31"/>
      <c r="Q483" s="474"/>
    </row>
    <row r="484" spans="1:17" s="17" customFormat="1" ht="33" customHeight="1">
      <c r="A484" s="595"/>
      <c r="B484" s="399">
        <v>46219</v>
      </c>
      <c r="C484" s="4" t="s">
        <v>21</v>
      </c>
      <c r="D484" s="4" t="s">
        <v>14</v>
      </c>
      <c r="E484" s="454" t="s">
        <v>107</v>
      </c>
      <c r="F484" s="454" t="s">
        <v>3386</v>
      </c>
      <c r="G484" s="459" t="s">
        <v>964</v>
      </c>
      <c r="H484" s="453" t="s">
        <v>984</v>
      </c>
      <c r="I484" s="454" t="s">
        <v>3661</v>
      </c>
      <c r="J484" s="31" t="s">
        <v>6560</v>
      </c>
      <c r="K484" s="125" t="s">
        <v>911</v>
      </c>
      <c r="L484" s="459">
        <v>9080</v>
      </c>
      <c r="M484" s="455">
        <v>3</v>
      </c>
      <c r="N484" s="422"/>
      <c r="O484" s="437" t="s">
        <v>6561</v>
      </c>
      <c r="P484" s="31"/>
      <c r="Q484" s="474"/>
    </row>
    <row r="485" spans="1:17" s="17" customFormat="1" ht="33" customHeight="1">
      <c r="A485" s="595"/>
      <c r="B485" s="399">
        <v>46220</v>
      </c>
      <c r="C485" s="4"/>
      <c r="D485" s="4"/>
      <c r="E485" s="31"/>
      <c r="F485" s="31"/>
      <c r="G485" s="16"/>
      <c r="H485" s="404" t="s">
        <v>6537</v>
      </c>
      <c r="I485" s="31"/>
      <c r="J485" s="31"/>
      <c r="K485" s="125"/>
      <c r="L485" s="16"/>
      <c r="M485" s="8"/>
      <c r="N485" s="422"/>
      <c r="O485" s="430"/>
      <c r="P485" s="31"/>
    </row>
    <row r="486" spans="1:17" s="17" customFormat="1" ht="33" customHeight="1">
      <c r="A486" s="596"/>
      <c r="B486" s="369">
        <v>46221</v>
      </c>
      <c r="C486" s="4"/>
      <c r="D486" s="4"/>
      <c r="E486" s="291"/>
      <c r="F486" s="31"/>
      <c r="G486" s="16"/>
      <c r="H486" s="193"/>
      <c r="I486" s="31"/>
      <c r="J486" s="31"/>
      <c r="K486" s="125"/>
      <c r="L486" s="16"/>
      <c r="M486" s="8"/>
      <c r="N486" s="31"/>
      <c r="O486" s="432"/>
      <c r="P486" s="31"/>
    </row>
    <row r="487" spans="1:17" s="17" customFormat="1" ht="33" customHeight="1">
      <c r="A487" s="322" t="s">
        <v>0</v>
      </c>
      <c r="B487" s="323" t="s">
        <v>1</v>
      </c>
      <c r="C487" s="322" t="s">
        <v>2</v>
      </c>
      <c r="D487" s="322" t="s">
        <v>3</v>
      </c>
      <c r="E487" s="322" t="s">
        <v>4</v>
      </c>
      <c r="F487" s="322" t="s">
        <v>5</v>
      </c>
      <c r="G487" s="322" t="s">
        <v>6</v>
      </c>
      <c r="H487" s="324" t="s">
        <v>7</v>
      </c>
      <c r="I487" s="322" t="s">
        <v>8</v>
      </c>
      <c r="J487" s="322" t="s">
        <v>9</v>
      </c>
      <c r="K487" s="325" t="s">
        <v>10</v>
      </c>
      <c r="L487" s="326" t="s">
        <v>11</v>
      </c>
      <c r="M487" s="322" t="s">
        <v>12</v>
      </c>
      <c r="N487" s="327" t="s">
        <v>13</v>
      </c>
      <c r="O487" s="427" t="s">
        <v>63</v>
      </c>
      <c r="P487" s="322" t="s">
        <v>123</v>
      </c>
    </row>
    <row r="488" spans="1:17" s="17" customFormat="1" ht="33" customHeight="1">
      <c r="A488" s="594" t="s">
        <v>5630</v>
      </c>
      <c r="B488" s="399">
        <v>46223</v>
      </c>
      <c r="C488" s="4" t="s">
        <v>21</v>
      </c>
      <c r="D488" s="4" t="s">
        <v>14</v>
      </c>
      <c r="E488" s="31" t="s">
        <v>107</v>
      </c>
      <c r="F488" s="31" t="s">
        <v>3386</v>
      </c>
      <c r="G488" s="16" t="s">
        <v>23</v>
      </c>
      <c r="H488" s="193" t="s">
        <v>6582</v>
      </c>
      <c r="I488" s="193" t="s">
        <v>6583</v>
      </c>
      <c r="J488" s="31"/>
      <c r="K488" s="125" t="s">
        <v>15</v>
      </c>
      <c r="L488" s="16">
        <v>9080</v>
      </c>
      <c r="M488" s="8">
        <v>4</v>
      </c>
      <c r="N488" s="31"/>
      <c r="O488" s="431"/>
      <c r="P488" s="31" t="s">
        <v>6293</v>
      </c>
    </row>
    <row r="489" spans="1:17" s="17" customFormat="1" ht="33" customHeight="1">
      <c r="A489" s="595"/>
      <c r="B489" s="399">
        <v>46223</v>
      </c>
      <c r="C489" s="3" t="s">
        <v>21</v>
      </c>
      <c r="D489" s="3" t="s">
        <v>883</v>
      </c>
      <c r="E489" s="453" t="s">
        <v>6551</v>
      </c>
      <c r="F489" s="454">
        <v>8262</v>
      </c>
      <c r="G489" s="459" t="s">
        <v>1225</v>
      </c>
      <c r="H489" s="193" t="s">
        <v>6603</v>
      </c>
      <c r="I489" s="454" t="s">
        <v>6552</v>
      </c>
      <c r="J489" s="453"/>
      <c r="K489" s="136" t="s">
        <v>6545</v>
      </c>
      <c r="L489" s="459" t="s">
        <v>33</v>
      </c>
      <c r="M489" s="455">
        <v>2</v>
      </c>
      <c r="N489" s="31"/>
      <c r="O489" s="429" t="s">
        <v>6570</v>
      </c>
      <c r="P489" s="31"/>
    </row>
    <row r="490" spans="1:17" s="17" customFormat="1" ht="40.5">
      <c r="A490" s="595"/>
      <c r="B490" s="399">
        <v>46224</v>
      </c>
      <c r="C490" s="3" t="s">
        <v>21</v>
      </c>
      <c r="D490" s="3" t="s">
        <v>883</v>
      </c>
      <c r="E490" s="453" t="s">
        <v>6517</v>
      </c>
      <c r="F490" s="454" t="s">
        <v>2653</v>
      </c>
      <c r="G490" s="459" t="s">
        <v>263</v>
      </c>
      <c r="H490" s="193" t="s">
        <v>6568</v>
      </c>
      <c r="I490" s="454" t="s">
        <v>6552</v>
      </c>
      <c r="J490" s="453"/>
      <c r="K490" s="136" t="s">
        <v>6545</v>
      </c>
      <c r="L490" s="459" t="s">
        <v>33</v>
      </c>
      <c r="M490" s="455">
        <v>2</v>
      </c>
      <c r="N490" s="31"/>
      <c r="O490" s="431"/>
      <c r="P490" s="31"/>
    </row>
    <row r="491" spans="1:17" s="17" customFormat="1" ht="33" customHeight="1">
      <c r="A491" s="595"/>
      <c r="B491" s="399">
        <v>46224</v>
      </c>
      <c r="C491" s="4" t="s">
        <v>21</v>
      </c>
      <c r="D491" s="4" t="s">
        <v>6474</v>
      </c>
      <c r="E491" s="193" t="s">
        <v>6475</v>
      </c>
      <c r="F491" s="31" t="s">
        <v>6676</v>
      </c>
      <c r="G491" s="16" t="s">
        <v>6476</v>
      </c>
      <c r="H491" s="193" t="s">
        <v>6605</v>
      </c>
      <c r="I491" s="31" t="s">
        <v>6585</v>
      </c>
      <c r="J491" s="31" t="s">
        <v>686</v>
      </c>
      <c r="K491" s="125" t="s">
        <v>6553</v>
      </c>
      <c r="L491" s="16" t="s">
        <v>3304</v>
      </c>
      <c r="M491" s="8">
        <v>3</v>
      </c>
      <c r="N491" s="31"/>
      <c r="O491" s="429"/>
      <c r="P491" s="31"/>
    </row>
    <row r="492" spans="1:17" s="17" customFormat="1" ht="33" customHeight="1">
      <c r="A492" s="595"/>
      <c r="B492" s="399">
        <v>46224</v>
      </c>
      <c r="C492" s="4" t="s">
        <v>1475</v>
      </c>
      <c r="D492" s="4" t="s">
        <v>31</v>
      </c>
      <c r="E492" s="193" t="s">
        <v>6095</v>
      </c>
      <c r="F492" s="31" t="s">
        <v>3336</v>
      </c>
      <c r="G492" s="16" t="s">
        <v>23</v>
      </c>
      <c r="H492" s="193" t="s">
        <v>6473</v>
      </c>
      <c r="I492" s="31" t="s">
        <v>737</v>
      </c>
      <c r="J492" s="193" t="s">
        <v>41</v>
      </c>
      <c r="K492" s="125" t="s">
        <v>15</v>
      </c>
      <c r="L492" s="16" t="s">
        <v>4550</v>
      </c>
      <c r="M492" s="8">
        <v>2</v>
      </c>
      <c r="N492" s="31"/>
      <c r="O492" s="754"/>
      <c r="P492" s="31"/>
    </row>
    <row r="493" spans="1:17" s="17" customFormat="1" ht="33" customHeight="1">
      <c r="A493" s="595"/>
      <c r="B493" s="399">
        <v>46225</v>
      </c>
      <c r="C493" s="4" t="s">
        <v>21</v>
      </c>
      <c r="D493" s="4" t="s">
        <v>14</v>
      </c>
      <c r="E493" s="31" t="s">
        <v>1893</v>
      </c>
      <c r="F493" s="31" t="s">
        <v>4939</v>
      </c>
      <c r="G493" s="16" t="s">
        <v>482</v>
      </c>
      <c r="H493" s="193" t="s">
        <v>6542</v>
      </c>
      <c r="I493" s="31" t="s">
        <v>6728</v>
      </c>
      <c r="J493" s="31" t="s">
        <v>641</v>
      </c>
      <c r="K493" s="125" t="s">
        <v>15</v>
      </c>
      <c r="L493" s="16" t="s">
        <v>4550</v>
      </c>
      <c r="M493" s="8">
        <v>2</v>
      </c>
      <c r="N493" s="31"/>
      <c r="O493" s="754"/>
      <c r="P493" s="31"/>
    </row>
    <row r="494" spans="1:17" s="17" customFormat="1" ht="33" customHeight="1">
      <c r="A494" s="595"/>
      <c r="B494" s="399">
        <v>46225</v>
      </c>
      <c r="C494" s="4" t="s">
        <v>232</v>
      </c>
      <c r="D494" s="4" t="s">
        <v>17</v>
      </c>
      <c r="E494" s="193" t="s">
        <v>6095</v>
      </c>
      <c r="F494" s="31" t="s">
        <v>2713</v>
      </c>
      <c r="G494" s="16" t="s">
        <v>23</v>
      </c>
      <c r="H494" s="193" t="s">
        <v>6590</v>
      </c>
      <c r="I494" s="454" t="s">
        <v>737</v>
      </c>
      <c r="J494" s="453" t="s">
        <v>41</v>
      </c>
      <c r="K494" s="136" t="s">
        <v>15</v>
      </c>
      <c r="L494" s="459" t="s">
        <v>4550</v>
      </c>
      <c r="M494" s="455">
        <v>2</v>
      </c>
      <c r="N494" s="31"/>
      <c r="O494" s="754"/>
      <c r="P494" s="31"/>
    </row>
    <row r="495" spans="1:17" s="17" customFormat="1" ht="33" customHeight="1">
      <c r="A495" s="595"/>
      <c r="B495" s="399">
        <v>46225</v>
      </c>
      <c r="C495" s="4" t="s">
        <v>1255</v>
      </c>
      <c r="D495" s="4" t="s">
        <v>797</v>
      </c>
      <c r="E495" s="31" t="s">
        <v>5728</v>
      </c>
      <c r="F495" s="31" t="s">
        <v>5488</v>
      </c>
      <c r="G495" s="16" t="s">
        <v>5428</v>
      </c>
      <c r="H495" s="193" t="s">
        <v>6569</v>
      </c>
      <c r="I495" s="454" t="s">
        <v>737</v>
      </c>
      <c r="J495" s="453" t="s">
        <v>41</v>
      </c>
      <c r="K495" s="136" t="s">
        <v>15</v>
      </c>
      <c r="L495" s="459" t="s">
        <v>4550</v>
      </c>
      <c r="M495" s="455">
        <v>2</v>
      </c>
      <c r="N495" s="31"/>
      <c r="O495" s="429"/>
      <c r="P495" s="31"/>
    </row>
    <row r="496" spans="1:17" s="17" customFormat="1" ht="33" customHeight="1">
      <c r="A496" s="595"/>
      <c r="B496" s="399">
        <v>46225</v>
      </c>
      <c r="C496" s="3" t="s">
        <v>64</v>
      </c>
      <c r="D496" s="3" t="s">
        <v>14</v>
      </c>
      <c r="E496" s="453" t="s">
        <v>6535</v>
      </c>
      <c r="F496" s="454" t="s">
        <v>2978</v>
      </c>
      <c r="G496" s="459" t="s">
        <v>843</v>
      </c>
      <c r="H496" s="193" t="s">
        <v>6588</v>
      </c>
      <c r="I496" s="454"/>
      <c r="J496" s="453" t="s">
        <v>5284</v>
      </c>
      <c r="K496" s="136" t="s">
        <v>15</v>
      </c>
      <c r="L496" s="459" t="s">
        <v>6589</v>
      </c>
      <c r="M496" s="8">
        <v>3</v>
      </c>
      <c r="N496" s="31"/>
      <c r="O496" s="431" t="s">
        <v>6604</v>
      </c>
      <c r="P496" s="31"/>
    </row>
    <row r="497" spans="1:16" s="17" customFormat="1" ht="33" customHeight="1">
      <c r="A497" s="595"/>
      <c r="B497" s="399">
        <v>46225</v>
      </c>
      <c r="C497" s="3" t="s">
        <v>21</v>
      </c>
      <c r="D497" s="3" t="s">
        <v>17</v>
      </c>
      <c r="E497" s="454" t="s">
        <v>78</v>
      </c>
      <c r="F497" s="454">
        <v>7060</v>
      </c>
      <c r="G497" s="459" t="s">
        <v>36</v>
      </c>
      <c r="H497" s="193" t="s">
        <v>6576</v>
      </c>
      <c r="I497" s="454" t="s">
        <v>6623</v>
      </c>
      <c r="J497" s="453"/>
      <c r="K497" s="136" t="s">
        <v>15</v>
      </c>
      <c r="L497" s="459">
        <v>9080</v>
      </c>
      <c r="M497" s="8">
        <v>1</v>
      </c>
      <c r="N497" s="31"/>
      <c r="O497" s="431"/>
      <c r="P497" s="31"/>
    </row>
    <row r="498" spans="1:16" s="17" customFormat="1" ht="33" customHeight="1">
      <c r="A498" s="595"/>
      <c r="B498" s="399">
        <v>46225</v>
      </c>
      <c r="C498" s="3" t="s">
        <v>64</v>
      </c>
      <c r="D498" s="3" t="s">
        <v>6597</v>
      </c>
      <c r="E498" s="454" t="s">
        <v>6577</v>
      </c>
      <c r="F498" s="454" t="s">
        <v>6598</v>
      </c>
      <c r="G498" s="459" t="s">
        <v>6599</v>
      </c>
      <c r="H498" s="193" t="s">
        <v>6600</v>
      </c>
      <c r="I498" s="454" t="s">
        <v>3661</v>
      </c>
      <c r="J498" s="453" t="s">
        <v>6601</v>
      </c>
      <c r="K498" s="136" t="s">
        <v>6602</v>
      </c>
      <c r="L498" s="459" t="s">
        <v>6580</v>
      </c>
      <c r="M498" s="8">
        <v>2</v>
      </c>
      <c r="N498" s="31"/>
      <c r="O498" s="431"/>
      <c r="P498" s="31"/>
    </row>
    <row r="499" spans="1:16" s="17" customFormat="1" ht="33" customHeight="1">
      <c r="A499" s="595"/>
      <c r="B499" s="399">
        <v>46226</v>
      </c>
      <c r="C499" s="4" t="s">
        <v>64</v>
      </c>
      <c r="D499" s="4" t="s">
        <v>30</v>
      </c>
      <c r="E499" s="31" t="s">
        <v>5728</v>
      </c>
      <c r="F499" s="31" t="s">
        <v>5488</v>
      </c>
      <c r="G499" s="16" t="s">
        <v>5428</v>
      </c>
      <c r="H499" s="193" t="s">
        <v>6606</v>
      </c>
      <c r="I499" s="454" t="s">
        <v>737</v>
      </c>
      <c r="J499" s="453" t="s">
        <v>41</v>
      </c>
      <c r="K499" s="136" t="s">
        <v>15</v>
      </c>
      <c r="L499" s="459" t="s">
        <v>4550</v>
      </c>
      <c r="M499" s="455">
        <v>2</v>
      </c>
      <c r="N499" s="31"/>
      <c r="O499" s="431"/>
      <c r="P499" s="31"/>
    </row>
    <row r="500" spans="1:16" s="17" customFormat="1" ht="33" customHeight="1">
      <c r="A500" s="595"/>
      <c r="B500" s="399">
        <v>46226</v>
      </c>
      <c r="C500" s="4" t="s">
        <v>21</v>
      </c>
      <c r="D500" s="4" t="s">
        <v>30</v>
      </c>
      <c r="E500" s="31" t="s">
        <v>6535</v>
      </c>
      <c r="F500" s="31" t="s">
        <v>2978</v>
      </c>
      <c r="G500" s="16" t="s">
        <v>23</v>
      </c>
      <c r="H500" s="193" t="s">
        <v>146</v>
      </c>
      <c r="I500" s="31" t="s">
        <v>6587</v>
      </c>
      <c r="J500" s="31" t="s">
        <v>6624</v>
      </c>
      <c r="K500" s="125" t="s">
        <v>15</v>
      </c>
      <c r="L500" s="16">
        <v>9080</v>
      </c>
      <c r="M500" s="8">
        <v>2</v>
      </c>
      <c r="N500" s="31"/>
      <c r="O500" s="429"/>
      <c r="P500" s="31"/>
    </row>
    <row r="501" spans="1:16" s="17" customFormat="1" ht="33" customHeight="1">
      <c r="A501" s="595"/>
      <c r="B501" s="399">
        <v>46226</v>
      </c>
      <c r="C501" s="3" t="s">
        <v>64</v>
      </c>
      <c r="D501" s="3" t="s">
        <v>14</v>
      </c>
      <c r="E501" s="453" t="s">
        <v>6535</v>
      </c>
      <c r="F501" s="454" t="s">
        <v>2978</v>
      </c>
      <c r="G501" s="459" t="s">
        <v>843</v>
      </c>
      <c r="H501" s="193" t="s">
        <v>146</v>
      </c>
      <c r="I501" s="31" t="s">
        <v>6587</v>
      </c>
      <c r="J501" s="31" t="s">
        <v>6624</v>
      </c>
      <c r="K501" s="125" t="s">
        <v>15</v>
      </c>
      <c r="L501" s="16">
        <v>9080</v>
      </c>
      <c r="M501" s="8">
        <v>2</v>
      </c>
      <c r="N501" s="31"/>
      <c r="O501" s="429"/>
      <c r="P501" s="31"/>
    </row>
    <row r="502" spans="1:16" s="17" customFormat="1" ht="33" customHeight="1">
      <c r="A502" s="595"/>
      <c r="B502" s="399">
        <v>46226</v>
      </c>
      <c r="C502" s="3" t="s">
        <v>64</v>
      </c>
      <c r="D502" s="3" t="s">
        <v>14</v>
      </c>
      <c r="E502" s="453" t="s">
        <v>107</v>
      </c>
      <c r="F502" s="454" t="s">
        <v>2959</v>
      </c>
      <c r="G502" s="459" t="s">
        <v>6572</v>
      </c>
      <c r="H502" s="193" t="s">
        <v>6573</v>
      </c>
      <c r="I502" s="31" t="s">
        <v>6574</v>
      </c>
      <c r="J502" s="31" t="s">
        <v>6630</v>
      </c>
      <c r="K502" s="125" t="s">
        <v>15</v>
      </c>
      <c r="L502" s="16" t="s">
        <v>33</v>
      </c>
      <c r="M502" s="8">
        <v>4</v>
      </c>
      <c r="N502" s="31"/>
      <c r="O502" s="429" t="s">
        <v>6584</v>
      </c>
      <c r="P502" s="31"/>
    </row>
    <row r="503" spans="1:16" s="17" customFormat="1" ht="33" customHeight="1">
      <c r="A503" s="595"/>
      <c r="B503" s="399">
        <v>46226</v>
      </c>
      <c r="C503" s="4" t="s">
        <v>21</v>
      </c>
      <c r="D503" s="4" t="s">
        <v>797</v>
      </c>
      <c r="E503" s="31" t="s">
        <v>6114</v>
      </c>
      <c r="F503" s="31" t="s">
        <v>2557</v>
      </c>
      <c r="G503" s="16" t="s">
        <v>1514</v>
      </c>
      <c r="H503" s="193" t="s">
        <v>6501</v>
      </c>
      <c r="I503" s="31" t="s">
        <v>6563</v>
      </c>
      <c r="J503" s="31" t="s">
        <v>6564</v>
      </c>
      <c r="K503" s="125" t="s">
        <v>42</v>
      </c>
      <c r="L503" s="16" t="s">
        <v>4550</v>
      </c>
      <c r="M503" s="8">
        <v>3</v>
      </c>
      <c r="N503" s="422"/>
      <c r="O503" s="430"/>
      <c r="P503" s="31"/>
    </row>
    <row r="504" spans="1:16" s="17" customFormat="1" ht="33" customHeight="1">
      <c r="A504" s="595"/>
      <c r="B504" s="399">
        <v>46227</v>
      </c>
      <c r="C504" s="3" t="s">
        <v>64</v>
      </c>
      <c r="D504" s="3" t="s">
        <v>14</v>
      </c>
      <c r="E504" s="453" t="s">
        <v>107</v>
      </c>
      <c r="F504" s="454" t="s">
        <v>2959</v>
      </c>
      <c r="G504" s="459" t="s">
        <v>6572</v>
      </c>
      <c r="H504" s="193" t="s">
        <v>6573</v>
      </c>
      <c r="I504" s="31" t="s">
        <v>6574</v>
      </c>
      <c r="J504" s="31" t="s">
        <v>6630</v>
      </c>
      <c r="K504" s="125" t="s">
        <v>15</v>
      </c>
      <c r="L504" s="16" t="s">
        <v>33</v>
      </c>
      <c r="M504" s="8">
        <v>4</v>
      </c>
      <c r="N504" s="31"/>
      <c r="O504" s="429" t="s">
        <v>6584</v>
      </c>
      <c r="P504" s="31"/>
    </row>
    <row r="505" spans="1:16" s="17" customFormat="1" ht="33" customHeight="1">
      <c r="A505" s="595"/>
      <c r="B505" s="198">
        <v>46227</v>
      </c>
      <c r="C505" s="3" t="s">
        <v>21</v>
      </c>
      <c r="D505" s="3" t="s">
        <v>30</v>
      </c>
      <c r="E505" s="454" t="s">
        <v>6535</v>
      </c>
      <c r="F505" s="454" t="s">
        <v>2978</v>
      </c>
      <c r="G505" s="459" t="s">
        <v>23</v>
      </c>
      <c r="H505" s="453" t="s">
        <v>6636</v>
      </c>
      <c r="I505" s="454" t="s">
        <v>6587</v>
      </c>
      <c r="J505" s="454" t="s">
        <v>6624</v>
      </c>
      <c r="K505" s="136" t="s">
        <v>15</v>
      </c>
      <c r="L505" s="459">
        <v>9080</v>
      </c>
      <c r="M505" s="455">
        <v>2</v>
      </c>
      <c r="N505" s="456"/>
      <c r="O505" s="767"/>
      <c r="P505" s="31"/>
    </row>
    <row r="506" spans="1:16" s="17" customFormat="1" ht="33" customHeight="1">
      <c r="A506" s="595"/>
      <c r="B506" s="198">
        <v>46227</v>
      </c>
      <c r="C506" s="3" t="s">
        <v>21</v>
      </c>
      <c r="D506" s="3" t="s">
        <v>14</v>
      </c>
      <c r="E506" s="454" t="s">
        <v>1787</v>
      </c>
      <c r="F506" s="454" t="s">
        <v>2978</v>
      </c>
      <c r="G506" s="459" t="s">
        <v>143</v>
      </c>
      <c r="H506" s="453" t="s">
        <v>6652</v>
      </c>
      <c r="I506" s="454" t="s">
        <v>90</v>
      </c>
      <c r="J506" s="454" t="s">
        <v>6624</v>
      </c>
      <c r="K506" s="136" t="s">
        <v>15</v>
      </c>
      <c r="L506" s="459">
        <v>9080</v>
      </c>
      <c r="M506" s="455">
        <v>2</v>
      </c>
      <c r="N506" s="456"/>
      <c r="O506" s="767"/>
      <c r="P506" s="31"/>
    </row>
    <row r="507" spans="1:16" s="17" customFormat="1" ht="33" customHeight="1">
      <c r="A507" s="595"/>
      <c r="B507" s="399">
        <v>46227</v>
      </c>
      <c r="C507" s="4" t="s">
        <v>21</v>
      </c>
      <c r="D507" s="4" t="s">
        <v>797</v>
      </c>
      <c r="E507" s="31" t="s">
        <v>6114</v>
      </c>
      <c r="F507" s="31" t="s">
        <v>2557</v>
      </c>
      <c r="G507" s="16" t="s">
        <v>1514</v>
      </c>
      <c r="H507" s="193" t="s">
        <v>6532</v>
      </c>
      <c r="I507" s="31" t="s">
        <v>6563</v>
      </c>
      <c r="J507" s="31" t="s">
        <v>6564</v>
      </c>
      <c r="K507" s="125" t="s">
        <v>6565</v>
      </c>
      <c r="L507" s="16" t="s">
        <v>4550</v>
      </c>
      <c r="M507" s="8">
        <v>3</v>
      </c>
      <c r="N507" s="422"/>
      <c r="O507" s="430"/>
      <c r="P507" s="31"/>
    </row>
    <row r="508" spans="1:16" s="17" customFormat="1" ht="33" customHeight="1">
      <c r="A508" s="756"/>
      <c r="B508" s="369">
        <v>46228</v>
      </c>
      <c r="C508" s="3" t="s">
        <v>64</v>
      </c>
      <c r="D508" s="3" t="s">
        <v>14</v>
      </c>
      <c r="E508" s="453" t="s">
        <v>107</v>
      </c>
      <c r="F508" s="454" t="s">
        <v>2959</v>
      </c>
      <c r="G508" s="459" t="s">
        <v>6572</v>
      </c>
      <c r="H508" s="193" t="s">
        <v>6573</v>
      </c>
      <c r="I508" s="31" t="s">
        <v>6574</v>
      </c>
      <c r="J508" s="31" t="s">
        <v>6630</v>
      </c>
      <c r="K508" s="125" t="s">
        <v>15</v>
      </c>
      <c r="L508" s="16" t="s">
        <v>33</v>
      </c>
      <c r="M508" s="8">
        <v>4</v>
      </c>
      <c r="N508" s="31"/>
      <c r="O508" s="429" t="s">
        <v>6584</v>
      </c>
      <c r="P508" s="31"/>
    </row>
    <row r="509" spans="1:16" s="17" customFormat="1" ht="33" customHeight="1">
      <c r="A509" s="756"/>
      <c r="B509" s="369">
        <v>46228</v>
      </c>
      <c r="C509" s="3" t="s">
        <v>21</v>
      </c>
      <c r="D509" s="3" t="s">
        <v>14</v>
      </c>
      <c r="E509" s="453" t="s">
        <v>107</v>
      </c>
      <c r="F509" s="454" t="s">
        <v>2959</v>
      </c>
      <c r="G509" s="459" t="s">
        <v>1895</v>
      </c>
      <c r="H509" s="193" t="s">
        <v>1314</v>
      </c>
      <c r="I509" s="31" t="s">
        <v>202</v>
      </c>
      <c r="J509" s="31" t="s">
        <v>641</v>
      </c>
      <c r="K509" s="125" t="s">
        <v>15</v>
      </c>
      <c r="L509" s="16" t="s">
        <v>33</v>
      </c>
      <c r="M509" s="8">
        <v>3</v>
      </c>
      <c r="N509" s="31"/>
      <c r="O509" s="429"/>
      <c r="P509" s="31"/>
    </row>
    <row r="510" spans="1:16" s="17" customFormat="1" ht="33" customHeight="1">
      <c r="A510" s="756"/>
      <c r="B510" s="369">
        <v>46228</v>
      </c>
      <c r="C510" s="4" t="s">
        <v>64</v>
      </c>
      <c r="D510" s="4" t="s">
        <v>30</v>
      </c>
      <c r="E510" s="31" t="s">
        <v>6114</v>
      </c>
      <c r="F510" s="31" t="s">
        <v>6496</v>
      </c>
      <c r="G510" s="16" t="s">
        <v>200</v>
      </c>
      <c r="H510" s="193" t="s">
        <v>6581</v>
      </c>
      <c r="I510" s="31" t="s">
        <v>6563</v>
      </c>
      <c r="J510" s="31" t="s">
        <v>4463</v>
      </c>
      <c r="K510" s="125" t="s">
        <v>42</v>
      </c>
      <c r="L510" s="16" t="s">
        <v>4550</v>
      </c>
      <c r="M510" s="8">
        <v>3</v>
      </c>
      <c r="N510" s="31"/>
      <c r="O510" s="432"/>
      <c r="P510" s="31"/>
    </row>
    <row r="511" spans="1:16" s="17" customFormat="1" ht="33" customHeight="1">
      <c r="A511" s="596"/>
      <c r="B511" s="399">
        <v>46229</v>
      </c>
      <c r="C511" s="4" t="s">
        <v>64</v>
      </c>
      <c r="D511" s="4" t="s">
        <v>30</v>
      </c>
      <c r="E511" s="31" t="s">
        <v>6114</v>
      </c>
      <c r="F511" s="31" t="s">
        <v>6496</v>
      </c>
      <c r="G511" s="16" t="s">
        <v>200</v>
      </c>
      <c r="H511" s="193" t="s">
        <v>6581</v>
      </c>
      <c r="I511" s="31" t="s">
        <v>6563</v>
      </c>
      <c r="J511" s="31" t="s">
        <v>4463</v>
      </c>
      <c r="K511" s="125" t="s">
        <v>42</v>
      </c>
      <c r="L511" s="16" t="s">
        <v>4550</v>
      </c>
      <c r="M511" s="8">
        <v>3</v>
      </c>
      <c r="N511" s="755"/>
      <c r="O511" s="432"/>
      <c r="P511" s="31"/>
    </row>
    <row r="512" spans="1:16" s="17" customFormat="1" ht="33" customHeight="1">
      <c r="A512" s="322" t="s">
        <v>0</v>
      </c>
      <c r="B512" s="323" t="s">
        <v>1</v>
      </c>
      <c r="C512" s="322" t="s">
        <v>2</v>
      </c>
      <c r="D512" s="322" t="s">
        <v>3</v>
      </c>
      <c r="E512" s="322" t="s">
        <v>4</v>
      </c>
      <c r="F512" s="322" t="s">
        <v>5</v>
      </c>
      <c r="G512" s="322" t="s">
        <v>6</v>
      </c>
      <c r="H512" s="324" t="s">
        <v>7</v>
      </c>
      <c r="I512" s="322" t="s">
        <v>8</v>
      </c>
      <c r="J512" s="322" t="s">
        <v>9</v>
      </c>
      <c r="K512" s="325" t="s">
        <v>10</v>
      </c>
      <c r="L512" s="326" t="s">
        <v>11</v>
      </c>
      <c r="M512" s="322" t="s">
        <v>12</v>
      </c>
      <c r="N512" s="327" t="s">
        <v>13</v>
      </c>
      <c r="O512" s="427" t="s">
        <v>63</v>
      </c>
      <c r="P512" s="322" t="s">
        <v>123</v>
      </c>
    </row>
    <row r="513" spans="1:17" s="17" customFormat="1" ht="33" customHeight="1">
      <c r="A513" s="594" t="s">
        <v>5631</v>
      </c>
      <c r="B513" s="399">
        <v>46230</v>
      </c>
      <c r="C513" s="3" t="s">
        <v>21</v>
      </c>
      <c r="D513" s="3" t="s">
        <v>14</v>
      </c>
      <c r="E513" s="454" t="s">
        <v>1787</v>
      </c>
      <c r="F513" s="454" t="s">
        <v>2978</v>
      </c>
      <c r="G513" s="459" t="s">
        <v>23</v>
      </c>
      <c r="H513" s="193" t="s">
        <v>303</v>
      </c>
      <c r="I513" s="31" t="s">
        <v>6622</v>
      </c>
      <c r="J513" s="31" t="s">
        <v>6637</v>
      </c>
      <c r="K513" s="125" t="s">
        <v>6633</v>
      </c>
      <c r="L513" s="16" t="s">
        <v>6628</v>
      </c>
      <c r="M513" s="8">
        <v>2</v>
      </c>
      <c r="N513" s="31" t="s">
        <v>202</v>
      </c>
      <c r="O513" s="431" t="s">
        <v>6638</v>
      </c>
      <c r="P513" s="31"/>
    </row>
    <row r="514" spans="1:17" s="17" customFormat="1" ht="33" customHeight="1">
      <c r="A514" s="595"/>
      <c r="B514" s="399">
        <v>46230</v>
      </c>
      <c r="C514" s="4" t="s">
        <v>6495</v>
      </c>
      <c r="D514" s="4" t="s">
        <v>797</v>
      </c>
      <c r="E514" s="31" t="s">
        <v>6114</v>
      </c>
      <c r="F514" s="31" t="s">
        <v>6496</v>
      </c>
      <c r="G514" s="16" t="s">
        <v>6497</v>
      </c>
      <c r="H514" s="193" t="s">
        <v>6498</v>
      </c>
      <c r="I514" s="31" t="s">
        <v>6563</v>
      </c>
      <c r="J514" s="31" t="s">
        <v>6564</v>
      </c>
      <c r="K514" s="125" t="s">
        <v>42</v>
      </c>
      <c r="L514" s="16" t="s">
        <v>4550</v>
      </c>
      <c r="M514" s="8">
        <v>3</v>
      </c>
      <c r="N514" s="31"/>
      <c r="O514" s="431"/>
      <c r="P514" s="31"/>
    </row>
    <row r="515" spans="1:17" s="17" customFormat="1" ht="33" customHeight="1">
      <c r="A515" s="595"/>
      <c r="B515" s="399">
        <v>46230</v>
      </c>
      <c r="C515" s="4" t="s">
        <v>21</v>
      </c>
      <c r="D515" s="4" t="s">
        <v>14</v>
      </c>
      <c r="E515" s="31" t="s">
        <v>1893</v>
      </c>
      <c r="F515" s="31" t="s">
        <v>4939</v>
      </c>
      <c r="G515" s="16" t="s">
        <v>482</v>
      </c>
      <c r="H515" s="193" t="s">
        <v>6542</v>
      </c>
      <c r="I515" s="31"/>
      <c r="J515" s="31" t="s">
        <v>6644</v>
      </c>
      <c r="K515" s="125" t="s">
        <v>6633</v>
      </c>
      <c r="L515" s="16" t="s">
        <v>4550</v>
      </c>
      <c r="M515" s="8">
        <v>2</v>
      </c>
      <c r="N515" s="31"/>
      <c r="O515" s="431"/>
      <c r="P515" s="31"/>
    </row>
    <row r="516" spans="1:17" s="17" customFormat="1" ht="33" customHeight="1">
      <c r="A516" s="595"/>
      <c r="B516" s="399">
        <v>46231</v>
      </c>
      <c r="C516" s="4" t="s">
        <v>6495</v>
      </c>
      <c r="D516" s="4" t="s">
        <v>797</v>
      </c>
      <c r="E516" s="31" t="s">
        <v>6114</v>
      </c>
      <c r="F516" s="31" t="s">
        <v>6496</v>
      </c>
      <c r="G516" s="16" t="s">
        <v>6497</v>
      </c>
      <c r="H516" s="193" t="s">
        <v>6498</v>
      </c>
      <c r="I516" s="31" t="s">
        <v>6563</v>
      </c>
      <c r="J516" s="31" t="s">
        <v>6564</v>
      </c>
      <c r="K516" s="125" t="s">
        <v>42</v>
      </c>
      <c r="L516" s="16" t="s">
        <v>4550</v>
      </c>
      <c r="M516" s="8">
        <v>3</v>
      </c>
      <c r="N516" s="31" t="s">
        <v>202</v>
      </c>
      <c r="O516" s="431"/>
      <c r="P516" s="31" t="s">
        <v>6293</v>
      </c>
    </row>
    <row r="517" spans="1:17" s="17" customFormat="1" ht="33" customHeight="1">
      <c r="A517" s="595"/>
      <c r="B517" s="198">
        <v>46231</v>
      </c>
      <c r="C517" s="3" t="s">
        <v>21</v>
      </c>
      <c r="D517" s="3" t="s">
        <v>14</v>
      </c>
      <c r="E517" s="454" t="s">
        <v>107</v>
      </c>
      <c r="F517" s="454" t="s">
        <v>2959</v>
      </c>
      <c r="G517" s="459" t="s">
        <v>143</v>
      </c>
      <c r="H517" s="453" t="s">
        <v>6579</v>
      </c>
      <c r="I517" s="454" t="s">
        <v>126</v>
      </c>
      <c r="J517" s="454" t="s">
        <v>2828</v>
      </c>
      <c r="K517" s="136" t="s">
        <v>15</v>
      </c>
      <c r="L517" s="459" t="s">
        <v>33</v>
      </c>
      <c r="M517" s="455">
        <v>2</v>
      </c>
      <c r="N517" s="31"/>
      <c r="O517" s="431" t="s">
        <v>4393</v>
      </c>
      <c r="P517" s="31"/>
    </row>
    <row r="518" spans="1:17" s="17" customFormat="1" ht="33" customHeight="1">
      <c r="A518" s="595"/>
      <c r="B518" s="198">
        <v>46231</v>
      </c>
      <c r="C518" s="3" t="s">
        <v>21</v>
      </c>
      <c r="D518" s="3" t="s">
        <v>14</v>
      </c>
      <c r="E518" s="454" t="s">
        <v>107</v>
      </c>
      <c r="F518" s="454" t="s">
        <v>3401</v>
      </c>
      <c r="G518" s="459" t="s">
        <v>6669</v>
      </c>
      <c r="H518" s="453" t="s">
        <v>303</v>
      </c>
      <c r="I518" s="454"/>
      <c r="J518" s="454" t="s">
        <v>153</v>
      </c>
      <c r="K518" s="136" t="s">
        <v>181</v>
      </c>
      <c r="L518" s="459">
        <v>9080</v>
      </c>
      <c r="M518" s="455">
        <v>1</v>
      </c>
      <c r="N518" s="31"/>
      <c r="O518" s="431" t="s">
        <v>5591</v>
      </c>
      <c r="P518" s="31"/>
      <c r="Q518" s="771" t="s">
        <v>6674</v>
      </c>
    </row>
    <row r="519" spans="1:17" s="17" customFormat="1" ht="33" customHeight="1">
      <c r="A519" s="595"/>
      <c r="B519" s="198">
        <v>46231</v>
      </c>
      <c r="C519" s="3" t="s">
        <v>21</v>
      </c>
      <c r="D519" s="3" t="s">
        <v>14</v>
      </c>
      <c r="E519" s="454" t="s">
        <v>1893</v>
      </c>
      <c r="F519" s="454" t="s">
        <v>4939</v>
      </c>
      <c r="G519" s="459" t="s">
        <v>482</v>
      </c>
      <c r="H519" s="453" t="s">
        <v>6670</v>
      </c>
      <c r="I519" s="454"/>
      <c r="J519" s="454" t="s">
        <v>6671</v>
      </c>
      <c r="K519" s="136" t="s">
        <v>15</v>
      </c>
      <c r="L519" s="459" t="s">
        <v>6672</v>
      </c>
      <c r="M519" s="455">
        <v>1</v>
      </c>
      <c r="N519" s="31"/>
      <c r="O519" s="431" t="s">
        <v>6673</v>
      </c>
      <c r="P519" s="31"/>
      <c r="Q519" s="771" t="s">
        <v>6674</v>
      </c>
    </row>
    <row r="520" spans="1:17" s="17" customFormat="1" ht="33" customHeight="1">
      <c r="A520" s="595"/>
      <c r="B520" s="198">
        <v>46232</v>
      </c>
      <c r="C520" s="3" t="s">
        <v>21</v>
      </c>
      <c r="D520" s="3" t="s">
        <v>14</v>
      </c>
      <c r="E520" s="454" t="s">
        <v>1893</v>
      </c>
      <c r="F520" s="454" t="s">
        <v>4939</v>
      </c>
      <c r="G520" s="459" t="s">
        <v>482</v>
      </c>
      <c r="H520" s="453" t="s">
        <v>6699</v>
      </c>
      <c r="I520" s="454" t="s">
        <v>6632</v>
      </c>
      <c r="J520" s="454" t="s">
        <v>6698</v>
      </c>
      <c r="K520" s="136" t="s">
        <v>6633</v>
      </c>
      <c r="L520" s="459" t="s">
        <v>6700</v>
      </c>
      <c r="M520" s="455">
        <v>2</v>
      </c>
      <c r="N520" s="31"/>
      <c r="O520" s="431" t="s">
        <v>6651</v>
      </c>
      <c r="P520" s="31"/>
    </row>
    <row r="521" spans="1:17" s="17" customFormat="1" ht="33" customHeight="1">
      <c r="A521" s="595"/>
      <c r="B521" s="198">
        <v>46232</v>
      </c>
      <c r="C521" s="3" t="s">
        <v>21</v>
      </c>
      <c r="D521" s="3" t="s">
        <v>14</v>
      </c>
      <c r="E521" s="454" t="s">
        <v>1787</v>
      </c>
      <c r="F521" s="454" t="s">
        <v>2978</v>
      </c>
      <c r="G521" s="459" t="s">
        <v>205</v>
      </c>
      <c r="H521" s="453" t="s">
        <v>6629</v>
      </c>
      <c r="I521" s="454"/>
      <c r="J521" s="454" t="s">
        <v>6650</v>
      </c>
      <c r="K521" s="136" t="s">
        <v>15</v>
      </c>
      <c r="L521" s="459">
        <v>9080</v>
      </c>
      <c r="M521" s="455">
        <v>2</v>
      </c>
      <c r="N521" s="31"/>
      <c r="O521" s="431" t="s">
        <v>6639</v>
      </c>
      <c r="P521" s="31"/>
    </row>
    <row r="522" spans="1:17" s="17" customFormat="1" ht="33" customHeight="1">
      <c r="A522" s="595"/>
      <c r="B522" s="198">
        <v>46232</v>
      </c>
      <c r="C522" s="3" t="s">
        <v>6495</v>
      </c>
      <c r="D522" s="3" t="s">
        <v>797</v>
      </c>
      <c r="E522" s="454" t="s">
        <v>6114</v>
      </c>
      <c r="F522" s="454" t="s">
        <v>6496</v>
      </c>
      <c r="G522" s="459" t="s">
        <v>6497</v>
      </c>
      <c r="H522" s="453" t="s">
        <v>6499</v>
      </c>
      <c r="I522" s="454" t="s">
        <v>6563</v>
      </c>
      <c r="J522" s="454" t="s">
        <v>6564</v>
      </c>
      <c r="K522" s="136" t="s">
        <v>6566</v>
      </c>
      <c r="L522" s="459" t="s">
        <v>4550</v>
      </c>
      <c r="M522" s="455">
        <v>3</v>
      </c>
      <c r="N522" s="422" t="s">
        <v>6631</v>
      </c>
      <c r="O522" s="430"/>
      <c r="P522" s="31"/>
    </row>
    <row r="523" spans="1:17" s="17" customFormat="1" ht="33" customHeight="1">
      <c r="A523" s="595"/>
      <c r="B523" s="198">
        <v>46232</v>
      </c>
      <c r="C523" s="3" t="s">
        <v>6592</v>
      </c>
      <c r="D523" s="3" t="s">
        <v>31</v>
      </c>
      <c r="E523" s="454" t="s">
        <v>6593</v>
      </c>
      <c r="F523" s="454" t="s">
        <v>6594</v>
      </c>
      <c r="G523" s="459" t="s">
        <v>6595</v>
      </c>
      <c r="H523" s="453" t="s">
        <v>6675</v>
      </c>
      <c r="I523" s="454" t="s">
        <v>6627</v>
      </c>
      <c r="J523" s="454"/>
      <c r="K523" s="136" t="s">
        <v>6596</v>
      </c>
      <c r="L523" s="459">
        <v>9080</v>
      </c>
      <c r="M523" s="455">
        <v>2</v>
      </c>
      <c r="N523" s="422"/>
      <c r="O523" s="430"/>
      <c r="P523" s="31"/>
    </row>
    <row r="524" spans="1:17" s="17" customFormat="1" ht="33" customHeight="1">
      <c r="A524" s="595"/>
      <c r="B524" s="198">
        <v>46232</v>
      </c>
      <c r="C524" s="3" t="s">
        <v>113</v>
      </c>
      <c r="D524" s="3" t="s">
        <v>31</v>
      </c>
      <c r="E524" s="454" t="s">
        <v>179</v>
      </c>
      <c r="F524" s="454" t="s">
        <v>6666</v>
      </c>
      <c r="G524" s="459" t="s">
        <v>207</v>
      </c>
      <c r="H524" s="453" t="s">
        <v>6667</v>
      </c>
      <c r="I524" s="454" t="s">
        <v>2127</v>
      </c>
      <c r="J524" s="454"/>
      <c r="K524" s="136" t="s">
        <v>181</v>
      </c>
      <c r="L524" s="459">
        <v>9080</v>
      </c>
      <c r="M524" s="455">
        <v>2</v>
      </c>
      <c r="N524" s="422"/>
      <c r="O524" s="430" t="s">
        <v>6668</v>
      </c>
      <c r="P524" s="31"/>
    </row>
    <row r="525" spans="1:17" s="17" customFormat="1" ht="33" customHeight="1">
      <c r="A525" s="595"/>
      <c r="B525" s="198">
        <v>46233</v>
      </c>
      <c r="C525" s="3" t="s">
        <v>21</v>
      </c>
      <c r="D525" s="3" t="s">
        <v>14</v>
      </c>
      <c r="E525" s="454" t="s">
        <v>1893</v>
      </c>
      <c r="F525" s="454" t="s">
        <v>4939</v>
      </c>
      <c r="G525" s="459" t="s">
        <v>482</v>
      </c>
      <c r="H525" s="453" t="s">
        <v>6699</v>
      </c>
      <c r="I525" s="454"/>
      <c r="J525" s="454" t="s">
        <v>6702</v>
      </c>
      <c r="K525" s="136" t="s">
        <v>6373</v>
      </c>
      <c r="L525" s="459" t="s">
        <v>6701</v>
      </c>
      <c r="M525" s="455">
        <v>2</v>
      </c>
      <c r="N525" s="422"/>
      <c r="O525" s="430"/>
      <c r="P525" s="31"/>
      <c r="Q525" s="771" t="s">
        <v>6674</v>
      </c>
    </row>
    <row r="526" spans="1:17" s="17" customFormat="1" ht="33" customHeight="1">
      <c r="A526" s="595"/>
      <c r="B526" s="198">
        <v>46233</v>
      </c>
      <c r="C526" s="3" t="s">
        <v>6495</v>
      </c>
      <c r="D526" s="3" t="s">
        <v>797</v>
      </c>
      <c r="E526" s="454" t="s">
        <v>6114</v>
      </c>
      <c r="F526" s="454" t="s">
        <v>6496</v>
      </c>
      <c r="G526" s="459" t="s">
        <v>6497</v>
      </c>
      <c r="H526" s="453" t="s">
        <v>6499</v>
      </c>
      <c r="I526" s="454" t="s">
        <v>6563</v>
      </c>
      <c r="J526" s="454" t="s">
        <v>6564</v>
      </c>
      <c r="K526" s="136" t="s">
        <v>6567</v>
      </c>
      <c r="L526" s="459" t="s">
        <v>4550</v>
      </c>
      <c r="M526" s="455">
        <v>3</v>
      </c>
      <c r="N526" s="422"/>
      <c r="O526" s="430"/>
      <c r="P526" s="31"/>
    </row>
    <row r="527" spans="1:17" s="17" customFormat="1" ht="33" customHeight="1">
      <c r="A527" s="595"/>
      <c r="B527" s="198">
        <v>46233</v>
      </c>
      <c r="C527" s="3" t="s">
        <v>21</v>
      </c>
      <c r="D527" s="3" t="s">
        <v>14</v>
      </c>
      <c r="E527" s="454" t="s">
        <v>6692</v>
      </c>
      <c r="F527" s="454" t="s">
        <v>5488</v>
      </c>
      <c r="G527" s="459" t="s">
        <v>5428</v>
      </c>
      <c r="H527" s="453" t="s">
        <v>6693</v>
      </c>
      <c r="I527" s="31" t="s">
        <v>6694</v>
      </c>
      <c r="J527" s="31" t="s">
        <v>6695</v>
      </c>
      <c r="K527" s="125" t="s">
        <v>6696</v>
      </c>
      <c r="L527" s="16" t="s">
        <v>6697</v>
      </c>
      <c r="M527" s="8">
        <v>2</v>
      </c>
      <c r="N527" s="422"/>
      <c r="O527" s="430"/>
      <c r="P527" s="31"/>
      <c r="Q527" s="771" t="s">
        <v>6674</v>
      </c>
    </row>
    <row r="528" spans="1:17" s="17" customFormat="1" ht="33" customHeight="1">
      <c r="A528" s="595"/>
      <c r="B528" s="399">
        <v>46234</v>
      </c>
      <c r="C528" s="3" t="s">
        <v>21</v>
      </c>
      <c r="D528" s="3" t="s">
        <v>14</v>
      </c>
      <c r="E528" s="454" t="s">
        <v>6692</v>
      </c>
      <c r="F528" s="454" t="s">
        <v>5488</v>
      </c>
      <c r="G528" s="459" t="s">
        <v>5428</v>
      </c>
      <c r="H528" s="453" t="s">
        <v>6693</v>
      </c>
      <c r="I528" s="31" t="s">
        <v>6694</v>
      </c>
      <c r="J528" s="31" t="s">
        <v>6695</v>
      </c>
      <c r="K528" s="125" t="s">
        <v>6696</v>
      </c>
      <c r="L528" s="16" t="s">
        <v>6697</v>
      </c>
      <c r="M528" s="8">
        <v>2</v>
      </c>
      <c r="N528" s="422"/>
      <c r="O528" s="430"/>
      <c r="P528" s="31"/>
      <c r="Q528" s="771" t="s">
        <v>6674</v>
      </c>
    </row>
    <row r="529" spans="1:16" s="17" customFormat="1" ht="33" customHeight="1">
      <c r="A529" s="595"/>
      <c r="B529" s="399">
        <v>46234</v>
      </c>
      <c r="C529" s="3" t="s">
        <v>21</v>
      </c>
      <c r="D529" s="3" t="s">
        <v>14</v>
      </c>
      <c r="E529" s="454" t="s">
        <v>1895</v>
      </c>
      <c r="F529" s="454">
        <v>7062</v>
      </c>
      <c r="G529" s="459" t="s">
        <v>142</v>
      </c>
      <c r="H529" s="453" t="s">
        <v>6645</v>
      </c>
      <c r="I529" s="454"/>
      <c r="J529" s="454" t="s">
        <v>6646</v>
      </c>
      <c r="K529" s="136" t="s">
        <v>15</v>
      </c>
      <c r="L529" s="459" t="s">
        <v>6647</v>
      </c>
      <c r="M529" s="455">
        <v>1</v>
      </c>
      <c r="N529" s="422"/>
      <c r="O529" s="430"/>
      <c r="P529" s="31"/>
    </row>
    <row r="530" spans="1:16" s="17" customFormat="1" ht="33" customHeight="1">
      <c r="A530" s="595"/>
      <c r="B530" s="399">
        <v>46234</v>
      </c>
      <c r="C530" s="4" t="s">
        <v>6495</v>
      </c>
      <c r="D530" s="4" t="s">
        <v>797</v>
      </c>
      <c r="E530" s="31" t="s">
        <v>6114</v>
      </c>
      <c r="F530" s="31" t="s">
        <v>6496</v>
      </c>
      <c r="G530" s="16" t="s">
        <v>6497</v>
      </c>
      <c r="H530" s="193" t="s">
        <v>6500</v>
      </c>
      <c r="I530" s="31" t="s">
        <v>6563</v>
      </c>
      <c r="J530" s="31" t="s">
        <v>6564</v>
      </c>
      <c r="K530" s="125" t="s">
        <v>42</v>
      </c>
      <c r="L530" s="16" t="s">
        <v>4550</v>
      </c>
      <c r="M530" s="8">
        <v>3</v>
      </c>
      <c r="N530" s="422"/>
      <c r="O530" s="430"/>
      <c r="P530" s="31" t="s">
        <v>6293</v>
      </c>
    </row>
    <row r="531" spans="1:16" s="17" customFormat="1" ht="33" customHeight="1">
      <c r="A531" s="595"/>
      <c r="B531" s="399">
        <v>46234</v>
      </c>
      <c r="C531" s="4"/>
      <c r="D531" s="4"/>
      <c r="E531" s="31"/>
      <c r="F531" s="31"/>
      <c r="G531" s="16"/>
      <c r="H531" s="193"/>
      <c r="I531" s="31"/>
      <c r="J531" s="31"/>
      <c r="K531" s="125"/>
      <c r="L531" s="16"/>
      <c r="M531" s="8"/>
      <c r="N531" s="422"/>
      <c r="O531" s="430"/>
      <c r="P531" s="31"/>
    </row>
    <row r="532" spans="1:16" s="17" customFormat="1" ht="33" customHeight="1">
      <c r="A532" s="596"/>
      <c r="B532" s="369">
        <v>46235</v>
      </c>
      <c r="C532" s="4"/>
      <c r="D532" s="4"/>
      <c r="E532" s="31"/>
      <c r="F532" s="31"/>
      <c r="G532" s="16"/>
      <c r="H532" s="193"/>
      <c r="I532" s="31"/>
      <c r="J532" s="31"/>
      <c r="K532" s="125"/>
      <c r="L532" s="16"/>
      <c r="M532" s="8"/>
      <c r="N532" s="31"/>
      <c r="O532" s="432"/>
      <c r="P532" s="31"/>
    </row>
    <row r="533" spans="1:16" s="17" customFormat="1" ht="33" customHeight="1">
      <c r="A533" s="322" t="s">
        <v>0</v>
      </c>
      <c r="B533" s="323" t="s">
        <v>1</v>
      </c>
      <c r="C533" s="322" t="s">
        <v>2</v>
      </c>
      <c r="D533" s="322" t="s">
        <v>3</v>
      </c>
      <c r="E533" s="322" t="s">
        <v>4</v>
      </c>
      <c r="F533" s="322" t="s">
        <v>5</v>
      </c>
      <c r="G533" s="322" t="s">
        <v>6</v>
      </c>
      <c r="H533" s="324" t="s">
        <v>7</v>
      </c>
      <c r="I533" s="322" t="s">
        <v>8</v>
      </c>
      <c r="J533" s="322" t="s">
        <v>9</v>
      </c>
      <c r="K533" s="325" t="s">
        <v>10</v>
      </c>
      <c r="L533" s="326" t="s">
        <v>11</v>
      </c>
      <c r="M533" s="322" t="s">
        <v>12</v>
      </c>
      <c r="N533" s="327" t="s">
        <v>13</v>
      </c>
      <c r="O533" s="427" t="s">
        <v>63</v>
      </c>
      <c r="P533" s="322" t="s">
        <v>123</v>
      </c>
    </row>
    <row r="534" spans="1:16" s="17" customFormat="1" ht="33" customHeight="1">
      <c r="A534" s="594" t="s">
        <v>6329</v>
      </c>
      <c r="B534" s="399">
        <v>46237</v>
      </c>
      <c r="C534" s="4"/>
      <c r="D534" s="4"/>
      <c r="E534" s="31"/>
      <c r="F534" s="31"/>
      <c r="G534" s="16"/>
      <c r="H534" s="404" t="s">
        <v>6531</v>
      </c>
      <c r="I534" s="31"/>
      <c r="J534" s="31"/>
      <c r="K534" s="125"/>
      <c r="L534" s="16"/>
      <c r="M534" s="8"/>
      <c r="N534" s="31"/>
      <c r="O534" s="431"/>
      <c r="P534" s="31"/>
    </row>
    <row r="535" spans="1:16" s="17" customFormat="1" ht="33" customHeight="1">
      <c r="A535" s="595"/>
      <c r="B535" s="399">
        <v>46237</v>
      </c>
      <c r="C535" s="4" t="s">
        <v>6707</v>
      </c>
      <c r="D535" s="4" t="s">
        <v>6708</v>
      </c>
      <c r="E535" s="31" t="s">
        <v>6709</v>
      </c>
      <c r="F535" s="31">
        <v>7065</v>
      </c>
      <c r="G535" s="16" t="s">
        <v>6710</v>
      </c>
      <c r="H535" s="193" t="s">
        <v>6706</v>
      </c>
      <c r="I535" s="31" t="s">
        <v>6711</v>
      </c>
      <c r="J535" s="31"/>
      <c r="K535" s="125"/>
      <c r="L535" s="16" t="s">
        <v>6712</v>
      </c>
      <c r="M535" s="8">
        <v>1</v>
      </c>
      <c r="N535" s="31"/>
      <c r="O535" s="431"/>
      <c r="P535" s="31"/>
    </row>
    <row r="536" spans="1:16" s="17" customFormat="1" ht="33" customHeight="1">
      <c r="A536" s="595"/>
      <c r="B536" s="399">
        <v>46237</v>
      </c>
      <c r="C536" s="4" t="s">
        <v>6707</v>
      </c>
      <c r="D536" s="4" t="s">
        <v>6708</v>
      </c>
      <c r="E536" s="31" t="s">
        <v>6713</v>
      </c>
      <c r="F536" s="31">
        <v>7065</v>
      </c>
      <c r="G536" s="16" t="s">
        <v>6714</v>
      </c>
      <c r="H536" s="193" t="s">
        <v>6715</v>
      </c>
      <c r="I536" s="31" t="s">
        <v>6716</v>
      </c>
      <c r="J536" s="31" t="s">
        <v>6678</v>
      </c>
      <c r="K536" s="125"/>
      <c r="L536" s="16"/>
      <c r="M536" s="8"/>
      <c r="N536" s="31"/>
      <c r="O536" s="431"/>
      <c r="P536" s="31"/>
    </row>
    <row r="537" spans="1:16" s="17" customFormat="1" ht="33" customHeight="1">
      <c r="A537" s="595"/>
      <c r="B537" s="399">
        <v>46238</v>
      </c>
      <c r="C537" s="4"/>
      <c r="D537" s="4"/>
      <c r="E537" s="291"/>
      <c r="F537" s="31"/>
      <c r="G537" s="16"/>
      <c r="H537" s="404" t="s">
        <v>6531</v>
      </c>
      <c r="I537" s="31"/>
      <c r="J537" s="31"/>
      <c r="K537" s="125"/>
      <c r="L537" s="16"/>
      <c r="M537" s="8"/>
      <c r="N537" s="31"/>
      <c r="O537" s="431"/>
      <c r="P537" s="31"/>
    </row>
    <row r="538" spans="1:16" s="17" customFormat="1" ht="33" customHeight="1">
      <c r="A538" s="595"/>
      <c r="B538" s="399">
        <v>46238</v>
      </c>
      <c r="C538" s="4" t="s">
        <v>6707</v>
      </c>
      <c r="D538" s="4" t="s">
        <v>6708</v>
      </c>
      <c r="E538" s="31" t="s">
        <v>6709</v>
      </c>
      <c r="F538" s="31">
        <v>7065</v>
      </c>
      <c r="G538" s="16" t="s">
        <v>6710</v>
      </c>
      <c r="H538" s="193" t="s">
        <v>6706</v>
      </c>
      <c r="I538" s="31" t="s">
        <v>6711</v>
      </c>
      <c r="J538" s="31"/>
      <c r="K538" s="125"/>
      <c r="L538" s="16" t="s">
        <v>6712</v>
      </c>
      <c r="M538" s="8">
        <v>1</v>
      </c>
      <c r="N538" s="31"/>
      <c r="O538" s="431"/>
      <c r="P538" s="31"/>
    </row>
    <row r="539" spans="1:16" s="17" customFormat="1" ht="33" customHeight="1">
      <c r="A539" s="595"/>
      <c r="B539" s="399">
        <v>46238</v>
      </c>
      <c r="C539" s="4" t="s">
        <v>6707</v>
      </c>
      <c r="D539" s="4" t="s">
        <v>6708</v>
      </c>
      <c r="E539" s="31" t="s">
        <v>6713</v>
      </c>
      <c r="F539" s="31">
        <v>7065</v>
      </c>
      <c r="G539" s="16" t="s">
        <v>6714</v>
      </c>
      <c r="H539" s="193" t="s">
        <v>6715</v>
      </c>
      <c r="I539" s="31" t="s">
        <v>6716</v>
      </c>
      <c r="J539" s="31" t="s">
        <v>6678</v>
      </c>
      <c r="K539" s="125"/>
      <c r="L539" s="16"/>
      <c r="M539" s="8"/>
      <c r="N539" s="31"/>
      <c r="O539" s="431"/>
      <c r="P539" s="31"/>
    </row>
    <row r="540" spans="1:16" s="17" customFormat="1" ht="33" customHeight="1">
      <c r="A540" s="595"/>
      <c r="B540" s="399">
        <v>46239</v>
      </c>
      <c r="C540" s="4"/>
      <c r="D540" s="4"/>
      <c r="E540" s="31"/>
      <c r="F540" s="31"/>
      <c r="G540" s="16"/>
      <c r="H540" s="404" t="s">
        <v>6531</v>
      </c>
      <c r="I540" s="31"/>
      <c r="J540" s="193"/>
      <c r="K540" s="125"/>
      <c r="L540" s="16"/>
      <c r="M540" s="8"/>
      <c r="N540" s="422"/>
      <c r="O540" s="430"/>
      <c r="P540" s="31"/>
    </row>
    <row r="541" spans="1:16" s="17" customFormat="1" ht="33" customHeight="1">
      <c r="A541" s="595"/>
      <c r="B541" s="399">
        <v>46239</v>
      </c>
      <c r="C541" s="4" t="s">
        <v>6707</v>
      </c>
      <c r="D541" s="4" t="s">
        <v>6708</v>
      </c>
      <c r="E541" s="31" t="s">
        <v>6709</v>
      </c>
      <c r="F541" s="31">
        <v>7065</v>
      </c>
      <c r="G541" s="16" t="s">
        <v>6710</v>
      </c>
      <c r="H541" s="193" t="s">
        <v>6706</v>
      </c>
      <c r="I541" s="31" t="s">
        <v>6711</v>
      </c>
      <c r="J541" s="31"/>
      <c r="K541" s="125"/>
      <c r="L541" s="16" t="s">
        <v>6712</v>
      </c>
      <c r="M541" s="8">
        <v>1</v>
      </c>
      <c r="N541" s="422"/>
      <c r="O541" s="430"/>
      <c r="P541" s="31"/>
    </row>
    <row r="542" spans="1:16" s="17" customFormat="1" ht="33" customHeight="1">
      <c r="A542" s="595"/>
      <c r="B542" s="399">
        <v>46239</v>
      </c>
      <c r="C542" s="4" t="s">
        <v>6707</v>
      </c>
      <c r="D542" s="4" t="s">
        <v>6708</v>
      </c>
      <c r="E542" s="31" t="s">
        <v>6713</v>
      </c>
      <c r="F542" s="31">
        <v>7065</v>
      </c>
      <c r="G542" s="16" t="s">
        <v>6714</v>
      </c>
      <c r="H542" s="193" t="s">
        <v>6715</v>
      </c>
      <c r="I542" s="31" t="s">
        <v>6716</v>
      </c>
      <c r="J542" s="31" t="s">
        <v>6678</v>
      </c>
      <c r="K542" s="125"/>
      <c r="L542" s="16"/>
      <c r="M542" s="8"/>
      <c r="N542" s="422"/>
      <c r="O542" s="430"/>
      <c r="P542" s="31"/>
    </row>
    <row r="543" spans="1:16" s="17" customFormat="1" ht="33" customHeight="1">
      <c r="A543" s="595"/>
      <c r="B543" s="399">
        <v>46240</v>
      </c>
      <c r="C543" s="4" t="s">
        <v>6707</v>
      </c>
      <c r="D543" s="4" t="s">
        <v>6708</v>
      </c>
      <c r="E543" s="31" t="s">
        <v>6709</v>
      </c>
      <c r="F543" s="31">
        <v>7065</v>
      </c>
      <c r="G543" s="16" t="s">
        <v>6710</v>
      </c>
      <c r="H543" s="193" t="s">
        <v>6706</v>
      </c>
      <c r="I543" s="31" t="s">
        <v>6711</v>
      </c>
      <c r="J543" s="31"/>
      <c r="K543" s="125"/>
      <c r="L543" s="16">
        <v>9080</v>
      </c>
      <c r="M543" s="8">
        <v>1</v>
      </c>
      <c r="N543" s="422"/>
      <c r="O543" s="430"/>
      <c r="P543" s="31"/>
    </row>
    <row r="544" spans="1:16" s="17" customFormat="1" ht="33" customHeight="1">
      <c r="A544" s="595"/>
      <c r="B544" s="399">
        <v>46240</v>
      </c>
      <c r="C544" s="3" t="s">
        <v>21</v>
      </c>
      <c r="D544" s="3" t="s">
        <v>14</v>
      </c>
      <c r="E544" s="454" t="s">
        <v>6692</v>
      </c>
      <c r="F544" s="454" t="s">
        <v>5488</v>
      </c>
      <c r="G544" s="459" t="s">
        <v>5428</v>
      </c>
      <c r="H544" s="453" t="s">
        <v>6717</v>
      </c>
      <c r="I544" s="31"/>
      <c r="J544" s="193" t="s">
        <v>6718</v>
      </c>
      <c r="K544" s="125"/>
      <c r="L544" s="16" t="s">
        <v>6739</v>
      </c>
      <c r="M544" s="8">
        <v>1</v>
      </c>
      <c r="N544" s="422"/>
      <c r="O544" s="430"/>
      <c r="P544" s="31"/>
    </row>
    <row r="545" spans="1:16" s="17" customFormat="1" ht="33" customHeight="1">
      <c r="A545" s="595"/>
      <c r="B545" s="399">
        <v>46241</v>
      </c>
      <c r="C545" s="4" t="s">
        <v>6707</v>
      </c>
      <c r="D545" s="4" t="s">
        <v>6708</v>
      </c>
      <c r="E545" s="31" t="s">
        <v>6709</v>
      </c>
      <c r="F545" s="31">
        <v>7065</v>
      </c>
      <c r="G545" s="16" t="s">
        <v>6710</v>
      </c>
      <c r="H545" s="193" t="s">
        <v>6706</v>
      </c>
      <c r="I545" s="31" t="s">
        <v>6711</v>
      </c>
      <c r="J545" s="31"/>
      <c r="K545" s="125"/>
      <c r="L545" s="16">
        <v>9080</v>
      </c>
      <c r="M545" s="8">
        <v>1</v>
      </c>
      <c r="N545" s="422"/>
      <c r="O545" s="430"/>
      <c r="P545" s="31"/>
    </row>
    <row r="546" spans="1:16" s="17" customFormat="1" ht="33" customHeight="1">
      <c r="A546" s="595"/>
      <c r="B546" s="399">
        <v>46241</v>
      </c>
      <c r="C546" s="3" t="s">
        <v>21</v>
      </c>
      <c r="D546" s="3" t="s">
        <v>14</v>
      </c>
      <c r="E546" s="454" t="s">
        <v>6692</v>
      </c>
      <c r="F546" s="454" t="s">
        <v>5488</v>
      </c>
      <c r="G546" s="459" t="s">
        <v>5428</v>
      </c>
      <c r="H546" s="453" t="s">
        <v>6705</v>
      </c>
      <c r="I546" s="31"/>
      <c r="J546" s="193" t="s">
        <v>6718</v>
      </c>
      <c r="K546" s="125"/>
      <c r="L546" s="16" t="s">
        <v>6739</v>
      </c>
      <c r="M546" s="8">
        <v>1</v>
      </c>
      <c r="N546" s="422"/>
      <c r="O546" s="430"/>
      <c r="P546" s="31"/>
    </row>
    <row r="547" spans="1:16" s="17" customFormat="1" ht="33" customHeight="1">
      <c r="A547" s="595"/>
      <c r="B547" s="399">
        <v>46242</v>
      </c>
      <c r="C547" s="4"/>
      <c r="D547" s="4"/>
      <c r="E547" s="31"/>
      <c r="F547" s="31"/>
      <c r="G547" s="16"/>
      <c r="H547" s="193"/>
      <c r="I547" s="31"/>
      <c r="J547" s="193"/>
      <c r="K547" s="125"/>
      <c r="L547" s="16"/>
      <c r="M547" s="8"/>
      <c r="N547" s="422"/>
      <c r="O547" s="430"/>
      <c r="P547" s="31"/>
    </row>
    <row r="548" spans="1:16" s="17" customFormat="1" ht="33" customHeight="1">
      <c r="A548" s="943" t="s">
        <v>6741</v>
      </c>
      <c r="B548" s="757" t="s">
        <v>6640</v>
      </c>
      <c r="C548" s="272" t="s">
        <v>21</v>
      </c>
      <c r="D548" s="272" t="s">
        <v>14</v>
      </c>
      <c r="E548" s="759" t="s">
        <v>211</v>
      </c>
      <c r="F548" s="759" t="s">
        <v>5754</v>
      </c>
      <c r="G548" s="760" t="s">
        <v>18</v>
      </c>
      <c r="H548" s="758" t="s">
        <v>6350</v>
      </c>
      <c r="I548" s="759"/>
      <c r="J548" s="758"/>
      <c r="K548" s="761"/>
      <c r="L548" s="760"/>
      <c r="M548" s="762"/>
      <c r="N548" s="763"/>
      <c r="O548" s="768"/>
      <c r="P548" s="31"/>
    </row>
    <row r="549" spans="1:16" s="17" customFormat="1" ht="33" customHeight="1">
      <c r="A549" s="944"/>
      <c r="B549" s="757" t="s">
        <v>6640</v>
      </c>
      <c r="C549" s="272" t="s">
        <v>21</v>
      </c>
      <c r="D549" s="272" t="s">
        <v>14</v>
      </c>
      <c r="E549" s="759" t="s">
        <v>107</v>
      </c>
      <c r="F549" s="759" t="s">
        <v>2959</v>
      </c>
      <c r="G549" s="760" t="s">
        <v>6642</v>
      </c>
      <c r="H549" s="758" t="s">
        <v>6643</v>
      </c>
      <c r="I549" s="759"/>
      <c r="J549" s="759" t="s">
        <v>6634</v>
      </c>
      <c r="K549" s="761" t="s">
        <v>15</v>
      </c>
      <c r="L549" s="760" t="s">
        <v>4550</v>
      </c>
      <c r="M549" s="762"/>
      <c r="N549" s="763"/>
      <c r="O549" s="768"/>
      <c r="P549" s="31"/>
    </row>
    <row r="550" spans="1:16" s="17" customFormat="1" ht="33" customHeight="1">
      <c r="A550" s="944"/>
      <c r="B550" s="757" t="s">
        <v>6641</v>
      </c>
      <c r="C550" s="272" t="s">
        <v>21</v>
      </c>
      <c r="D550" s="272" t="s">
        <v>14</v>
      </c>
      <c r="E550" s="759" t="s">
        <v>107</v>
      </c>
      <c r="F550" s="759" t="s">
        <v>2959</v>
      </c>
      <c r="G550" s="760" t="s">
        <v>1895</v>
      </c>
      <c r="H550" s="758" t="s">
        <v>6635</v>
      </c>
      <c r="I550" s="759"/>
      <c r="J550" s="759" t="s">
        <v>6634</v>
      </c>
      <c r="K550" s="761" t="s">
        <v>15</v>
      </c>
      <c r="L550" s="760" t="s">
        <v>4550</v>
      </c>
      <c r="M550" s="762"/>
      <c r="N550" s="763"/>
      <c r="O550" s="765"/>
      <c r="P550" s="31"/>
    </row>
    <row r="551" spans="1:16" s="17" customFormat="1" ht="33" customHeight="1">
      <c r="A551" s="945"/>
      <c r="B551" s="757" t="s">
        <v>6575</v>
      </c>
      <c r="C551" s="272" t="s">
        <v>21</v>
      </c>
      <c r="D551" s="272" t="s">
        <v>14</v>
      </c>
      <c r="E551" s="758" t="s">
        <v>107</v>
      </c>
      <c r="F551" s="759" t="s">
        <v>3386</v>
      </c>
      <c r="G551" s="760" t="s">
        <v>102</v>
      </c>
      <c r="H551" s="758" t="s">
        <v>6578</v>
      </c>
      <c r="I551" s="759" t="s">
        <v>1948</v>
      </c>
      <c r="J551" s="759" t="s">
        <v>6591</v>
      </c>
      <c r="K551" s="761" t="s">
        <v>15</v>
      </c>
      <c r="L551" s="760" t="s">
        <v>6575</v>
      </c>
      <c r="M551" s="762">
        <v>3</v>
      </c>
      <c r="N551" s="764"/>
      <c r="O551" s="765"/>
      <c r="P551" s="31"/>
    </row>
    <row r="552" spans="1:16" s="17" customFormat="1" ht="33" customHeight="1">
      <c r="A552" s="322" t="s">
        <v>0</v>
      </c>
      <c r="B552" s="323" t="s">
        <v>1</v>
      </c>
      <c r="C552" s="322" t="s">
        <v>2</v>
      </c>
      <c r="D552" s="322" t="s">
        <v>3</v>
      </c>
      <c r="E552" s="322" t="s">
        <v>4</v>
      </c>
      <c r="F552" s="322" t="s">
        <v>5</v>
      </c>
      <c r="G552" s="322" t="s">
        <v>6</v>
      </c>
      <c r="H552" s="324" t="s">
        <v>7</v>
      </c>
      <c r="I552" s="322" t="s">
        <v>8</v>
      </c>
      <c r="J552" s="322" t="s">
        <v>9</v>
      </c>
      <c r="K552" s="325" t="s">
        <v>10</v>
      </c>
      <c r="L552" s="326" t="s">
        <v>11</v>
      </c>
      <c r="M552" s="322" t="s">
        <v>12</v>
      </c>
      <c r="N552" s="327" t="s">
        <v>13</v>
      </c>
      <c r="O552" s="427" t="s">
        <v>63</v>
      </c>
      <c r="P552" s="322" t="s">
        <v>123</v>
      </c>
    </row>
    <row r="553" spans="1:16" s="17" customFormat="1" ht="33" customHeight="1">
      <c r="A553" s="594" t="s">
        <v>6330</v>
      </c>
      <c r="B553" s="399">
        <v>46244</v>
      </c>
      <c r="C553" s="4" t="s">
        <v>6707</v>
      </c>
      <c r="D553" s="4" t="s">
        <v>151</v>
      </c>
      <c r="E553" s="31" t="s">
        <v>6709</v>
      </c>
      <c r="F553" s="31">
        <v>7065</v>
      </c>
      <c r="G553" s="16" t="s">
        <v>145</v>
      </c>
      <c r="H553" s="193" t="s">
        <v>6706</v>
      </c>
      <c r="I553" s="31" t="s">
        <v>6312</v>
      </c>
      <c r="J553" s="31"/>
      <c r="K553" s="277" t="s">
        <v>6731</v>
      </c>
      <c r="L553" s="16">
        <v>9080</v>
      </c>
      <c r="M553" s="8">
        <v>1</v>
      </c>
      <c r="N553" s="31"/>
      <c r="O553" s="431"/>
      <c r="P553" s="31"/>
    </row>
    <row r="554" spans="1:16" s="17" customFormat="1" ht="33" customHeight="1">
      <c r="A554" s="595"/>
      <c r="B554" s="399">
        <v>46245</v>
      </c>
      <c r="C554" s="3" t="s">
        <v>21</v>
      </c>
      <c r="D554" s="3" t="s">
        <v>17</v>
      </c>
      <c r="E554" s="454" t="s">
        <v>78</v>
      </c>
      <c r="F554" s="454" t="s">
        <v>1645</v>
      </c>
      <c r="G554" s="459" t="s">
        <v>23</v>
      </c>
      <c r="H554" s="453" t="s">
        <v>6738</v>
      </c>
      <c r="I554" s="31" t="s">
        <v>202</v>
      </c>
      <c r="J554" s="31" t="s">
        <v>3353</v>
      </c>
      <c r="K554" s="125" t="s">
        <v>181</v>
      </c>
      <c r="L554" s="16" t="s">
        <v>4379</v>
      </c>
      <c r="M554" s="8">
        <v>2</v>
      </c>
      <c r="N554" s="422"/>
      <c r="O554" s="430"/>
      <c r="P554" s="31" t="s">
        <v>6754</v>
      </c>
    </row>
    <row r="555" spans="1:16" s="17" customFormat="1" ht="33" customHeight="1">
      <c r="A555" s="595"/>
      <c r="B555" s="399">
        <v>46245</v>
      </c>
      <c r="C555" s="4" t="s">
        <v>6707</v>
      </c>
      <c r="D555" s="4" t="s">
        <v>151</v>
      </c>
      <c r="E555" s="31" t="s">
        <v>6709</v>
      </c>
      <c r="F555" s="31">
        <v>7065</v>
      </c>
      <c r="G555" s="16" t="s">
        <v>145</v>
      </c>
      <c r="H555" s="193" t="s">
        <v>6706</v>
      </c>
      <c r="I555" s="31" t="s">
        <v>6312</v>
      </c>
      <c r="J555" s="31"/>
      <c r="K555" s="277" t="s">
        <v>6731</v>
      </c>
      <c r="L555" s="16">
        <v>9080</v>
      </c>
      <c r="M555" s="8">
        <v>1</v>
      </c>
      <c r="N555" s="31" t="s">
        <v>6730</v>
      </c>
      <c r="O555" s="431"/>
      <c r="P555" s="31"/>
    </row>
    <row r="556" spans="1:16" s="17" customFormat="1" ht="33.75" customHeight="1">
      <c r="A556" s="595"/>
      <c r="B556" s="399">
        <v>46246</v>
      </c>
      <c r="C556" s="3" t="s">
        <v>113</v>
      </c>
      <c r="D556" s="3" t="s">
        <v>157</v>
      </c>
      <c r="E556" s="454" t="s">
        <v>6727</v>
      </c>
      <c r="F556" s="454" t="s">
        <v>6774</v>
      </c>
      <c r="G556" s="459" t="s">
        <v>150</v>
      </c>
      <c r="H556" s="453" t="s">
        <v>6736</v>
      </c>
      <c r="I556" s="31" t="s">
        <v>120</v>
      </c>
      <c r="J556" s="31"/>
      <c r="K556" s="125" t="s">
        <v>181</v>
      </c>
      <c r="L556" s="16" t="s">
        <v>6773</v>
      </c>
      <c r="M556" s="8">
        <v>1</v>
      </c>
      <c r="N556" s="31"/>
      <c r="O556" s="431"/>
      <c r="P556" s="31"/>
    </row>
    <row r="557" spans="1:16" s="17" customFormat="1" ht="33" customHeight="1">
      <c r="A557" s="595"/>
      <c r="B557" s="399">
        <v>46246</v>
      </c>
      <c r="C557" s="3" t="s">
        <v>21</v>
      </c>
      <c r="D557" s="3" t="s">
        <v>14</v>
      </c>
      <c r="E557" s="454" t="s">
        <v>6692</v>
      </c>
      <c r="F557" s="454" t="s">
        <v>5488</v>
      </c>
      <c r="G557" s="459" t="s">
        <v>5428</v>
      </c>
      <c r="H557" s="193" t="s">
        <v>6784</v>
      </c>
      <c r="I557" s="31" t="s">
        <v>168</v>
      </c>
      <c r="J557" s="31" t="s">
        <v>6783</v>
      </c>
      <c r="K557" s="125" t="s">
        <v>181</v>
      </c>
      <c r="L557" s="16" t="s">
        <v>6732</v>
      </c>
      <c r="M557" s="8">
        <v>2</v>
      </c>
      <c r="N557" s="31" t="s">
        <v>6735</v>
      </c>
      <c r="O557" s="430" t="s">
        <v>6790</v>
      </c>
      <c r="P557" s="31"/>
    </row>
    <row r="558" spans="1:16" s="17" customFormat="1" ht="33" customHeight="1">
      <c r="A558" s="595"/>
      <c r="B558" s="399">
        <v>46246</v>
      </c>
      <c r="C558" s="4" t="s">
        <v>6707</v>
      </c>
      <c r="D558" s="4" t="s">
        <v>151</v>
      </c>
      <c r="E558" s="31" t="s">
        <v>6709</v>
      </c>
      <c r="F558" s="31">
        <v>7065</v>
      </c>
      <c r="G558" s="16" t="s">
        <v>145</v>
      </c>
      <c r="H558" s="193" t="s">
        <v>6706</v>
      </c>
      <c r="I558" s="31" t="s">
        <v>6312</v>
      </c>
      <c r="J558" s="31"/>
      <c r="K558" s="277" t="s">
        <v>6731</v>
      </c>
      <c r="L558" s="16">
        <v>9080</v>
      </c>
      <c r="M558" s="8">
        <v>1</v>
      </c>
      <c r="N558" s="422"/>
      <c r="O558" s="430"/>
      <c r="P558" s="31"/>
    </row>
    <row r="559" spans="1:16" s="17" customFormat="1" ht="33" customHeight="1">
      <c r="A559" s="595"/>
      <c r="B559" s="399">
        <v>46246</v>
      </c>
      <c r="C559" s="3" t="s">
        <v>6688</v>
      </c>
      <c r="D559" s="3" t="s">
        <v>6689</v>
      </c>
      <c r="E559" s="454" t="s">
        <v>1787</v>
      </c>
      <c r="F559" s="454" t="s">
        <v>6690</v>
      </c>
      <c r="G559" s="459" t="s">
        <v>6691</v>
      </c>
      <c r="H559" s="453" t="s">
        <v>6785</v>
      </c>
      <c r="I559" s="31"/>
      <c r="J559" s="31" t="s">
        <v>3074</v>
      </c>
      <c r="K559" s="125" t="s">
        <v>42</v>
      </c>
      <c r="L559" s="16" t="s">
        <v>6734</v>
      </c>
      <c r="M559" s="8">
        <v>1</v>
      </c>
      <c r="N559" s="422"/>
      <c r="O559" s="430" t="s">
        <v>6789</v>
      </c>
      <c r="P559" s="31"/>
    </row>
    <row r="560" spans="1:16" s="17" customFormat="1" ht="33" customHeight="1">
      <c r="A560" s="595"/>
      <c r="B560" s="399">
        <v>46246</v>
      </c>
      <c r="C560" s="3" t="s">
        <v>21</v>
      </c>
      <c r="D560" s="3" t="s">
        <v>14</v>
      </c>
      <c r="E560" s="454" t="s">
        <v>107</v>
      </c>
      <c r="F560" s="454" t="s">
        <v>2959</v>
      </c>
      <c r="G560" s="459" t="s">
        <v>170</v>
      </c>
      <c r="H560" s="453" t="s">
        <v>6680</v>
      </c>
      <c r="I560" s="31" t="s">
        <v>4168</v>
      </c>
      <c r="J560" s="31" t="s">
        <v>3454</v>
      </c>
      <c r="K560" s="125" t="s">
        <v>15</v>
      </c>
      <c r="L560" s="16" t="s">
        <v>4379</v>
      </c>
      <c r="M560" s="8">
        <v>2</v>
      </c>
      <c r="N560" s="422"/>
      <c r="O560" s="430" t="s">
        <v>6787</v>
      </c>
      <c r="P560" s="31"/>
    </row>
    <row r="561" spans="1:16" s="17" customFormat="1" ht="33" customHeight="1">
      <c r="A561" s="595"/>
      <c r="B561" s="399">
        <v>46247</v>
      </c>
      <c r="C561" s="3" t="s">
        <v>21</v>
      </c>
      <c r="D561" s="3" t="s">
        <v>14</v>
      </c>
      <c r="E561" s="454" t="s">
        <v>107</v>
      </c>
      <c r="F561" s="454" t="s">
        <v>2959</v>
      </c>
      <c r="G561" s="459" t="s">
        <v>6679</v>
      </c>
      <c r="H561" s="453" t="s">
        <v>6794</v>
      </c>
      <c r="I561" s="193" t="s">
        <v>6801</v>
      </c>
      <c r="J561" s="31" t="s">
        <v>6678</v>
      </c>
      <c r="K561" s="125" t="s">
        <v>6733</v>
      </c>
      <c r="L561" s="16" t="s">
        <v>4379</v>
      </c>
      <c r="M561" s="8">
        <v>4</v>
      </c>
      <c r="N561" s="422"/>
      <c r="O561" s="430" t="s">
        <v>6788</v>
      </c>
      <c r="P561" s="31"/>
    </row>
    <row r="562" spans="1:16" s="17" customFormat="1" ht="33" customHeight="1">
      <c r="A562" s="595"/>
      <c r="B562" s="399">
        <v>46247</v>
      </c>
      <c r="C562" s="3" t="s">
        <v>21</v>
      </c>
      <c r="D562" s="3" t="s">
        <v>14</v>
      </c>
      <c r="E562" s="454" t="s">
        <v>107</v>
      </c>
      <c r="F562" s="454" t="s">
        <v>2959</v>
      </c>
      <c r="G562" s="459" t="s">
        <v>3504</v>
      </c>
      <c r="H562" s="453" t="s">
        <v>6753</v>
      </c>
      <c r="I562" s="31" t="s">
        <v>6802</v>
      </c>
      <c r="J562" s="31" t="s">
        <v>6804</v>
      </c>
      <c r="K562" s="125" t="s">
        <v>15</v>
      </c>
      <c r="L562" s="16" t="s">
        <v>33</v>
      </c>
      <c r="M562" s="8">
        <v>4</v>
      </c>
      <c r="N562" s="422"/>
      <c r="O562" s="430" t="s">
        <v>6786</v>
      </c>
      <c r="P562" s="31"/>
    </row>
    <row r="563" spans="1:16" s="17" customFormat="1" ht="33" customHeight="1">
      <c r="A563" s="595"/>
      <c r="B563" s="399">
        <v>46247</v>
      </c>
      <c r="C563" s="3" t="s">
        <v>21</v>
      </c>
      <c r="D563" s="3" t="s">
        <v>14</v>
      </c>
      <c r="E563" s="454" t="s">
        <v>107</v>
      </c>
      <c r="F563" s="454" t="s">
        <v>2959</v>
      </c>
      <c r="G563" s="459" t="s">
        <v>6752</v>
      </c>
      <c r="H563" s="453" t="s">
        <v>6805</v>
      </c>
      <c r="I563" s="31" t="s">
        <v>6520</v>
      </c>
      <c r="J563" s="31" t="s">
        <v>6804</v>
      </c>
      <c r="K563" s="125" t="s">
        <v>15</v>
      </c>
      <c r="L563" s="16" t="s">
        <v>33</v>
      </c>
      <c r="M563" s="8">
        <v>4</v>
      </c>
      <c r="N563" s="422"/>
      <c r="O563" s="430" t="s">
        <v>5645</v>
      </c>
      <c r="P563" s="31"/>
    </row>
    <row r="564" spans="1:16" s="17" customFormat="1" ht="33" customHeight="1">
      <c r="A564" s="595"/>
      <c r="B564" s="399">
        <v>46247</v>
      </c>
      <c r="C564" s="4" t="s">
        <v>6707</v>
      </c>
      <c r="D564" s="4" t="s">
        <v>151</v>
      </c>
      <c r="E564" s="31" t="s">
        <v>6709</v>
      </c>
      <c r="F564" s="31">
        <v>7065</v>
      </c>
      <c r="G564" s="16" t="s">
        <v>145</v>
      </c>
      <c r="H564" s="193" t="s">
        <v>6706</v>
      </c>
      <c r="I564" s="31" t="s">
        <v>6312</v>
      </c>
      <c r="J564" s="31"/>
      <c r="K564" s="277" t="s">
        <v>6731</v>
      </c>
      <c r="L564" s="16">
        <v>9080</v>
      </c>
      <c r="M564" s="8">
        <v>1</v>
      </c>
      <c r="N564" s="422"/>
      <c r="O564" s="430"/>
      <c r="P564" s="31"/>
    </row>
    <row r="565" spans="1:16" s="17" customFormat="1" ht="33" customHeight="1">
      <c r="A565" s="595"/>
      <c r="B565" s="399">
        <v>46247</v>
      </c>
      <c r="C565" s="4" t="s">
        <v>21</v>
      </c>
      <c r="D565" s="4" t="s">
        <v>6775</v>
      </c>
      <c r="E565" s="31" t="s">
        <v>1787</v>
      </c>
      <c r="F565" s="31" t="s">
        <v>6776</v>
      </c>
      <c r="G565" s="16" t="s">
        <v>6780</v>
      </c>
      <c r="H565" s="193" t="s">
        <v>6781</v>
      </c>
      <c r="I565" s="31"/>
      <c r="J565" s="31" t="s">
        <v>6772</v>
      </c>
      <c r="K565" s="277" t="s">
        <v>6782</v>
      </c>
      <c r="L565" s="16" t="s">
        <v>6760</v>
      </c>
      <c r="M565" s="8">
        <v>2</v>
      </c>
      <c r="N565" s="422"/>
      <c r="O565" s="430" t="s">
        <v>5835</v>
      </c>
      <c r="P565" s="31"/>
    </row>
    <row r="566" spans="1:16" s="17" customFormat="1" ht="33" customHeight="1">
      <c r="A566" s="595"/>
      <c r="B566" s="399">
        <v>46248</v>
      </c>
      <c r="C566" s="4" t="s">
        <v>21</v>
      </c>
      <c r="D566" s="4" t="s">
        <v>14</v>
      </c>
      <c r="E566" s="31" t="s">
        <v>6811</v>
      </c>
      <c r="F566" s="31" t="s">
        <v>6812</v>
      </c>
      <c r="G566" s="16" t="s">
        <v>6806</v>
      </c>
      <c r="H566" s="193" t="s">
        <v>6832</v>
      </c>
      <c r="I566" s="31"/>
      <c r="J566" s="31" t="s">
        <v>641</v>
      </c>
      <c r="K566" s="277" t="s">
        <v>6779</v>
      </c>
      <c r="L566" s="16" t="s">
        <v>6760</v>
      </c>
      <c r="M566" s="8">
        <v>2</v>
      </c>
      <c r="N566" s="422"/>
      <c r="O566" s="430"/>
      <c r="P566" s="31"/>
    </row>
    <row r="567" spans="1:16" s="17" customFormat="1" ht="33" customHeight="1">
      <c r="A567" s="595"/>
      <c r="B567" s="399">
        <v>46248</v>
      </c>
      <c r="C567" s="3" t="s">
        <v>21</v>
      </c>
      <c r="D567" s="3" t="s">
        <v>14</v>
      </c>
      <c r="E567" s="454" t="s">
        <v>107</v>
      </c>
      <c r="F567" s="454" t="s">
        <v>2959</v>
      </c>
      <c r="G567" s="459" t="s">
        <v>6752</v>
      </c>
      <c r="H567" s="193" t="s">
        <v>6835</v>
      </c>
      <c r="I567" s="31" t="s">
        <v>6833</v>
      </c>
      <c r="J567" s="31" t="s">
        <v>6834</v>
      </c>
      <c r="K567" s="277" t="s">
        <v>6744</v>
      </c>
      <c r="L567" s="16" t="s">
        <v>6757</v>
      </c>
      <c r="M567" s="8">
        <v>2</v>
      </c>
      <c r="N567" s="422"/>
      <c r="O567" s="430"/>
      <c r="P567" s="31"/>
    </row>
    <row r="568" spans="1:16" s="17" customFormat="1" ht="33" customHeight="1">
      <c r="A568" s="595"/>
      <c r="B568" s="399">
        <v>46248</v>
      </c>
      <c r="C568" s="4" t="s">
        <v>6707</v>
      </c>
      <c r="D568" s="4" t="s">
        <v>151</v>
      </c>
      <c r="E568" s="31" t="s">
        <v>6709</v>
      </c>
      <c r="F568" s="31">
        <v>7065</v>
      </c>
      <c r="G568" s="16" t="s">
        <v>145</v>
      </c>
      <c r="H568" s="193" t="s">
        <v>6706</v>
      </c>
      <c r="I568" s="31" t="s">
        <v>6312</v>
      </c>
      <c r="J568" s="31"/>
      <c r="K568" s="277" t="s">
        <v>6731</v>
      </c>
      <c r="L568" s="16">
        <v>9080</v>
      </c>
      <c r="M568" s="8">
        <v>1</v>
      </c>
      <c r="N568" s="422"/>
      <c r="O568" s="430"/>
      <c r="P568" s="31" t="s">
        <v>6754</v>
      </c>
    </row>
    <row r="569" spans="1:16" s="17" customFormat="1" ht="33" customHeight="1">
      <c r="A569" s="596"/>
      <c r="B569" s="399">
        <v>46249</v>
      </c>
      <c r="C569" s="3" t="s">
        <v>21</v>
      </c>
      <c r="D569" s="3" t="s">
        <v>14</v>
      </c>
      <c r="E569" s="454" t="s">
        <v>107</v>
      </c>
      <c r="F569" s="454" t="s">
        <v>2959</v>
      </c>
      <c r="G569" s="459" t="s">
        <v>6840</v>
      </c>
      <c r="H569" s="193" t="s">
        <v>6841</v>
      </c>
      <c r="I569" s="31" t="s">
        <v>6842</v>
      </c>
      <c r="J569" s="31"/>
      <c r="K569" s="277"/>
      <c r="L569" s="16" t="s">
        <v>6757</v>
      </c>
      <c r="M569" s="8">
        <v>2</v>
      </c>
      <c r="N569" s="422"/>
      <c r="O569" s="430"/>
      <c r="P569" s="31"/>
    </row>
    <row r="570" spans="1:16" s="17" customFormat="1" ht="33" customHeight="1">
      <c r="A570" s="943" t="s">
        <v>6741</v>
      </c>
      <c r="B570" s="757" t="s">
        <v>6575</v>
      </c>
      <c r="C570" s="272" t="s">
        <v>21</v>
      </c>
      <c r="D570" s="272" t="s">
        <v>14</v>
      </c>
      <c r="E570" s="759" t="s">
        <v>211</v>
      </c>
      <c r="F570" s="759" t="s">
        <v>5754</v>
      </c>
      <c r="G570" s="760" t="s">
        <v>18</v>
      </c>
      <c r="H570" s="758" t="s">
        <v>6767</v>
      </c>
      <c r="I570" s="759"/>
      <c r="J570" s="758"/>
      <c r="K570" s="761"/>
      <c r="L570" s="760"/>
      <c r="M570" s="762"/>
      <c r="N570" s="763"/>
      <c r="O570" s="768"/>
      <c r="P570" s="31"/>
    </row>
    <row r="571" spans="1:16" s="17" customFormat="1" ht="33" customHeight="1">
      <c r="A571" s="944"/>
      <c r="B571" s="757" t="s">
        <v>6575</v>
      </c>
      <c r="C571" s="272" t="s">
        <v>21</v>
      </c>
      <c r="D571" s="272" t="s">
        <v>6749</v>
      </c>
      <c r="E571" s="758" t="s">
        <v>6750</v>
      </c>
      <c r="F571" s="759" t="s">
        <v>6746</v>
      </c>
      <c r="G571" s="760" t="s">
        <v>6747</v>
      </c>
      <c r="H571" s="758" t="s">
        <v>6748</v>
      </c>
      <c r="I571" s="759"/>
      <c r="J571" s="758"/>
      <c r="K571" s="761"/>
      <c r="L571" s="760"/>
      <c r="M571" s="762"/>
      <c r="N571" s="763"/>
      <c r="O571" s="768"/>
      <c r="P571" s="31"/>
    </row>
    <row r="572" spans="1:16" s="17" customFormat="1" ht="33" customHeight="1">
      <c r="A572" s="944"/>
      <c r="B572" s="757" t="s">
        <v>6575</v>
      </c>
      <c r="C572" s="272" t="s">
        <v>21</v>
      </c>
      <c r="D572" s="272" t="s">
        <v>14</v>
      </c>
      <c r="E572" s="759" t="s">
        <v>107</v>
      </c>
      <c r="F572" s="759" t="s">
        <v>3386</v>
      </c>
      <c r="G572" s="760" t="s">
        <v>102</v>
      </c>
      <c r="H572" s="758" t="s">
        <v>6810</v>
      </c>
      <c r="I572" s="759"/>
      <c r="J572" s="759"/>
      <c r="K572" s="761"/>
      <c r="L572" s="760"/>
      <c r="M572" s="762"/>
      <c r="N572" s="759"/>
      <c r="O572" s="778" t="s">
        <v>6740</v>
      </c>
      <c r="P572" s="31"/>
    </row>
    <row r="573" spans="1:16" s="17" customFormat="1" ht="33" customHeight="1">
      <c r="A573" s="322" t="s">
        <v>0</v>
      </c>
      <c r="B573" s="323" t="s">
        <v>1</v>
      </c>
      <c r="C573" s="322" t="s">
        <v>2</v>
      </c>
      <c r="D573" s="322" t="s">
        <v>3</v>
      </c>
      <c r="E573" s="322" t="s">
        <v>4</v>
      </c>
      <c r="F573" s="322" t="s">
        <v>5</v>
      </c>
      <c r="G573" s="322" t="s">
        <v>6</v>
      </c>
      <c r="H573" s="324" t="s">
        <v>7</v>
      </c>
      <c r="I573" s="322" t="s">
        <v>8</v>
      </c>
      <c r="J573" s="322" t="s">
        <v>9</v>
      </c>
      <c r="K573" s="325" t="s">
        <v>10</v>
      </c>
      <c r="L573" s="326" t="s">
        <v>11</v>
      </c>
      <c r="M573" s="322" t="s">
        <v>12</v>
      </c>
      <c r="N573" s="327" t="s">
        <v>13</v>
      </c>
      <c r="O573" s="427" t="s">
        <v>63</v>
      </c>
      <c r="P573" s="322" t="s">
        <v>123</v>
      </c>
    </row>
    <row r="574" spans="1:16" s="17" customFormat="1" ht="33" customHeight="1">
      <c r="A574" s="594" t="s">
        <v>6331</v>
      </c>
      <c r="B574" s="399">
        <v>46251</v>
      </c>
      <c r="C574" s="4"/>
      <c r="D574" s="4"/>
      <c r="E574" s="31"/>
      <c r="F574" s="31"/>
      <c r="G574" s="16"/>
      <c r="H574" s="404" t="s">
        <v>6762</v>
      </c>
      <c r="I574" s="31"/>
      <c r="J574" s="31"/>
      <c r="K574" s="277"/>
      <c r="L574" s="16"/>
      <c r="M574" s="8"/>
      <c r="N574" s="31"/>
      <c r="O574" s="429"/>
      <c r="P574" s="31"/>
    </row>
    <row r="575" spans="1:16" s="17" customFormat="1" ht="33" customHeight="1">
      <c r="A575" s="595"/>
      <c r="B575" s="399">
        <v>46252</v>
      </c>
      <c r="C575" s="4" t="s">
        <v>21</v>
      </c>
      <c r="D575" s="4" t="s">
        <v>14</v>
      </c>
      <c r="E575" s="31" t="s">
        <v>1893</v>
      </c>
      <c r="F575" s="31" t="s">
        <v>4939</v>
      </c>
      <c r="G575" s="16" t="s">
        <v>482</v>
      </c>
      <c r="H575" s="125" t="s">
        <v>3466</v>
      </c>
      <c r="I575" s="31" t="s">
        <v>202</v>
      </c>
      <c r="J575" s="31"/>
      <c r="K575" s="277" t="s">
        <v>6759</v>
      </c>
      <c r="L575" s="16" t="s">
        <v>4550</v>
      </c>
      <c r="M575" s="8">
        <v>1</v>
      </c>
      <c r="N575" s="31"/>
      <c r="O575" s="429"/>
      <c r="P575" s="31"/>
    </row>
    <row r="576" spans="1:16" s="17" customFormat="1" ht="33" customHeight="1">
      <c r="A576" s="595"/>
      <c r="B576" s="399">
        <v>46252</v>
      </c>
      <c r="C576" s="4" t="s">
        <v>21</v>
      </c>
      <c r="D576" s="4" t="s">
        <v>6681</v>
      </c>
      <c r="E576" s="31" t="s">
        <v>6683</v>
      </c>
      <c r="F576" s="31" t="s">
        <v>6684</v>
      </c>
      <c r="G576" s="16" t="s">
        <v>6682</v>
      </c>
      <c r="H576" s="193" t="s">
        <v>6686</v>
      </c>
      <c r="I576" s="31" t="s">
        <v>6803</v>
      </c>
      <c r="J576" s="193" t="s">
        <v>6755</v>
      </c>
      <c r="K576" s="125" t="s">
        <v>6758</v>
      </c>
      <c r="L576" s="16" t="s">
        <v>6846</v>
      </c>
      <c r="M576" s="8">
        <v>2</v>
      </c>
      <c r="N576" s="31"/>
      <c r="O576" s="429" t="s">
        <v>6850</v>
      </c>
      <c r="P576" s="31"/>
    </row>
    <row r="577" spans="1:17" s="17" customFormat="1" ht="33" customHeight="1">
      <c r="A577" s="595"/>
      <c r="B577" s="399">
        <v>46252</v>
      </c>
      <c r="C577" s="4" t="s">
        <v>6707</v>
      </c>
      <c r="D577" s="4" t="s">
        <v>151</v>
      </c>
      <c r="E577" s="31" t="s">
        <v>6709</v>
      </c>
      <c r="F577" s="31">
        <v>7065</v>
      </c>
      <c r="G577" s="16" t="s">
        <v>145</v>
      </c>
      <c r="H577" s="193" t="s">
        <v>6706</v>
      </c>
      <c r="I577" s="31" t="s">
        <v>6312</v>
      </c>
      <c r="J577" s="31"/>
      <c r="K577" s="277" t="s">
        <v>209</v>
      </c>
      <c r="L577" s="16">
        <v>9080</v>
      </c>
      <c r="M577" s="8">
        <v>1</v>
      </c>
      <c r="N577" s="31"/>
      <c r="O577" s="429"/>
      <c r="P577" s="31"/>
    </row>
    <row r="578" spans="1:17" s="17" customFormat="1" ht="33" customHeight="1">
      <c r="A578" s="595"/>
      <c r="B578" s="399">
        <v>46252</v>
      </c>
      <c r="C578" s="4" t="s">
        <v>6337</v>
      </c>
      <c r="D578" s="4" t="s">
        <v>6338</v>
      </c>
      <c r="E578" s="31" t="s">
        <v>6339</v>
      </c>
      <c r="F578" s="31" t="s">
        <v>6340</v>
      </c>
      <c r="G578" s="16" t="s">
        <v>6341</v>
      </c>
      <c r="H578" s="193" t="s">
        <v>6768</v>
      </c>
      <c r="I578" s="31"/>
      <c r="J578" s="193" t="s">
        <v>6839</v>
      </c>
      <c r="K578" s="125" t="s">
        <v>6769</v>
      </c>
      <c r="L578" s="16" t="s">
        <v>6771</v>
      </c>
      <c r="M578" s="8">
        <v>4</v>
      </c>
      <c r="N578" s="31"/>
      <c r="O578" s="429" t="s">
        <v>6847</v>
      </c>
      <c r="P578" s="31"/>
    </row>
    <row r="579" spans="1:17" s="17" customFormat="1" ht="33" customHeight="1">
      <c r="A579" s="595"/>
      <c r="B579" s="399">
        <v>46252</v>
      </c>
      <c r="C579" s="4" t="s">
        <v>21</v>
      </c>
      <c r="D579" s="4" t="s">
        <v>14</v>
      </c>
      <c r="E579" s="31" t="s">
        <v>6703</v>
      </c>
      <c r="F579" s="31" t="s">
        <v>3415</v>
      </c>
      <c r="G579" s="16" t="s">
        <v>23</v>
      </c>
      <c r="H579" s="193" t="s">
        <v>6837</v>
      </c>
      <c r="I579" s="31"/>
      <c r="J579" s="193" t="s">
        <v>6836</v>
      </c>
      <c r="K579" s="125" t="s">
        <v>6759</v>
      </c>
      <c r="L579" s="16" t="s">
        <v>6760</v>
      </c>
      <c r="M579" s="8">
        <v>2</v>
      </c>
      <c r="N579" s="31"/>
      <c r="O579" s="430" t="s">
        <v>6838</v>
      </c>
      <c r="P579" s="31"/>
    </row>
    <row r="580" spans="1:17" s="17" customFormat="1" ht="33" customHeight="1">
      <c r="A580" s="595"/>
      <c r="B580" s="399">
        <v>46253</v>
      </c>
      <c r="C580" s="4" t="s">
        <v>21</v>
      </c>
      <c r="D580" s="4" t="s">
        <v>14</v>
      </c>
      <c r="E580" s="31" t="s">
        <v>225</v>
      </c>
      <c r="F580" s="31" t="s">
        <v>3736</v>
      </c>
      <c r="G580" s="16" t="s">
        <v>3286</v>
      </c>
      <c r="H580" s="193" t="s">
        <v>6843</v>
      </c>
      <c r="I580" s="31"/>
      <c r="J580" s="193" t="s">
        <v>6857</v>
      </c>
      <c r="K580" s="125" t="s">
        <v>6769</v>
      </c>
      <c r="L580" s="16" t="s">
        <v>6757</v>
      </c>
      <c r="M580" s="8">
        <v>3</v>
      </c>
      <c r="N580" s="31"/>
      <c r="O580" s="429" t="s">
        <v>6859</v>
      </c>
      <c r="P580" s="31"/>
    </row>
    <row r="581" spans="1:17" s="17" customFormat="1" ht="33" customHeight="1">
      <c r="A581" s="595"/>
      <c r="B581" s="399">
        <v>46253</v>
      </c>
      <c r="C581" s="4" t="s">
        <v>6707</v>
      </c>
      <c r="D581" s="4" t="s">
        <v>151</v>
      </c>
      <c r="E581" s="31" t="s">
        <v>6709</v>
      </c>
      <c r="F581" s="31">
        <v>7065</v>
      </c>
      <c r="G581" s="16" t="s">
        <v>145</v>
      </c>
      <c r="H581" s="193" t="s">
        <v>6706</v>
      </c>
      <c r="I581" s="31" t="s">
        <v>6312</v>
      </c>
      <c r="J581" s="31"/>
      <c r="K581" s="277" t="s">
        <v>209</v>
      </c>
      <c r="L581" s="16" t="s">
        <v>6760</v>
      </c>
      <c r="M581" s="8">
        <v>1</v>
      </c>
      <c r="N581" s="31"/>
      <c r="O581" s="429"/>
      <c r="P581" s="31"/>
    </row>
    <row r="582" spans="1:17" s="17" customFormat="1" ht="33" customHeight="1">
      <c r="A582" s="595"/>
      <c r="B582" s="399">
        <v>46253</v>
      </c>
      <c r="C582" s="4" t="s">
        <v>21</v>
      </c>
      <c r="D582" s="4" t="s">
        <v>6681</v>
      </c>
      <c r="E582" s="31" t="s">
        <v>6683</v>
      </c>
      <c r="F582" s="31" t="s">
        <v>6684</v>
      </c>
      <c r="G582" s="16" t="s">
        <v>6685</v>
      </c>
      <c r="H582" s="193" t="s">
        <v>6686</v>
      </c>
      <c r="I582" s="31" t="s">
        <v>3661</v>
      </c>
      <c r="J582" s="193" t="s">
        <v>6755</v>
      </c>
      <c r="K582" s="125" t="s">
        <v>6756</v>
      </c>
      <c r="L582" s="16" t="s">
        <v>6287</v>
      </c>
      <c r="M582" s="8">
        <v>2</v>
      </c>
      <c r="N582" s="422"/>
      <c r="O582" s="430" t="s">
        <v>4602</v>
      </c>
      <c r="P582" s="31"/>
    </row>
    <row r="583" spans="1:17" s="17" customFormat="1" ht="33" customHeight="1">
      <c r="A583" s="595"/>
      <c r="B583" s="399">
        <v>46253</v>
      </c>
      <c r="C583" s="4" t="s">
        <v>21</v>
      </c>
      <c r="D583" s="4" t="s">
        <v>14</v>
      </c>
      <c r="E583" s="31" t="s">
        <v>107</v>
      </c>
      <c r="F583" s="31" t="s">
        <v>3424</v>
      </c>
      <c r="G583" s="16" t="s">
        <v>170</v>
      </c>
      <c r="H583" s="193" t="s">
        <v>6853</v>
      </c>
      <c r="I583" s="31" t="s">
        <v>6854</v>
      </c>
      <c r="J583" s="31" t="s">
        <v>6761</v>
      </c>
      <c r="K583" s="277" t="s">
        <v>6782</v>
      </c>
      <c r="L583" s="16" t="s">
        <v>6855</v>
      </c>
      <c r="M583" s="8">
        <v>2</v>
      </c>
      <c r="N583" s="422"/>
      <c r="O583" s="430" t="s">
        <v>6850</v>
      </c>
      <c r="P583" s="31"/>
    </row>
    <row r="584" spans="1:17" s="17" customFormat="1" ht="33" customHeight="1">
      <c r="A584" s="595"/>
      <c r="B584" s="399">
        <v>46253</v>
      </c>
      <c r="C584" s="4" t="s">
        <v>21</v>
      </c>
      <c r="D584" s="4" t="s">
        <v>14</v>
      </c>
      <c r="E584" s="31" t="s">
        <v>6844</v>
      </c>
      <c r="F584" s="193" t="s">
        <v>2978</v>
      </c>
      <c r="G584" s="16" t="s">
        <v>170</v>
      </c>
      <c r="H584" s="193" t="s">
        <v>6845</v>
      </c>
      <c r="I584" s="31" t="s">
        <v>6858</v>
      </c>
      <c r="J584" s="31" t="s">
        <v>6834</v>
      </c>
      <c r="K584" s="277" t="s">
        <v>15</v>
      </c>
      <c r="L584" s="16">
        <v>9080</v>
      </c>
      <c r="M584" s="8">
        <v>2</v>
      </c>
      <c r="N584" s="422"/>
      <c r="O584" s="430"/>
      <c r="P584" s="31"/>
    </row>
    <row r="585" spans="1:17" s="17" customFormat="1" ht="33" customHeight="1">
      <c r="A585" s="595"/>
      <c r="B585" s="399">
        <v>46254</v>
      </c>
      <c r="C585" s="4" t="s">
        <v>21</v>
      </c>
      <c r="D585" s="4" t="s">
        <v>14</v>
      </c>
      <c r="E585" s="31" t="s">
        <v>225</v>
      </c>
      <c r="F585" s="31" t="s">
        <v>3736</v>
      </c>
      <c r="G585" s="16" t="s">
        <v>3286</v>
      </c>
      <c r="H585" s="193" t="s">
        <v>6866</v>
      </c>
      <c r="I585" s="31" t="s">
        <v>6865</v>
      </c>
      <c r="J585" s="193" t="s">
        <v>6808</v>
      </c>
      <c r="K585" s="125" t="s">
        <v>6769</v>
      </c>
      <c r="L585" s="16" t="s">
        <v>6757</v>
      </c>
      <c r="M585" s="8">
        <v>3</v>
      </c>
      <c r="N585" s="422"/>
      <c r="O585" s="430" t="s">
        <v>6116</v>
      </c>
      <c r="P585" s="31"/>
    </row>
    <row r="586" spans="1:17" s="17" customFormat="1" ht="33" customHeight="1">
      <c r="A586" s="595"/>
      <c r="B586" s="399">
        <v>46254</v>
      </c>
      <c r="C586" s="4" t="s">
        <v>6707</v>
      </c>
      <c r="D586" s="4" t="s">
        <v>151</v>
      </c>
      <c r="E586" s="31" t="s">
        <v>6709</v>
      </c>
      <c r="F586" s="31">
        <v>7065</v>
      </c>
      <c r="G586" s="16" t="s">
        <v>145</v>
      </c>
      <c r="H586" s="193" t="s">
        <v>6706</v>
      </c>
      <c r="I586" s="31" t="s">
        <v>6312</v>
      </c>
      <c r="J586" s="31"/>
      <c r="K586" s="277" t="s">
        <v>209</v>
      </c>
      <c r="L586" s="16">
        <v>9080</v>
      </c>
      <c r="M586" s="8">
        <v>1</v>
      </c>
      <c r="N586" s="422"/>
      <c r="O586" s="430"/>
      <c r="P586" s="31"/>
    </row>
    <row r="587" spans="1:17" s="17" customFormat="1" ht="33" customHeight="1">
      <c r="A587" s="595"/>
      <c r="B587" s="399">
        <v>46254</v>
      </c>
      <c r="C587" s="4" t="s">
        <v>21</v>
      </c>
      <c r="D587" s="4" t="s">
        <v>14</v>
      </c>
      <c r="E587" s="31" t="s">
        <v>107</v>
      </c>
      <c r="F587" s="193" t="s">
        <v>6745</v>
      </c>
      <c r="G587" s="16" t="s">
        <v>67</v>
      </c>
      <c r="H587" s="193" t="s">
        <v>6625</v>
      </c>
      <c r="I587" s="31"/>
      <c r="J587" s="193" t="s">
        <v>6742</v>
      </c>
      <c r="K587" s="125" t="s">
        <v>15</v>
      </c>
      <c r="L587" s="16" t="s">
        <v>6743</v>
      </c>
      <c r="M587" s="8">
        <v>1</v>
      </c>
      <c r="N587" s="422"/>
      <c r="O587" s="430" t="s">
        <v>6626</v>
      </c>
      <c r="P587" s="31"/>
    </row>
    <row r="588" spans="1:17" s="17" customFormat="1" ht="33" customHeight="1">
      <c r="A588" s="595"/>
      <c r="B588" s="399">
        <v>46254</v>
      </c>
      <c r="C588" s="4" t="s">
        <v>21</v>
      </c>
      <c r="D588" s="4" t="s">
        <v>6681</v>
      </c>
      <c r="E588" s="31" t="s">
        <v>6683</v>
      </c>
      <c r="F588" s="31" t="s">
        <v>6684</v>
      </c>
      <c r="G588" s="16" t="s">
        <v>6687</v>
      </c>
      <c r="H588" s="193" t="s">
        <v>6751</v>
      </c>
      <c r="I588" s="31" t="s">
        <v>3661</v>
      </c>
      <c r="J588" s="193" t="s">
        <v>6761</v>
      </c>
      <c r="K588" s="125" t="s">
        <v>6758</v>
      </c>
      <c r="L588" s="16" t="s">
        <v>6809</v>
      </c>
      <c r="M588" s="8">
        <v>2</v>
      </c>
      <c r="N588" s="422"/>
      <c r="O588" s="430" t="s">
        <v>6849</v>
      </c>
      <c r="P588" s="31"/>
    </row>
    <row r="589" spans="1:17" s="17" customFormat="1" ht="36">
      <c r="A589" s="595"/>
      <c r="B589" s="399">
        <v>46255</v>
      </c>
      <c r="C589" s="4" t="s">
        <v>21</v>
      </c>
      <c r="D589" s="4" t="s">
        <v>14</v>
      </c>
      <c r="E589" s="31" t="s">
        <v>225</v>
      </c>
      <c r="F589" s="31" t="s">
        <v>3736</v>
      </c>
      <c r="G589" s="16" t="s">
        <v>3286</v>
      </c>
      <c r="H589" s="193" t="s">
        <v>6869</v>
      </c>
      <c r="I589" s="31" t="s">
        <v>3661</v>
      </c>
      <c r="J589" s="193" t="s">
        <v>6884</v>
      </c>
      <c r="K589" s="125" t="s">
        <v>15</v>
      </c>
      <c r="L589" s="16" t="s">
        <v>6757</v>
      </c>
      <c r="M589" s="8">
        <v>6</v>
      </c>
      <c r="N589" s="422"/>
      <c r="O589" s="430" t="s">
        <v>6860</v>
      </c>
      <c r="P589" s="31"/>
    </row>
    <row r="590" spans="1:17" s="17" customFormat="1" ht="33" customHeight="1">
      <c r="A590" s="595"/>
      <c r="B590" s="399">
        <v>46255</v>
      </c>
      <c r="C590" s="4" t="s">
        <v>6707</v>
      </c>
      <c r="D590" s="4" t="s">
        <v>151</v>
      </c>
      <c r="E590" s="31" t="s">
        <v>6709</v>
      </c>
      <c r="F590" s="31">
        <v>7065</v>
      </c>
      <c r="G590" s="16" t="s">
        <v>145</v>
      </c>
      <c r="H590" s="193" t="s">
        <v>6706</v>
      </c>
      <c r="I590" s="31" t="s">
        <v>6312</v>
      </c>
      <c r="J590" s="31"/>
      <c r="K590" s="277" t="s">
        <v>209</v>
      </c>
      <c r="L590" s="16">
        <v>9080</v>
      </c>
      <c r="M590" s="8">
        <v>1</v>
      </c>
      <c r="N590" s="422"/>
      <c r="O590" s="430"/>
      <c r="P590" s="31"/>
    </row>
    <row r="591" spans="1:17" s="17" customFormat="1" ht="33" customHeight="1">
      <c r="A591" s="595"/>
      <c r="B591" s="399">
        <v>46255</v>
      </c>
      <c r="C591" s="4" t="s">
        <v>21</v>
      </c>
      <c r="D591" s="4" t="s">
        <v>6775</v>
      </c>
      <c r="E591" s="31" t="s">
        <v>1787</v>
      </c>
      <c r="F591" s="31" t="s">
        <v>6776</v>
      </c>
      <c r="G591" s="16" t="s">
        <v>6777</v>
      </c>
      <c r="H591" s="193" t="s">
        <v>6852</v>
      </c>
      <c r="I591" s="31"/>
      <c r="J591" s="31" t="s">
        <v>6862</v>
      </c>
      <c r="K591" s="277" t="s">
        <v>6779</v>
      </c>
      <c r="L591" s="16" t="s">
        <v>6770</v>
      </c>
      <c r="M591" s="8">
        <v>3</v>
      </c>
      <c r="N591" s="422"/>
      <c r="O591" s="430" t="s">
        <v>6863</v>
      </c>
      <c r="P591" s="31"/>
    </row>
    <row r="592" spans="1:17" s="17" customFormat="1" ht="33" customHeight="1">
      <c r="A592" s="595"/>
      <c r="B592" s="399">
        <v>46255</v>
      </c>
      <c r="C592" s="4" t="s">
        <v>21</v>
      </c>
      <c r="D592" s="4" t="s">
        <v>6775</v>
      </c>
      <c r="E592" s="31" t="s">
        <v>1787</v>
      </c>
      <c r="F592" s="31" t="s">
        <v>6776</v>
      </c>
      <c r="G592" s="16" t="s">
        <v>6861</v>
      </c>
      <c r="H592" s="193" t="s">
        <v>5434</v>
      </c>
      <c r="I592" s="31"/>
      <c r="J592" s="193" t="s">
        <v>6772</v>
      </c>
      <c r="K592" s="125"/>
      <c r="L592" s="16" t="s">
        <v>4550</v>
      </c>
      <c r="M592" s="8">
        <v>2</v>
      </c>
      <c r="N592" s="31"/>
      <c r="O592" s="430" t="s">
        <v>6848</v>
      </c>
      <c r="P592" s="31"/>
      <c r="Q592" s="430" t="s">
        <v>6807</v>
      </c>
    </row>
    <row r="593" spans="1:16" s="17" customFormat="1" ht="33" customHeight="1">
      <c r="A593" s="596"/>
      <c r="B593" s="399">
        <v>46256</v>
      </c>
      <c r="C593" s="4"/>
      <c r="D593" s="4"/>
      <c r="E593" s="291"/>
      <c r="F593" s="31"/>
      <c r="G593" s="16"/>
      <c r="H593" s="193"/>
      <c r="I593" s="31"/>
      <c r="J593" s="31"/>
      <c r="K593" s="125"/>
      <c r="L593" s="16"/>
      <c r="M593" s="8"/>
      <c r="N593" s="31"/>
      <c r="O593" s="432"/>
      <c r="P593" s="31"/>
    </row>
    <row r="594" spans="1:16" s="17" customFormat="1" ht="33" customHeight="1">
      <c r="A594" s="322" t="s">
        <v>0</v>
      </c>
      <c r="B594" s="323" t="s">
        <v>1</v>
      </c>
      <c r="C594" s="322" t="s">
        <v>2</v>
      </c>
      <c r="D594" s="322" t="s">
        <v>3</v>
      </c>
      <c r="E594" s="322" t="s">
        <v>4</v>
      </c>
      <c r="F594" s="322" t="s">
        <v>5</v>
      </c>
      <c r="G594" s="322" t="s">
        <v>6</v>
      </c>
      <c r="H594" s="324" t="s">
        <v>7</v>
      </c>
      <c r="I594" s="322" t="s">
        <v>8</v>
      </c>
      <c r="J594" s="322" t="s">
        <v>9</v>
      </c>
      <c r="K594" s="325" t="s">
        <v>10</v>
      </c>
      <c r="L594" s="326" t="s">
        <v>11</v>
      </c>
      <c r="M594" s="322" t="s">
        <v>12</v>
      </c>
      <c r="N594" s="327" t="s">
        <v>13</v>
      </c>
      <c r="O594" s="427" t="s">
        <v>63</v>
      </c>
      <c r="P594" s="322" t="s">
        <v>123</v>
      </c>
    </row>
    <row r="595" spans="1:16" s="17" customFormat="1" ht="33" customHeight="1">
      <c r="A595" s="594" t="s">
        <v>6332</v>
      </c>
      <c r="B595" s="399">
        <v>46258</v>
      </c>
      <c r="C595" s="4" t="s">
        <v>6724</v>
      </c>
      <c r="D595" s="4" t="s">
        <v>6723</v>
      </c>
      <c r="E595" s="31" t="s">
        <v>6886</v>
      </c>
      <c r="F595" s="31">
        <v>3006</v>
      </c>
      <c r="G595" s="16" t="s">
        <v>6722</v>
      </c>
      <c r="H595" s="193" t="s">
        <v>6851</v>
      </c>
      <c r="I595" s="31" t="s">
        <v>6856</v>
      </c>
      <c r="J595" s="31" t="s">
        <v>6725</v>
      </c>
      <c r="K595" s="125" t="s">
        <v>6704</v>
      </c>
      <c r="L595" s="16" t="s">
        <v>6726</v>
      </c>
      <c r="M595" s="8">
        <v>2</v>
      </c>
      <c r="N595" s="31" t="s">
        <v>6900</v>
      </c>
      <c r="O595" s="431"/>
      <c r="P595" s="31"/>
    </row>
    <row r="596" spans="1:16" s="17" customFormat="1" ht="33" customHeight="1">
      <c r="A596" s="595"/>
      <c r="B596" s="399">
        <v>46258</v>
      </c>
      <c r="C596" s="4" t="s">
        <v>6874</v>
      </c>
      <c r="D596" s="4" t="s">
        <v>70</v>
      </c>
      <c r="E596" s="31" t="s">
        <v>6875</v>
      </c>
      <c r="F596" s="31" t="s">
        <v>6876</v>
      </c>
      <c r="G596" s="16" t="s">
        <v>6877</v>
      </c>
      <c r="H596" s="193" t="s">
        <v>6878</v>
      </c>
      <c r="I596" s="31" t="s">
        <v>6879</v>
      </c>
      <c r="J596" s="31" t="s">
        <v>6880</v>
      </c>
      <c r="K596" s="125" t="s">
        <v>6881</v>
      </c>
      <c r="L596" s="16" t="s">
        <v>6882</v>
      </c>
      <c r="M596" s="8">
        <v>2</v>
      </c>
      <c r="N596" s="31"/>
      <c r="O596" s="431"/>
      <c r="P596" s="31"/>
    </row>
    <row r="597" spans="1:16" s="17" customFormat="1" ht="33" customHeight="1">
      <c r="A597" s="595"/>
      <c r="B597" s="399">
        <v>46258</v>
      </c>
      <c r="C597" s="4" t="s">
        <v>21</v>
      </c>
      <c r="D597" s="4" t="s">
        <v>14</v>
      </c>
      <c r="E597" s="31" t="s">
        <v>225</v>
      </c>
      <c r="F597" s="31" t="s">
        <v>3736</v>
      </c>
      <c r="G597" s="16" t="s">
        <v>3286</v>
      </c>
      <c r="H597" s="193" t="s">
        <v>6956</v>
      </c>
      <c r="I597" s="31" t="s">
        <v>6520</v>
      </c>
      <c r="J597" s="31" t="s">
        <v>2838</v>
      </c>
      <c r="K597" s="125" t="s">
        <v>6759</v>
      </c>
      <c r="L597" s="16" t="s">
        <v>6873</v>
      </c>
      <c r="M597" s="8">
        <v>4</v>
      </c>
      <c r="N597" s="31"/>
      <c r="O597" s="431"/>
      <c r="P597" s="31"/>
    </row>
    <row r="598" spans="1:16" s="17" customFormat="1" ht="33" customHeight="1">
      <c r="A598" s="595"/>
      <c r="B598" s="399">
        <v>46258</v>
      </c>
      <c r="C598" s="4" t="s">
        <v>21</v>
      </c>
      <c r="D598" s="4" t="s">
        <v>14</v>
      </c>
      <c r="E598" s="31" t="s">
        <v>149</v>
      </c>
      <c r="F598" s="31" t="s">
        <v>3415</v>
      </c>
      <c r="G598" s="16" t="s">
        <v>23</v>
      </c>
      <c r="H598" s="193" t="s">
        <v>6883</v>
      </c>
      <c r="I598" s="31"/>
      <c r="J598" s="31" t="s">
        <v>6870</v>
      </c>
      <c r="K598" s="125" t="s">
        <v>15</v>
      </c>
      <c r="L598" s="16" t="s">
        <v>6872</v>
      </c>
      <c r="M598" s="8">
        <v>3</v>
      </c>
      <c r="N598" s="31"/>
      <c r="O598" s="431"/>
      <c r="P598" s="31"/>
    </row>
    <row r="599" spans="1:16" s="17" customFormat="1" ht="33" customHeight="1">
      <c r="A599" s="595"/>
      <c r="B599" s="399">
        <v>46258</v>
      </c>
      <c r="C599" s="4" t="s">
        <v>6707</v>
      </c>
      <c r="D599" s="4" t="s">
        <v>151</v>
      </c>
      <c r="E599" s="31" t="s">
        <v>6895</v>
      </c>
      <c r="F599" s="31" t="s">
        <v>6894</v>
      </c>
      <c r="G599" s="16" t="s">
        <v>145</v>
      </c>
      <c r="H599" s="193" t="s">
        <v>6896</v>
      </c>
      <c r="I599" s="31" t="s">
        <v>6897</v>
      </c>
      <c r="J599" s="31"/>
      <c r="K599" s="277" t="s">
        <v>6898</v>
      </c>
      <c r="L599" s="16" t="s">
        <v>4875</v>
      </c>
      <c r="M599" s="8">
        <v>2</v>
      </c>
      <c r="N599" s="31"/>
      <c r="O599" s="431"/>
      <c r="P599" s="454"/>
    </row>
    <row r="600" spans="1:16" s="17" customFormat="1" ht="33" customHeight="1">
      <c r="A600" s="595"/>
      <c r="B600" s="198">
        <v>46259</v>
      </c>
      <c r="C600" s="3" t="s">
        <v>6707</v>
      </c>
      <c r="D600" s="3" t="s">
        <v>151</v>
      </c>
      <c r="E600" s="454" t="s">
        <v>6709</v>
      </c>
      <c r="F600" s="454">
        <v>7065</v>
      </c>
      <c r="G600" s="459" t="s">
        <v>145</v>
      </c>
      <c r="H600" s="453" t="s">
        <v>6706</v>
      </c>
      <c r="I600" s="454" t="s">
        <v>6312</v>
      </c>
      <c r="J600" s="454"/>
      <c r="K600" s="730" t="s">
        <v>209</v>
      </c>
      <c r="L600" s="459">
        <v>9080</v>
      </c>
      <c r="M600" s="455">
        <v>1</v>
      </c>
      <c r="N600" s="454" t="s">
        <v>6901</v>
      </c>
      <c r="O600" s="457"/>
      <c r="P600" s="454"/>
    </row>
    <row r="601" spans="1:16" s="17" customFormat="1" ht="33" customHeight="1">
      <c r="A601" s="595"/>
      <c r="B601" s="198">
        <v>46259</v>
      </c>
      <c r="C601" s="3" t="s">
        <v>6707</v>
      </c>
      <c r="D601" s="3" t="s">
        <v>151</v>
      </c>
      <c r="E601" s="454" t="s">
        <v>6895</v>
      </c>
      <c r="F601" s="454" t="s">
        <v>6894</v>
      </c>
      <c r="G601" s="459" t="s">
        <v>145</v>
      </c>
      <c r="H601" s="453" t="s">
        <v>6896</v>
      </c>
      <c r="I601" s="454" t="s">
        <v>6897</v>
      </c>
      <c r="J601" s="454"/>
      <c r="K601" s="730" t="s">
        <v>6898</v>
      </c>
      <c r="L601" s="459" t="s">
        <v>4875</v>
      </c>
      <c r="M601" s="455">
        <v>2</v>
      </c>
      <c r="N601" s="454"/>
      <c r="O601" s="457"/>
      <c r="P601" s="454"/>
    </row>
    <row r="602" spans="1:16" s="17" customFormat="1" ht="33" customHeight="1">
      <c r="A602" s="595"/>
      <c r="B602" s="198">
        <v>46259</v>
      </c>
      <c r="C602" s="3" t="s">
        <v>21</v>
      </c>
      <c r="D602" s="3" t="s">
        <v>14</v>
      </c>
      <c r="E602" s="454" t="s">
        <v>225</v>
      </c>
      <c r="F602" s="454" t="s">
        <v>3736</v>
      </c>
      <c r="G602" s="459" t="s">
        <v>3286</v>
      </c>
      <c r="H602" s="453" t="s">
        <v>6957</v>
      </c>
      <c r="I602" s="454" t="s">
        <v>6520</v>
      </c>
      <c r="J602" s="453" t="s">
        <v>6955</v>
      </c>
      <c r="K602" s="136" t="s">
        <v>6759</v>
      </c>
      <c r="L602" s="459" t="s">
        <v>6757</v>
      </c>
      <c r="M602" s="455">
        <v>4</v>
      </c>
      <c r="N602" s="454"/>
      <c r="O602" s="800"/>
      <c r="P602" s="454"/>
    </row>
    <row r="603" spans="1:16" s="17" customFormat="1" ht="33" customHeight="1">
      <c r="A603" s="595"/>
      <c r="B603" s="127">
        <v>46259</v>
      </c>
      <c r="C603" s="3" t="s">
        <v>21</v>
      </c>
      <c r="D603" s="3" t="s">
        <v>14</v>
      </c>
      <c r="E603" s="454" t="s">
        <v>149</v>
      </c>
      <c r="F603" s="454" t="s">
        <v>3415</v>
      </c>
      <c r="G603" s="459" t="s">
        <v>23</v>
      </c>
      <c r="H603" s="453" t="s">
        <v>3390</v>
      </c>
      <c r="I603" s="454"/>
      <c r="J603" s="454" t="s">
        <v>6870</v>
      </c>
      <c r="K603" s="136" t="s">
        <v>15</v>
      </c>
      <c r="L603" s="459" t="s">
        <v>6872</v>
      </c>
      <c r="M603" s="455">
        <v>3</v>
      </c>
      <c r="N603" s="454"/>
      <c r="O603" s="801" t="s">
        <v>6921</v>
      </c>
      <c r="P603" s="454"/>
    </row>
    <row r="604" spans="1:16" s="17" customFormat="1" ht="33" customHeight="1">
      <c r="A604" s="595"/>
      <c r="B604" s="399">
        <v>46260</v>
      </c>
      <c r="C604" s="3" t="s">
        <v>6707</v>
      </c>
      <c r="D604" s="3" t="s">
        <v>151</v>
      </c>
      <c r="E604" s="454" t="s">
        <v>6709</v>
      </c>
      <c r="F604" s="454">
        <v>7065</v>
      </c>
      <c r="G604" s="459" t="s">
        <v>145</v>
      </c>
      <c r="H604" s="453" t="s">
        <v>6706</v>
      </c>
      <c r="I604" s="31" t="s">
        <v>6312</v>
      </c>
      <c r="J604" s="31"/>
      <c r="K604" s="277" t="s">
        <v>209</v>
      </c>
      <c r="L604" s="16">
        <v>9080</v>
      </c>
      <c r="M604" s="8">
        <v>1</v>
      </c>
      <c r="N604" s="31" t="s">
        <v>6292</v>
      </c>
      <c r="O604" s="431"/>
      <c r="P604" s="454"/>
    </row>
    <row r="605" spans="1:16" s="17" customFormat="1" ht="33" customHeight="1">
      <c r="A605" s="595"/>
      <c r="B605" s="399">
        <v>46260</v>
      </c>
      <c r="C605" s="3" t="s">
        <v>6707</v>
      </c>
      <c r="D605" s="3" t="s">
        <v>151</v>
      </c>
      <c r="E605" s="454" t="s">
        <v>6895</v>
      </c>
      <c r="F605" s="454" t="s">
        <v>6894</v>
      </c>
      <c r="G605" s="459" t="s">
        <v>145</v>
      </c>
      <c r="H605" s="453" t="s">
        <v>6896</v>
      </c>
      <c r="I605" s="31" t="s">
        <v>6899</v>
      </c>
      <c r="J605" s="31"/>
      <c r="K605" s="277" t="s">
        <v>6898</v>
      </c>
      <c r="L605" s="16" t="s">
        <v>4875</v>
      </c>
      <c r="M605" s="8">
        <v>1</v>
      </c>
      <c r="N605" s="31"/>
      <c r="O605" s="431"/>
      <c r="P605" s="31"/>
    </row>
    <row r="606" spans="1:16" s="17" customFormat="1" ht="33" customHeight="1">
      <c r="A606" s="595"/>
      <c r="B606" s="399">
        <v>46260</v>
      </c>
      <c r="C606" s="3" t="s">
        <v>21</v>
      </c>
      <c r="D606" s="3" t="s">
        <v>14</v>
      </c>
      <c r="E606" s="454" t="s">
        <v>225</v>
      </c>
      <c r="F606" s="454" t="s">
        <v>3736</v>
      </c>
      <c r="G606" s="459" t="s">
        <v>3286</v>
      </c>
      <c r="H606" s="453" t="s">
        <v>6958</v>
      </c>
      <c r="I606" s="31" t="s">
        <v>1948</v>
      </c>
      <c r="J606" s="193" t="s">
        <v>6857</v>
      </c>
      <c r="K606" s="125" t="s">
        <v>6759</v>
      </c>
      <c r="L606" s="16" t="s">
        <v>6757</v>
      </c>
      <c r="M606" s="8">
        <v>4</v>
      </c>
      <c r="N606" s="31"/>
      <c r="O606" s="754"/>
      <c r="P606" s="31"/>
    </row>
    <row r="607" spans="1:16" s="17" customFormat="1" ht="33" customHeight="1">
      <c r="A607" s="595"/>
      <c r="B607" s="399">
        <v>46260</v>
      </c>
      <c r="C607" s="3" t="s">
        <v>21</v>
      </c>
      <c r="D607" s="3" t="s">
        <v>17</v>
      </c>
      <c r="E607" s="454" t="s">
        <v>78</v>
      </c>
      <c r="F607" s="454" t="s">
        <v>6922</v>
      </c>
      <c r="G607" s="459" t="s">
        <v>6923</v>
      </c>
      <c r="H607" s="453" t="s">
        <v>6924</v>
      </c>
      <c r="I607" s="31"/>
      <c r="J607" s="193" t="s">
        <v>6925</v>
      </c>
      <c r="K607" s="125" t="s">
        <v>15</v>
      </c>
      <c r="L607" s="16"/>
      <c r="M607" s="8">
        <v>2</v>
      </c>
      <c r="N607" s="31"/>
      <c r="O607" s="754" t="s">
        <v>6926</v>
      </c>
      <c r="P607" s="31"/>
    </row>
    <row r="608" spans="1:16" s="17" customFormat="1" ht="33" customHeight="1">
      <c r="A608" s="595"/>
      <c r="B608" s="198">
        <v>46261</v>
      </c>
      <c r="C608" s="3" t="s">
        <v>21</v>
      </c>
      <c r="D608" s="3" t="s">
        <v>14</v>
      </c>
      <c r="E608" s="454" t="s">
        <v>6927</v>
      </c>
      <c r="F608" s="454" t="s">
        <v>6928</v>
      </c>
      <c r="G608" s="459" t="s">
        <v>6929</v>
      </c>
      <c r="H608" s="453" t="s">
        <v>6930</v>
      </c>
      <c r="I608" s="454" t="s">
        <v>6932</v>
      </c>
      <c r="J608" s="453" t="s">
        <v>6931</v>
      </c>
      <c r="K608" s="136" t="s">
        <v>15</v>
      </c>
      <c r="L608" s="459">
        <v>9080</v>
      </c>
      <c r="M608" s="455">
        <v>3</v>
      </c>
      <c r="N608" s="454"/>
      <c r="O608" s="802" t="s">
        <v>4661</v>
      </c>
      <c r="P608" s="454"/>
    </row>
    <row r="609" spans="1:17" s="17" customFormat="1" ht="33" customHeight="1">
      <c r="A609" s="595"/>
      <c r="B609" s="198">
        <v>46261</v>
      </c>
      <c r="C609" s="4" t="s">
        <v>21</v>
      </c>
      <c r="D609" s="4" t="s">
        <v>17</v>
      </c>
      <c r="E609" s="786" t="s">
        <v>78</v>
      </c>
      <c r="F609" s="786" t="s">
        <v>6666</v>
      </c>
      <c r="G609" s="16" t="s">
        <v>207</v>
      </c>
      <c r="H609" s="791" t="s">
        <v>6867</v>
      </c>
      <c r="I609" s="786"/>
      <c r="J609" s="791" t="s">
        <v>641</v>
      </c>
      <c r="K609" s="125"/>
      <c r="L609" s="16" t="s">
        <v>6287</v>
      </c>
      <c r="M609" s="8">
        <v>2</v>
      </c>
      <c r="N609" s="456"/>
      <c r="O609" s="473" t="s">
        <v>6961</v>
      </c>
      <c r="P609" s="454"/>
      <c r="Q609" s="17" t="s">
        <v>6729</v>
      </c>
    </row>
    <row r="610" spans="1:17" s="474" customFormat="1" ht="33" customHeight="1">
      <c r="A610" s="695"/>
      <c r="B610" s="198">
        <v>46261</v>
      </c>
      <c r="C610" s="3" t="s">
        <v>6707</v>
      </c>
      <c r="D610" s="3" t="s">
        <v>151</v>
      </c>
      <c r="E610" s="454" t="s">
        <v>6895</v>
      </c>
      <c r="F610" s="454" t="s">
        <v>6894</v>
      </c>
      <c r="G610" s="459" t="s">
        <v>145</v>
      </c>
      <c r="H610" s="453" t="s">
        <v>6896</v>
      </c>
      <c r="I610" s="454" t="s">
        <v>6897</v>
      </c>
      <c r="J610" s="454"/>
      <c r="K610" s="730" t="s">
        <v>6898</v>
      </c>
      <c r="L610" s="459" t="s">
        <v>4875</v>
      </c>
      <c r="M610" s="455">
        <v>2</v>
      </c>
      <c r="N610" s="456"/>
      <c r="O610" s="473"/>
      <c r="P610" s="454"/>
    </row>
    <row r="611" spans="1:17" s="474" customFormat="1" ht="33" customHeight="1">
      <c r="A611" s="695"/>
      <c r="B611" s="399">
        <v>46262</v>
      </c>
      <c r="C611" s="3" t="s">
        <v>21</v>
      </c>
      <c r="D611" s="3" t="s">
        <v>14</v>
      </c>
      <c r="E611" s="454" t="s">
        <v>6927</v>
      </c>
      <c r="F611" s="454" t="s">
        <v>3589</v>
      </c>
      <c r="G611" s="459" t="s">
        <v>6929</v>
      </c>
      <c r="H611" s="453" t="s">
        <v>6930</v>
      </c>
      <c r="I611" s="454" t="s">
        <v>202</v>
      </c>
      <c r="J611" s="453" t="s">
        <v>7016</v>
      </c>
      <c r="K611" s="136" t="s">
        <v>15</v>
      </c>
      <c r="L611" s="459">
        <v>9080</v>
      </c>
      <c r="M611" s="455">
        <v>4</v>
      </c>
      <c r="N611" s="456"/>
      <c r="O611" s="473"/>
      <c r="P611" s="454"/>
    </row>
    <row r="612" spans="1:17" s="17" customFormat="1" ht="33" customHeight="1">
      <c r="A612" s="595"/>
      <c r="B612" s="399">
        <v>46262</v>
      </c>
      <c r="C612" s="4" t="s">
        <v>6707</v>
      </c>
      <c r="D612" s="4" t="s">
        <v>151</v>
      </c>
      <c r="E612" s="31" t="s">
        <v>6709</v>
      </c>
      <c r="F612" s="31">
        <v>7065</v>
      </c>
      <c r="G612" s="16" t="s">
        <v>145</v>
      </c>
      <c r="H612" s="193" t="s">
        <v>6706</v>
      </c>
      <c r="I612" s="31" t="s">
        <v>6312</v>
      </c>
      <c r="J612" s="31"/>
      <c r="K612" s="277" t="s">
        <v>209</v>
      </c>
      <c r="L612" s="16">
        <v>9080</v>
      </c>
      <c r="M612" s="8">
        <v>1</v>
      </c>
      <c r="N612" s="422"/>
      <c r="O612" s="430"/>
      <c r="P612" s="31"/>
    </row>
    <row r="613" spans="1:17" s="17" customFormat="1" ht="33" customHeight="1">
      <c r="A613" s="595"/>
      <c r="B613" s="399">
        <v>46262</v>
      </c>
      <c r="C613" s="4" t="s">
        <v>6707</v>
      </c>
      <c r="D613" s="4" t="s">
        <v>151</v>
      </c>
      <c r="E613" s="31" t="s">
        <v>6895</v>
      </c>
      <c r="F613" s="31" t="s">
        <v>6894</v>
      </c>
      <c r="G613" s="16" t="s">
        <v>145</v>
      </c>
      <c r="H613" s="193" t="s">
        <v>6896</v>
      </c>
      <c r="I613" s="31" t="s">
        <v>6897</v>
      </c>
      <c r="J613" s="31"/>
      <c r="K613" s="277" t="s">
        <v>6898</v>
      </c>
      <c r="L613" s="16" t="s">
        <v>4875</v>
      </c>
      <c r="M613" s="8">
        <v>2</v>
      </c>
      <c r="N613" s="422"/>
      <c r="O613" s="430"/>
      <c r="P613" s="31"/>
    </row>
    <row r="614" spans="1:17" s="17" customFormat="1" ht="33" customHeight="1">
      <c r="A614" s="785"/>
      <c r="B614" s="399">
        <v>46262</v>
      </c>
      <c r="C614" s="3" t="s">
        <v>21</v>
      </c>
      <c r="D614" s="3" t="s">
        <v>14</v>
      </c>
      <c r="E614" s="454" t="s">
        <v>149</v>
      </c>
      <c r="F614" s="454" t="s">
        <v>3415</v>
      </c>
      <c r="G614" s="459" t="s">
        <v>23</v>
      </c>
      <c r="H614" s="453" t="s">
        <v>6864</v>
      </c>
      <c r="I614" s="453" t="s">
        <v>6968</v>
      </c>
      <c r="J614" s="454" t="s">
        <v>2828</v>
      </c>
      <c r="K614" s="136" t="s">
        <v>15</v>
      </c>
      <c r="L614" s="459" t="s">
        <v>6959</v>
      </c>
      <c r="M614" s="455">
        <v>2</v>
      </c>
      <c r="N614" s="790"/>
      <c r="O614" s="430"/>
      <c r="P614" s="786"/>
    </row>
    <row r="615" spans="1:17" s="17" customFormat="1" ht="33" customHeight="1">
      <c r="A615" s="785"/>
      <c r="B615" s="399">
        <v>46263</v>
      </c>
      <c r="C615" s="3" t="s">
        <v>6969</v>
      </c>
      <c r="D615" s="3" t="s">
        <v>77</v>
      </c>
      <c r="E615" s="454" t="s">
        <v>5890</v>
      </c>
      <c r="F615" s="454">
        <v>3307</v>
      </c>
      <c r="G615" s="459" t="s">
        <v>1328</v>
      </c>
      <c r="H615" s="453" t="s">
        <v>6975</v>
      </c>
      <c r="I615" s="453" t="s">
        <v>6971</v>
      </c>
      <c r="J615" s="454" t="s">
        <v>686</v>
      </c>
      <c r="K615" s="136" t="s">
        <v>15</v>
      </c>
      <c r="L615" s="459" t="s">
        <v>6972</v>
      </c>
      <c r="M615" s="455">
        <v>3</v>
      </c>
      <c r="N615" s="790"/>
      <c r="O615" s="430"/>
      <c r="P615" s="786"/>
    </row>
    <row r="616" spans="1:17" s="17" customFormat="1" ht="33" customHeight="1">
      <c r="A616" s="596"/>
      <c r="B616" s="399">
        <v>46263</v>
      </c>
      <c r="C616" s="3" t="s">
        <v>21</v>
      </c>
      <c r="D616" s="3" t="s">
        <v>14</v>
      </c>
      <c r="E616" s="454" t="s">
        <v>149</v>
      </c>
      <c r="F616" s="454" t="s">
        <v>3415</v>
      </c>
      <c r="G616" s="459" t="s">
        <v>23</v>
      </c>
      <c r="H616" s="453" t="s">
        <v>6864</v>
      </c>
      <c r="I616" s="453" t="s">
        <v>6968</v>
      </c>
      <c r="J616" s="454" t="s">
        <v>2828</v>
      </c>
      <c r="K616" s="136" t="s">
        <v>15</v>
      </c>
      <c r="L616" s="459" t="s">
        <v>6959</v>
      </c>
      <c r="M616" s="455">
        <v>2</v>
      </c>
      <c r="N616" s="31"/>
      <c r="O616" s="432"/>
      <c r="P616" s="31"/>
    </row>
    <row r="617" spans="1:17" s="17" customFormat="1" ht="33" customHeight="1">
      <c r="A617" s="322" t="s">
        <v>0</v>
      </c>
      <c r="B617" s="323" t="s">
        <v>1</v>
      </c>
      <c r="C617" s="322" t="s">
        <v>2</v>
      </c>
      <c r="D617" s="322" t="s">
        <v>3</v>
      </c>
      <c r="E617" s="322" t="s">
        <v>4</v>
      </c>
      <c r="F617" s="322" t="s">
        <v>5</v>
      </c>
      <c r="G617" s="322" t="s">
        <v>6</v>
      </c>
      <c r="H617" s="324" t="s">
        <v>7</v>
      </c>
      <c r="I617" s="322" t="s">
        <v>8</v>
      </c>
      <c r="J617" s="322" t="s">
        <v>9</v>
      </c>
      <c r="K617" s="325" t="s">
        <v>10</v>
      </c>
      <c r="L617" s="326" t="s">
        <v>11</v>
      </c>
      <c r="M617" s="322" t="s">
        <v>12</v>
      </c>
      <c r="N617" s="327" t="s">
        <v>13</v>
      </c>
      <c r="O617" s="427" t="s">
        <v>63</v>
      </c>
      <c r="P617" s="322" t="s">
        <v>123</v>
      </c>
    </row>
    <row r="618" spans="1:17" s="17" customFormat="1" ht="33" customHeight="1">
      <c r="A618" s="594" t="s">
        <v>6333</v>
      </c>
      <c r="B618" s="399">
        <v>46265</v>
      </c>
      <c r="C618" s="3" t="s">
        <v>6969</v>
      </c>
      <c r="D618" s="3" t="s">
        <v>77</v>
      </c>
      <c r="E618" s="454" t="s">
        <v>5890</v>
      </c>
      <c r="F618" s="454">
        <v>3307</v>
      </c>
      <c r="G618" s="459" t="s">
        <v>1328</v>
      </c>
      <c r="H618" s="453" t="s">
        <v>6976</v>
      </c>
      <c r="I618" s="453" t="s">
        <v>6971</v>
      </c>
      <c r="J618" s="454" t="s">
        <v>686</v>
      </c>
      <c r="K618" s="136" t="s">
        <v>15</v>
      </c>
      <c r="L618" s="459" t="s">
        <v>6972</v>
      </c>
      <c r="M618" s="455">
        <v>3</v>
      </c>
      <c r="N618" s="31"/>
      <c r="O618" s="430" t="s">
        <v>7002</v>
      </c>
      <c r="P618" s="31"/>
    </row>
    <row r="619" spans="1:17" s="17" customFormat="1" ht="33" customHeight="1">
      <c r="A619" s="785"/>
      <c r="B619" s="399">
        <v>46265</v>
      </c>
      <c r="C619" s="3" t="s">
        <v>21</v>
      </c>
      <c r="D619" s="3" t="s">
        <v>14</v>
      </c>
      <c r="E619" s="454" t="s">
        <v>211</v>
      </c>
      <c r="F619" s="454" t="s">
        <v>2916</v>
      </c>
      <c r="G619" s="459" t="s">
        <v>2917</v>
      </c>
      <c r="H619" s="453" t="s">
        <v>6981</v>
      </c>
      <c r="I619" s="453" t="s">
        <v>6982</v>
      </c>
      <c r="J619" s="458" t="s">
        <v>7013</v>
      </c>
      <c r="K619" s="136" t="s">
        <v>6983</v>
      </c>
      <c r="L619" s="459" t="s">
        <v>6959</v>
      </c>
      <c r="M619" s="455">
        <v>6</v>
      </c>
      <c r="N619" s="786"/>
      <c r="O619" s="430" t="s">
        <v>7014</v>
      </c>
      <c r="P619" s="786"/>
    </row>
    <row r="620" spans="1:17" s="17" customFormat="1" ht="33" customHeight="1">
      <c r="A620" s="785"/>
      <c r="B620" s="399">
        <v>46265</v>
      </c>
      <c r="C620" s="4" t="s">
        <v>6707</v>
      </c>
      <c r="D620" s="4" t="s">
        <v>25</v>
      </c>
      <c r="E620" s="786" t="s">
        <v>6895</v>
      </c>
      <c r="F620" s="786" t="s">
        <v>6075</v>
      </c>
      <c r="G620" s="16" t="s">
        <v>145</v>
      </c>
      <c r="H620" s="453" t="s">
        <v>7004</v>
      </c>
      <c r="I620" s="453" t="s">
        <v>7005</v>
      </c>
      <c r="J620" s="458"/>
      <c r="K620" s="136"/>
      <c r="L620" s="459" t="s">
        <v>7006</v>
      </c>
      <c r="M620" s="455">
        <v>1</v>
      </c>
      <c r="N620" s="786"/>
      <c r="O620" s="430"/>
      <c r="P620" s="786"/>
    </row>
    <row r="621" spans="1:17" s="17" customFormat="1" ht="33" customHeight="1">
      <c r="A621" s="785"/>
      <c r="B621" s="399">
        <v>46265</v>
      </c>
      <c r="C621" s="4" t="s">
        <v>6707</v>
      </c>
      <c r="D621" s="4" t="s">
        <v>25</v>
      </c>
      <c r="E621" s="786" t="s">
        <v>6709</v>
      </c>
      <c r="F621" s="786">
        <v>7065</v>
      </c>
      <c r="G621" s="16" t="s">
        <v>145</v>
      </c>
      <c r="H621" s="791" t="s">
        <v>6706</v>
      </c>
      <c r="I621" s="786" t="s">
        <v>6312</v>
      </c>
      <c r="J621" s="786"/>
      <c r="K621" s="277" t="s">
        <v>209</v>
      </c>
      <c r="L621" s="16"/>
      <c r="M621" s="8">
        <v>1</v>
      </c>
      <c r="N621" s="786"/>
      <c r="O621" s="430"/>
      <c r="P621" s="786"/>
    </row>
    <row r="622" spans="1:17" s="17" customFormat="1" ht="33" customHeight="1">
      <c r="A622" s="785"/>
      <c r="B622" s="399">
        <v>46265</v>
      </c>
      <c r="C622" s="4" t="s">
        <v>138</v>
      </c>
      <c r="D622" s="4" t="s">
        <v>7010</v>
      </c>
      <c r="E622" s="786" t="s">
        <v>6964</v>
      </c>
      <c r="F622" s="786" t="s">
        <v>7009</v>
      </c>
      <c r="G622" s="16" t="s">
        <v>7007</v>
      </c>
      <c r="H622" s="791" t="s">
        <v>7008</v>
      </c>
      <c r="I622" s="786" t="s">
        <v>7011</v>
      </c>
      <c r="J622" s="786" t="s">
        <v>5606</v>
      </c>
      <c r="K622" s="277" t="s">
        <v>7012</v>
      </c>
      <c r="L622" s="16" t="s">
        <v>6287</v>
      </c>
      <c r="M622" s="8">
        <v>3</v>
      </c>
      <c r="N622" s="786"/>
      <c r="O622" s="430" t="s">
        <v>7015</v>
      </c>
      <c r="P622" s="786"/>
    </row>
    <row r="623" spans="1:17" s="17" customFormat="1" ht="33" customHeight="1">
      <c r="A623" s="793"/>
      <c r="B623" s="399">
        <v>46266</v>
      </c>
      <c r="C623" s="3" t="s">
        <v>21</v>
      </c>
      <c r="D623" s="3" t="s">
        <v>14</v>
      </c>
      <c r="E623" s="454" t="s">
        <v>7029</v>
      </c>
      <c r="F623" s="454" t="s">
        <v>3415</v>
      </c>
      <c r="G623" s="459" t="s">
        <v>23</v>
      </c>
      <c r="H623" s="799" t="s">
        <v>7024</v>
      </c>
      <c r="I623" s="796"/>
      <c r="J623" s="796" t="s">
        <v>7027</v>
      </c>
      <c r="K623" s="277" t="s">
        <v>15</v>
      </c>
      <c r="L623" s="16" t="s">
        <v>7028</v>
      </c>
      <c r="M623" s="8">
        <v>2</v>
      </c>
      <c r="N623" s="796"/>
      <c r="O623" s="430"/>
      <c r="P623" s="796"/>
    </row>
    <row r="624" spans="1:17" s="17" customFormat="1" ht="33" customHeight="1">
      <c r="A624" s="595"/>
      <c r="B624" s="399">
        <v>46266</v>
      </c>
      <c r="C624" s="3" t="s">
        <v>6969</v>
      </c>
      <c r="D624" s="3" t="s">
        <v>77</v>
      </c>
      <c r="E624" s="454" t="s">
        <v>5890</v>
      </c>
      <c r="F624" s="454">
        <v>3307</v>
      </c>
      <c r="G624" s="459" t="s">
        <v>1328</v>
      </c>
      <c r="H624" s="453" t="s">
        <v>6977</v>
      </c>
      <c r="I624" s="453" t="s">
        <v>6971</v>
      </c>
      <c r="J624" s="454" t="s">
        <v>686</v>
      </c>
      <c r="K624" s="136" t="s">
        <v>15</v>
      </c>
      <c r="L624" s="459" t="s">
        <v>6972</v>
      </c>
      <c r="M624" s="455">
        <v>3</v>
      </c>
      <c r="N624" s="31"/>
      <c r="O624" s="430" t="s">
        <v>7002</v>
      </c>
      <c r="P624" s="31"/>
    </row>
    <row r="625" spans="1:16" s="17" customFormat="1" ht="33" customHeight="1">
      <c r="A625" s="793"/>
      <c r="B625" s="399">
        <v>46266</v>
      </c>
      <c r="C625" s="3" t="s">
        <v>1301</v>
      </c>
      <c r="D625" s="3" t="s">
        <v>17</v>
      </c>
      <c r="E625" s="454" t="s">
        <v>6950</v>
      </c>
      <c r="F625" s="454">
        <v>7064</v>
      </c>
      <c r="G625" s="459" t="s">
        <v>7030</v>
      </c>
      <c r="H625" s="453" t="s">
        <v>7031</v>
      </c>
      <c r="I625" s="453" t="s">
        <v>1690</v>
      </c>
      <c r="J625" s="454" t="s">
        <v>316</v>
      </c>
      <c r="K625" s="136" t="s">
        <v>1356</v>
      </c>
      <c r="L625" s="459" t="s">
        <v>7032</v>
      </c>
      <c r="M625" s="455">
        <v>2</v>
      </c>
      <c r="N625" s="796"/>
      <c r="O625" s="430"/>
      <c r="P625" s="796"/>
    </row>
    <row r="626" spans="1:16" s="17" customFormat="1" ht="33" customHeight="1">
      <c r="A626" s="785"/>
      <c r="B626" s="399">
        <v>46266</v>
      </c>
      <c r="C626" s="4" t="s">
        <v>21</v>
      </c>
      <c r="D626" s="4" t="s">
        <v>17</v>
      </c>
      <c r="E626" s="786" t="s">
        <v>78</v>
      </c>
      <c r="F626" s="786">
        <v>7060</v>
      </c>
      <c r="G626" s="16" t="s">
        <v>36</v>
      </c>
      <c r="H626" s="791" t="s">
        <v>7025</v>
      </c>
      <c r="I626" s="786" t="s">
        <v>6842</v>
      </c>
      <c r="J626" s="786"/>
      <c r="K626" s="125" t="s">
        <v>15</v>
      </c>
      <c r="L626" s="16">
        <v>9080</v>
      </c>
      <c r="M626" s="8">
        <v>2</v>
      </c>
      <c r="N626" s="786"/>
      <c r="O626" s="431"/>
      <c r="P626" s="786"/>
    </row>
    <row r="627" spans="1:16" s="17" customFormat="1" ht="33" customHeight="1">
      <c r="A627" s="785"/>
      <c r="B627" s="399">
        <v>46266</v>
      </c>
      <c r="C627" s="4" t="s">
        <v>21</v>
      </c>
      <c r="D627" s="4" t="s">
        <v>14</v>
      </c>
      <c r="E627" s="786" t="s">
        <v>140</v>
      </c>
      <c r="F627" s="786" t="s">
        <v>2959</v>
      </c>
      <c r="G627" s="16" t="s">
        <v>6980</v>
      </c>
      <c r="H627" s="791" t="s">
        <v>6949</v>
      </c>
      <c r="I627" s="786" t="s">
        <v>6996</v>
      </c>
      <c r="J627" s="786" t="s">
        <v>686</v>
      </c>
      <c r="K627" s="125" t="s">
        <v>15</v>
      </c>
      <c r="L627" s="16" t="s">
        <v>6287</v>
      </c>
      <c r="M627" s="8">
        <v>2</v>
      </c>
      <c r="N627" s="786"/>
      <c r="O627" s="430" t="s">
        <v>6116</v>
      </c>
      <c r="P627" s="786"/>
    </row>
    <row r="628" spans="1:16" s="17" customFormat="1" ht="33" customHeight="1">
      <c r="A628" s="793"/>
      <c r="B628" s="399">
        <v>46267</v>
      </c>
      <c r="C628" s="3" t="s">
        <v>21</v>
      </c>
      <c r="D628" s="3" t="s">
        <v>14</v>
      </c>
      <c r="E628" s="454" t="s">
        <v>211</v>
      </c>
      <c r="F628" s="454" t="s">
        <v>2916</v>
      </c>
      <c r="G628" s="459" t="s">
        <v>2917</v>
      </c>
      <c r="H628" s="799" t="s">
        <v>7034</v>
      </c>
      <c r="I628" s="796" t="s">
        <v>7033</v>
      </c>
      <c r="J628" s="796"/>
      <c r="K628" s="125" t="s">
        <v>1356</v>
      </c>
      <c r="L628" s="16">
        <v>9080</v>
      </c>
      <c r="M628" s="8">
        <v>2</v>
      </c>
      <c r="N628" s="796"/>
      <c r="O628" s="430"/>
      <c r="P628" s="796"/>
    </row>
    <row r="629" spans="1:16" s="17" customFormat="1" ht="33" customHeight="1">
      <c r="A629" s="595"/>
      <c r="B629" s="399">
        <v>46267</v>
      </c>
      <c r="C629" s="4" t="s">
        <v>6933</v>
      </c>
      <c r="D629" s="4" t="s">
        <v>17</v>
      </c>
      <c r="E629" s="31" t="s">
        <v>6942</v>
      </c>
      <c r="F629" s="31" t="s">
        <v>6943</v>
      </c>
      <c r="G629" s="16" t="s">
        <v>6944</v>
      </c>
      <c r="H629" s="193" t="s">
        <v>6945</v>
      </c>
      <c r="I629" s="31" t="s">
        <v>6932</v>
      </c>
      <c r="J629" s="193" t="s">
        <v>6960</v>
      </c>
      <c r="K629" s="125" t="s">
        <v>6939</v>
      </c>
      <c r="L629" s="16" t="s">
        <v>7035</v>
      </c>
      <c r="M629" s="8">
        <v>2</v>
      </c>
      <c r="N629" s="422"/>
      <c r="O629" s="430" t="s">
        <v>6946</v>
      </c>
      <c r="P629" s="31"/>
    </row>
    <row r="630" spans="1:16" s="17" customFormat="1" ht="33" customHeight="1">
      <c r="A630" s="785"/>
      <c r="B630" s="399">
        <v>46267</v>
      </c>
      <c r="C630" s="4" t="s">
        <v>21</v>
      </c>
      <c r="D630" s="4" t="s">
        <v>14</v>
      </c>
      <c r="E630" s="786" t="s">
        <v>140</v>
      </c>
      <c r="F630" s="786" t="s">
        <v>2959</v>
      </c>
      <c r="G630" s="16" t="s">
        <v>143</v>
      </c>
      <c r="H630" s="791" t="s">
        <v>6949</v>
      </c>
      <c r="I630" s="786"/>
      <c r="J630" s="786" t="s">
        <v>641</v>
      </c>
      <c r="K630" s="125" t="s">
        <v>15</v>
      </c>
      <c r="L630" s="16" t="s">
        <v>6287</v>
      </c>
      <c r="M630" s="8">
        <v>2</v>
      </c>
      <c r="N630" s="790"/>
      <c r="O630" s="430" t="s">
        <v>6997</v>
      </c>
      <c r="P630" s="786"/>
    </row>
    <row r="631" spans="1:16" s="17" customFormat="1" ht="33" customHeight="1">
      <c r="A631" s="785"/>
      <c r="B631" s="399">
        <v>46267</v>
      </c>
      <c r="C631" s="3" t="s">
        <v>6969</v>
      </c>
      <c r="D631" s="3" t="s">
        <v>77</v>
      </c>
      <c r="E631" s="454" t="s">
        <v>5890</v>
      </c>
      <c r="F631" s="454">
        <v>3307</v>
      </c>
      <c r="G631" s="459" t="s">
        <v>1328</v>
      </c>
      <c r="H631" s="453" t="s">
        <v>6970</v>
      </c>
      <c r="I631" s="453" t="s">
        <v>6971</v>
      </c>
      <c r="J631" s="454" t="s">
        <v>686</v>
      </c>
      <c r="K631" s="136" t="s">
        <v>15</v>
      </c>
      <c r="L631" s="459" t="s">
        <v>6972</v>
      </c>
      <c r="M631" s="455">
        <v>3</v>
      </c>
      <c r="N631" s="790"/>
      <c r="O631" s="430" t="s">
        <v>7002</v>
      </c>
      <c r="P631" s="786"/>
    </row>
    <row r="632" spans="1:16" s="17" customFormat="1" ht="33" customHeight="1">
      <c r="A632" s="785"/>
      <c r="B632" s="399">
        <v>46268</v>
      </c>
      <c r="C632" s="4" t="s">
        <v>6707</v>
      </c>
      <c r="D632" s="4" t="s">
        <v>25</v>
      </c>
      <c r="E632" s="786" t="s">
        <v>6709</v>
      </c>
      <c r="F632" s="786">
        <v>7065</v>
      </c>
      <c r="G632" s="16" t="s">
        <v>145</v>
      </c>
      <c r="H632" s="791" t="s">
        <v>6706</v>
      </c>
      <c r="I632" s="786" t="s">
        <v>6312</v>
      </c>
      <c r="J632" s="786"/>
      <c r="K632" s="277" t="s">
        <v>209</v>
      </c>
      <c r="L632" s="16">
        <v>9080</v>
      </c>
      <c r="M632" s="8">
        <v>1</v>
      </c>
      <c r="N632" s="790"/>
      <c r="O632" s="430"/>
      <c r="P632" s="786"/>
    </row>
    <row r="633" spans="1:16" s="17" customFormat="1" ht="33" customHeight="1">
      <c r="A633" s="785"/>
      <c r="B633" s="399">
        <v>46268</v>
      </c>
      <c r="C633" s="3" t="s">
        <v>21</v>
      </c>
      <c r="D633" s="3" t="s">
        <v>77</v>
      </c>
      <c r="E633" s="453" t="s">
        <v>6517</v>
      </c>
      <c r="F633" s="454" t="s">
        <v>2653</v>
      </c>
      <c r="G633" s="459" t="s">
        <v>102</v>
      </c>
      <c r="H633" s="453" t="s">
        <v>6990</v>
      </c>
      <c r="I633" s="453" t="s">
        <v>126</v>
      </c>
      <c r="J633" s="454" t="s">
        <v>6989</v>
      </c>
      <c r="K633" s="136" t="s">
        <v>15</v>
      </c>
      <c r="L633" s="459" t="s">
        <v>4525</v>
      </c>
      <c r="M633" s="455">
        <v>2</v>
      </c>
      <c r="N633" s="790"/>
      <c r="O633" s="430" t="s">
        <v>5899</v>
      </c>
      <c r="P633" s="786"/>
    </row>
    <row r="634" spans="1:16" s="17" customFormat="1" ht="33" customHeight="1">
      <c r="A634" s="793"/>
      <c r="B634" s="399">
        <v>46268</v>
      </c>
      <c r="C634" s="4" t="s">
        <v>21</v>
      </c>
      <c r="D634" s="4" t="s">
        <v>14</v>
      </c>
      <c r="E634" s="796" t="s">
        <v>140</v>
      </c>
      <c r="F634" s="796" t="s">
        <v>2959</v>
      </c>
      <c r="G634" s="16" t="s">
        <v>143</v>
      </c>
      <c r="H634" s="799" t="s">
        <v>6949</v>
      </c>
      <c r="I634" s="796"/>
      <c r="J634" s="796" t="s">
        <v>641</v>
      </c>
      <c r="K634" s="125" t="s">
        <v>15</v>
      </c>
      <c r="L634" s="16" t="s">
        <v>6287</v>
      </c>
      <c r="M634" s="8">
        <v>2</v>
      </c>
      <c r="N634" s="798"/>
      <c r="O634" s="430" t="s">
        <v>7036</v>
      </c>
      <c r="P634" s="796"/>
    </row>
    <row r="635" spans="1:16" s="17" customFormat="1" ht="33" customHeight="1">
      <c r="A635" s="785"/>
      <c r="B635" s="399">
        <v>46268</v>
      </c>
      <c r="C635" s="4" t="s">
        <v>21</v>
      </c>
      <c r="D635" s="4" t="s">
        <v>14</v>
      </c>
      <c r="E635" s="786" t="s">
        <v>140</v>
      </c>
      <c r="F635" s="786" t="s">
        <v>2959</v>
      </c>
      <c r="G635" s="16" t="s">
        <v>6979</v>
      </c>
      <c r="H635" s="791" t="s">
        <v>6949</v>
      </c>
      <c r="I635" s="786"/>
      <c r="J635" s="786" t="s">
        <v>6998</v>
      </c>
      <c r="K635" s="125" t="s">
        <v>15</v>
      </c>
      <c r="L635" s="16" t="s">
        <v>6287</v>
      </c>
      <c r="M635" s="8">
        <v>3</v>
      </c>
      <c r="N635" s="790"/>
      <c r="O635" s="430" t="s">
        <v>6999</v>
      </c>
      <c r="P635" s="786"/>
    </row>
    <row r="636" spans="1:16" s="17" customFormat="1" ht="33" customHeight="1">
      <c r="A636" s="785"/>
      <c r="B636" s="399">
        <v>46268</v>
      </c>
      <c r="C636" s="3" t="s">
        <v>6969</v>
      </c>
      <c r="D636" s="3" t="s">
        <v>77</v>
      </c>
      <c r="E636" s="454" t="s">
        <v>5890</v>
      </c>
      <c r="F636" s="454">
        <v>3307</v>
      </c>
      <c r="G636" s="459" t="s">
        <v>1328</v>
      </c>
      <c r="H636" s="453" t="s">
        <v>6978</v>
      </c>
      <c r="I636" s="453" t="s">
        <v>6971</v>
      </c>
      <c r="J636" s="454" t="s">
        <v>686</v>
      </c>
      <c r="K636" s="136" t="s">
        <v>15</v>
      </c>
      <c r="L636" s="459" t="s">
        <v>6972</v>
      </c>
      <c r="M636" s="455">
        <v>3</v>
      </c>
      <c r="N636" s="790"/>
      <c r="O636" s="430" t="s">
        <v>7002</v>
      </c>
      <c r="P636" s="786"/>
    </row>
    <row r="637" spans="1:16" s="17" customFormat="1" ht="33" customHeight="1">
      <c r="A637" s="793"/>
      <c r="B637" s="399">
        <v>46269</v>
      </c>
      <c r="C637" s="3" t="s">
        <v>21</v>
      </c>
      <c r="D637" s="3" t="s">
        <v>14</v>
      </c>
      <c r="E637" s="454" t="s">
        <v>7029</v>
      </c>
      <c r="F637" s="454" t="s">
        <v>3415</v>
      </c>
      <c r="G637" s="459" t="s">
        <v>23</v>
      </c>
      <c r="H637" s="799" t="s">
        <v>7042</v>
      </c>
      <c r="I637" s="796"/>
      <c r="J637" s="796" t="s">
        <v>7043</v>
      </c>
      <c r="K637" s="277" t="s">
        <v>15</v>
      </c>
      <c r="L637" s="16" t="s">
        <v>4550</v>
      </c>
      <c r="M637" s="8">
        <v>1</v>
      </c>
      <c r="N637" s="798"/>
      <c r="O637" s="430"/>
      <c r="P637" s="796"/>
    </row>
    <row r="638" spans="1:16" s="17" customFormat="1" ht="33" customHeight="1">
      <c r="A638" s="785"/>
      <c r="B638" s="399">
        <v>46269</v>
      </c>
      <c r="C638" s="4" t="s">
        <v>6707</v>
      </c>
      <c r="D638" s="4" t="s">
        <v>25</v>
      </c>
      <c r="E638" s="786" t="s">
        <v>6709</v>
      </c>
      <c r="F638" s="786">
        <v>7065</v>
      </c>
      <c r="G638" s="16" t="s">
        <v>145</v>
      </c>
      <c r="H638" s="791" t="s">
        <v>6706</v>
      </c>
      <c r="I638" s="786" t="s">
        <v>6312</v>
      </c>
      <c r="J638" s="786"/>
      <c r="K638" s="277" t="s">
        <v>209</v>
      </c>
      <c r="L638" s="16">
        <v>9080</v>
      </c>
      <c r="M638" s="8">
        <v>1</v>
      </c>
      <c r="N638" s="790" t="s">
        <v>7037</v>
      </c>
      <c r="O638" s="430"/>
      <c r="P638" s="786"/>
    </row>
    <row r="639" spans="1:16" s="17" customFormat="1" ht="33" customHeight="1">
      <c r="A639" s="785"/>
      <c r="B639" s="399">
        <v>46269</v>
      </c>
      <c r="C639" s="3" t="s">
        <v>21</v>
      </c>
      <c r="D639" s="3" t="s">
        <v>6991</v>
      </c>
      <c r="E639" s="454" t="s">
        <v>6992</v>
      </c>
      <c r="F639" s="453" t="s">
        <v>6995</v>
      </c>
      <c r="G639" s="459" t="s">
        <v>6993</v>
      </c>
      <c r="H639" s="453" t="s">
        <v>6994</v>
      </c>
      <c r="I639" s="453" t="s">
        <v>126</v>
      </c>
      <c r="J639" s="454" t="s">
        <v>6989</v>
      </c>
      <c r="K639" s="136" t="s">
        <v>15</v>
      </c>
      <c r="L639" s="459" t="s">
        <v>4525</v>
      </c>
      <c r="M639" s="455">
        <v>2</v>
      </c>
      <c r="N639" s="790"/>
      <c r="O639" s="430" t="s">
        <v>5899</v>
      </c>
      <c r="P639" s="786"/>
    </row>
    <row r="640" spans="1:16" s="17" customFormat="1" ht="33" customHeight="1">
      <c r="A640" s="785"/>
      <c r="B640" s="399">
        <v>46269</v>
      </c>
      <c r="C640" s="3" t="s">
        <v>6969</v>
      </c>
      <c r="D640" s="3" t="s">
        <v>77</v>
      </c>
      <c r="E640" s="454" t="s">
        <v>5890</v>
      </c>
      <c r="F640" s="454">
        <v>3307</v>
      </c>
      <c r="G640" s="459" t="s">
        <v>1328</v>
      </c>
      <c r="H640" s="453" t="s">
        <v>6973</v>
      </c>
      <c r="I640" s="453" t="s">
        <v>6971</v>
      </c>
      <c r="J640" s="454" t="s">
        <v>686</v>
      </c>
      <c r="K640" s="136" t="s">
        <v>15</v>
      </c>
      <c r="L640" s="459" t="s">
        <v>6972</v>
      </c>
      <c r="M640" s="455">
        <v>3</v>
      </c>
      <c r="N640" s="790"/>
      <c r="O640" s="430" t="s">
        <v>7002</v>
      </c>
      <c r="P640" s="786"/>
    </row>
    <row r="641" spans="1:16" s="17" customFormat="1" ht="33" customHeight="1">
      <c r="A641" s="595"/>
      <c r="B641" s="399">
        <v>46269</v>
      </c>
      <c r="C641" s="3" t="s">
        <v>21</v>
      </c>
      <c r="D641" s="3" t="s">
        <v>70</v>
      </c>
      <c r="E641" s="454" t="s">
        <v>1787</v>
      </c>
      <c r="F641" s="454" t="s">
        <v>2978</v>
      </c>
      <c r="G641" s="459" t="s">
        <v>40</v>
      </c>
      <c r="H641" s="453" t="s">
        <v>7001</v>
      </c>
      <c r="I641" s="454" t="s">
        <v>7000</v>
      </c>
      <c r="J641" s="786" t="s">
        <v>641</v>
      </c>
      <c r="K641" s="125" t="s">
        <v>15</v>
      </c>
      <c r="L641" s="16" t="s">
        <v>6287</v>
      </c>
      <c r="M641" s="8">
        <v>3</v>
      </c>
      <c r="N641" s="422"/>
      <c r="O641" s="430" t="s">
        <v>6997</v>
      </c>
      <c r="P641" s="31"/>
    </row>
    <row r="642" spans="1:16" s="17" customFormat="1" ht="33" customHeight="1">
      <c r="A642" s="595"/>
      <c r="B642" s="399">
        <v>46269</v>
      </c>
      <c r="C642" s="4" t="s">
        <v>6933</v>
      </c>
      <c r="D642" s="4" t="s">
        <v>6934</v>
      </c>
      <c r="E642" s="31" t="s">
        <v>6935</v>
      </c>
      <c r="F642" s="31" t="s">
        <v>6936</v>
      </c>
      <c r="G642" s="16" t="s">
        <v>6937</v>
      </c>
      <c r="H642" s="193" t="s">
        <v>6941</v>
      </c>
      <c r="I642" s="31" t="s">
        <v>6932</v>
      </c>
      <c r="J642" s="193"/>
      <c r="K642" s="125" t="s">
        <v>6939</v>
      </c>
      <c r="L642" s="16" t="s">
        <v>6938</v>
      </c>
      <c r="M642" s="8">
        <v>1</v>
      </c>
      <c r="N642" s="422"/>
      <c r="O642" s="430" t="s">
        <v>6940</v>
      </c>
      <c r="P642" s="31"/>
    </row>
    <row r="643" spans="1:16" s="17" customFormat="1" ht="33" customHeight="1">
      <c r="A643" s="596"/>
      <c r="B643" s="399">
        <v>46270</v>
      </c>
      <c r="C643" s="3" t="s">
        <v>6969</v>
      </c>
      <c r="D643" s="3" t="s">
        <v>77</v>
      </c>
      <c r="E643" s="454" t="s">
        <v>5890</v>
      </c>
      <c r="F643" s="454">
        <v>3307</v>
      </c>
      <c r="G643" s="459" t="s">
        <v>1328</v>
      </c>
      <c r="H643" s="453" t="s">
        <v>6974</v>
      </c>
      <c r="I643" s="453" t="s">
        <v>6971</v>
      </c>
      <c r="J643" s="454" t="s">
        <v>686</v>
      </c>
      <c r="K643" s="136" t="s">
        <v>15</v>
      </c>
      <c r="L643" s="459" t="s">
        <v>6972</v>
      </c>
      <c r="M643" s="455">
        <v>3</v>
      </c>
      <c r="N643" s="31"/>
      <c r="O643" s="430" t="s">
        <v>7002</v>
      </c>
      <c r="P643" s="31"/>
    </row>
    <row r="644" spans="1:16" s="17" customFormat="1" ht="33" customHeight="1">
      <c r="A644" s="322" t="s">
        <v>0</v>
      </c>
      <c r="B644" s="323" t="s">
        <v>1</v>
      </c>
      <c r="C644" s="322" t="s">
        <v>2</v>
      </c>
      <c r="D644" s="322" t="s">
        <v>3</v>
      </c>
      <c r="E644" s="322" t="s">
        <v>4</v>
      </c>
      <c r="F644" s="322" t="s">
        <v>5</v>
      </c>
      <c r="G644" s="322" t="s">
        <v>6</v>
      </c>
      <c r="H644" s="324" t="s">
        <v>7</v>
      </c>
      <c r="I644" s="322" t="s">
        <v>8</v>
      </c>
      <c r="J644" s="322" t="s">
        <v>9</v>
      </c>
      <c r="K644" s="325" t="s">
        <v>10</v>
      </c>
      <c r="L644" s="326" t="s">
        <v>11</v>
      </c>
      <c r="M644" s="322" t="s">
        <v>12</v>
      </c>
      <c r="N644" s="327" t="s">
        <v>13</v>
      </c>
      <c r="O644" s="427" t="s">
        <v>63</v>
      </c>
      <c r="P644" s="322" t="s">
        <v>123</v>
      </c>
    </row>
    <row r="645" spans="1:16" s="17" customFormat="1" ht="33" customHeight="1">
      <c r="A645" s="594" t="s">
        <v>6763</v>
      </c>
      <c r="B645" s="399">
        <v>46272</v>
      </c>
      <c r="C645" s="4" t="s">
        <v>6948</v>
      </c>
      <c r="D645" s="4" t="s">
        <v>6934</v>
      </c>
      <c r="E645" s="31" t="s">
        <v>6950</v>
      </c>
      <c r="F645" s="31">
        <v>7064</v>
      </c>
      <c r="G645" s="16" t="s">
        <v>6951</v>
      </c>
      <c r="H645" s="193" t="s">
        <v>6952</v>
      </c>
      <c r="I645" s="31"/>
      <c r="J645" s="31" t="s">
        <v>6953</v>
      </c>
      <c r="K645" s="125" t="s">
        <v>6939</v>
      </c>
      <c r="L645" s="16" t="s">
        <v>6954</v>
      </c>
      <c r="M645" s="8">
        <v>4</v>
      </c>
      <c r="N645" s="422" t="s">
        <v>6947</v>
      </c>
      <c r="O645" s="428"/>
      <c r="P645" s="31"/>
    </row>
    <row r="646" spans="1:16" s="17" customFormat="1" ht="33" customHeight="1">
      <c r="A646" s="793"/>
      <c r="B646" s="399">
        <v>46272</v>
      </c>
      <c r="C646" s="4" t="s">
        <v>7056</v>
      </c>
      <c r="D646" s="4" t="s">
        <v>17</v>
      </c>
      <c r="E646" s="799" t="s">
        <v>7057</v>
      </c>
      <c r="F646" s="796" t="s">
        <v>7058</v>
      </c>
      <c r="G646" s="16" t="s">
        <v>7059</v>
      </c>
      <c r="H646" s="799" t="s">
        <v>7060</v>
      </c>
      <c r="I646" s="796"/>
      <c r="J646" s="796" t="s">
        <v>7061</v>
      </c>
      <c r="K646" s="125" t="s">
        <v>7062</v>
      </c>
      <c r="L646" s="16" t="s">
        <v>7063</v>
      </c>
      <c r="M646" s="8">
        <v>2</v>
      </c>
      <c r="N646" s="798"/>
      <c r="O646" s="428" t="s">
        <v>7064</v>
      </c>
      <c r="P646" s="796"/>
    </row>
    <row r="647" spans="1:16" s="17" customFormat="1" ht="33" customHeight="1">
      <c r="A647" s="793"/>
      <c r="B647" s="399">
        <v>46272</v>
      </c>
      <c r="C647" s="4" t="s">
        <v>6707</v>
      </c>
      <c r="D647" s="4" t="s">
        <v>25</v>
      </c>
      <c r="E647" s="796" t="s">
        <v>6709</v>
      </c>
      <c r="F647" s="796">
        <v>7065</v>
      </c>
      <c r="G647" s="16" t="s">
        <v>145</v>
      </c>
      <c r="H647" s="799" t="s">
        <v>6706</v>
      </c>
      <c r="I647" s="796" t="s">
        <v>6312</v>
      </c>
      <c r="J647" s="796"/>
      <c r="K647" s="277" t="s">
        <v>209</v>
      </c>
      <c r="L647" s="16">
        <v>9080</v>
      </c>
      <c r="M647" s="8">
        <v>1</v>
      </c>
      <c r="N647" s="798"/>
      <c r="O647" s="428"/>
      <c r="P647" s="796"/>
    </row>
    <row r="648" spans="1:16" s="17" customFormat="1" ht="33" customHeight="1">
      <c r="A648" s="793"/>
      <c r="B648" s="399">
        <v>46272</v>
      </c>
      <c r="C648" s="4" t="s">
        <v>21</v>
      </c>
      <c r="D648" s="4" t="s">
        <v>14</v>
      </c>
      <c r="E648" s="796" t="s">
        <v>140</v>
      </c>
      <c r="F648" s="796" t="s">
        <v>2959</v>
      </c>
      <c r="G648" s="16" t="s">
        <v>143</v>
      </c>
      <c r="H648" s="799" t="s">
        <v>6949</v>
      </c>
      <c r="I648" s="796" t="s">
        <v>7066</v>
      </c>
      <c r="J648" s="796" t="s">
        <v>7065</v>
      </c>
      <c r="K648" s="125" t="s">
        <v>15</v>
      </c>
      <c r="L648" s="16" t="s">
        <v>7074</v>
      </c>
      <c r="M648" s="8">
        <v>2</v>
      </c>
      <c r="N648" s="798"/>
      <c r="O648" s="428" t="s">
        <v>7068</v>
      </c>
      <c r="P648" s="796"/>
    </row>
    <row r="649" spans="1:16" s="17" customFormat="1" ht="33" customHeight="1">
      <c r="A649" s="793"/>
      <c r="B649" s="399">
        <v>46273</v>
      </c>
      <c r="C649" s="4" t="s">
        <v>21</v>
      </c>
      <c r="D649" s="4" t="s">
        <v>14</v>
      </c>
      <c r="E649" s="796" t="s">
        <v>140</v>
      </c>
      <c r="F649" s="796" t="s">
        <v>2959</v>
      </c>
      <c r="G649" s="16" t="s">
        <v>143</v>
      </c>
      <c r="H649" s="799" t="s">
        <v>6949</v>
      </c>
      <c r="I649" s="796" t="s">
        <v>7066</v>
      </c>
      <c r="J649" s="796" t="s">
        <v>7067</v>
      </c>
      <c r="K649" s="125" t="s">
        <v>15</v>
      </c>
      <c r="L649" s="16" t="s">
        <v>7074</v>
      </c>
      <c r="M649" s="8">
        <v>2</v>
      </c>
      <c r="N649" s="798"/>
      <c r="O649" s="428" t="s">
        <v>7069</v>
      </c>
      <c r="P649" s="796"/>
    </row>
    <row r="650" spans="1:16" s="17" customFormat="1" ht="33" customHeight="1">
      <c r="A650" s="793"/>
      <c r="B650" s="399">
        <v>46273</v>
      </c>
      <c r="C650" s="4" t="s">
        <v>21</v>
      </c>
      <c r="D650" s="4" t="s">
        <v>14</v>
      </c>
      <c r="E650" s="796" t="s">
        <v>107</v>
      </c>
      <c r="F650" s="796" t="s">
        <v>2959</v>
      </c>
      <c r="G650" s="16" t="s">
        <v>7044</v>
      </c>
      <c r="H650" s="799" t="s">
        <v>7102</v>
      </c>
      <c r="I650" s="796" t="s">
        <v>7066</v>
      </c>
      <c r="J650" s="796" t="s">
        <v>7067</v>
      </c>
      <c r="K650" s="125" t="s">
        <v>15</v>
      </c>
      <c r="L650" s="16" t="s">
        <v>7074</v>
      </c>
      <c r="M650" s="8">
        <v>2</v>
      </c>
      <c r="N650" s="798"/>
      <c r="O650" s="428" t="s">
        <v>7069</v>
      </c>
      <c r="P650" s="796"/>
    </row>
    <row r="651" spans="1:16" s="17" customFormat="1" ht="33" customHeight="1">
      <c r="A651" s="595"/>
      <c r="B651" s="399">
        <v>46273</v>
      </c>
      <c r="C651" s="4" t="s">
        <v>6948</v>
      </c>
      <c r="D651" s="4" t="s">
        <v>6934</v>
      </c>
      <c r="E651" s="31" t="s">
        <v>6950</v>
      </c>
      <c r="F651" s="31">
        <v>7064</v>
      </c>
      <c r="G651" s="16" t="s">
        <v>6951</v>
      </c>
      <c r="H651" s="193" t="s">
        <v>6952</v>
      </c>
      <c r="I651" s="31"/>
      <c r="J651" s="31" t="s">
        <v>6953</v>
      </c>
      <c r="K651" s="125" t="s">
        <v>6939</v>
      </c>
      <c r="L651" s="16" t="s">
        <v>6954</v>
      </c>
      <c r="M651" s="8">
        <v>4</v>
      </c>
      <c r="N651" s="31"/>
      <c r="O651" s="428"/>
      <c r="P651" s="31"/>
    </row>
    <row r="652" spans="1:16" s="17" customFormat="1" ht="33" customHeight="1">
      <c r="A652" s="793"/>
      <c r="B652" s="399">
        <v>46273</v>
      </c>
      <c r="C652" s="3" t="s">
        <v>21</v>
      </c>
      <c r="D652" s="3" t="s">
        <v>14</v>
      </c>
      <c r="E652" s="454" t="s">
        <v>211</v>
      </c>
      <c r="F652" s="454" t="s">
        <v>2916</v>
      </c>
      <c r="G652" s="459" t="s">
        <v>2917</v>
      </c>
      <c r="H652" s="799" t="s">
        <v>7038</v>
      </c>
      <c r="I652" s="799" t="s">
        <v>7070</v>
      </c>
      <c r="J652" s="796" t="s">
        <v>68</v>
      </c>
      <c r="K652" s="125" t="s">
        <v>1356</v>
      </c>
      <c r="L652" s="16">
        <v>9080</v>
      </c>
      <c r="M652" s="8">
        <v>4</v>
      </c>
      <c r="N652" s="796"/>
      <c r="O652" s="428"/>
      <c r="P652" s="796"/>
    </row>
    <row r="653" spans="1:16" s="17" customFormat="1" ht="33" customHeight="1">
      <c r="A653" s="793"/>
      <c r="B653" s="399">
        <v>46274</v>
      </c>
      <c r="C653" s="4" t="s">
        <v>6707</v>
      </c>
      <c r="D653" s="4" t="s">
        <v>25</v>
      </c>
      <c r="E653" s="796" t="s">
        <v>6709</v>
      </c>
      <c r="F653" s="796">
        <v>7065</v>
      </c>
      <c r="G653" s="16" t="s">
        <v>145</v>
      </c>
      <c r="H653" s="799" t="s">
        <v>6706</v>
      </c>
      <c r="I653" s="796" t="s">
        <v>6312</v>
      </c>
      <c r="J653" s="796"/>
      <c r="K653" s="277" t="s">
        <v>209</v>
      </c>
      <c r="L653" s="16">
        <v>9080</v>
      </c>
      <c r="M653" s="8">
        <v>1</v>
      </c>
      <c r="N653" s="796"/>
      <c r="O653" s="428"/>
      <c r="P653" s="796"/>
    </row>
    <row r="654" spans="1:16" s="17" customFormat="1" ht="33" customHeight="1">
      <c r="A654" s="793"/>
      <c r="B654" s="399">
        <v>46274</v>
      </c>
      <c r="C654" s="3" t="s">
        <v>21</v>
      </c>
      <c r="D654" s="3" t="s">
        <v>14</v>
      </c>
      <c r="E654" s="454" t="s">
        <v>211</v>
      </c>
      <c r="F654" s="454" t="s">
        <v>2916</v>
      </c>
      <c r="G654" s="459" t="s">
        <v>2917</v>
      </c>
      <c r="H654" s="799" t="s">
        <v>7039</v>
      </c>
      <c r="I654" s="796" t="s">
        <v>7040</v>
      </c>
      <c r="J654" s="799" t="s">
        <v>7041</v>
      </c>
      <c r="K654" s="125" t="s">
        <v>1356</v>
      </c>
      <c r="L654" s="16" t="s">
        <v>33</v>
      </c>
      <c r="M654" s="8">
        <v>5</v>
      </c>
      <c r="N654" s="798"/>
      <c r="O654" s="818" t="s">
        <v>7073</v>
      </c>
      <c r="P654" s="796"/>
    </row>
    <row r="655" spans="1:16" s="17" customFormat="1" ht="33" customHeight="1">
      <c r="A655" s="595"/>
      <c r="B655" s="399">
        <v>46274</v>
      </c>
      <c r="C655" s="4" t="s">
        <v>6948</v>
      </c>
      <c r="D655" s="4" t="s">
        <v>6934</v>
      </c>
      <c r="E655" s="31" t="s">
        <v>6950</v>
      </c>
      <c r="F655" s="31">
        <v>7064</v>
      </c>
      <c r="G655" s="16" t="s">
        <v>6951</v>
      </c>
      <c r="H655" s="193" t="s">
        <v>6952</v>
      </c>
      <c r="I655" s="31" t="s">
        <v>6932</v>
      </c>
      <c r="J655" s="31" t="s">
        <v>6953</v>
      </c>
      <c r="K655" s="125" t="s">
        <v>6939</v>
      </c>
      <c r="L655" s="16" t="s">
        <v>6954</v>
      </c>
      <c r="M655" s="8">
        <v>4</v>
      </c>
      <c r="N655" s="422"/>
      <c r="O655" s="428"/>
      <c r="P655" s="31"/>
    </row>
    <row r="656" spans="1:16" s="17" customFormat="1" ht="33" customHeight="1">
      <c r="A656" s="785"/>
      <c r="B656" s="399">
        <v>46274</v>
      </c>
      <c r="C656" s="4" t="s">
        <v>21</v>
      </c>
      <c r="D656" s="4" t="s">
        <v>6984</v>
      </c>
      <c r="E656" s="786" t="s">
        <v>6985</v>
      </c>
      <c r="F656" s="786" t="s">
        <v>6986</v>
      </c>
      <c r="G656" s="16" t="s">
        <v>205</v>
      </c>
      <c r="H656" s="791" t="s">
        <v>6988</v>
      </c>
      <c r="I656" s="786"/>
      <c r="J656" s="786" t="s">
        <v>6987</v>
      </c>
      <c r="K656" s="125" t="s">
        <v>15</v>
      </c>
      <c r="L656" s="16" t="s">
        <v>4550</v>
      </c>
      <c r="M656" s="8">
        <v>1</v>
      </c>
      <c r="N656" s="790"/>
      <c r="O656" s="428"/>
      <c r="P656" s="786"/>
    </row>
    <row r="657" spans="1:16" s="17" customFormat="1" ht="33" customHeight="1">
      <c r="A657" s="793"/>
      <c r="B657" s="399">
        <v>46274</v>
      </c>
      <c r="C657" s="4" t="s">
        <v>21</v>
      </c>
      <c r="D657" s="4" t="s">
        <v>14</v>
      </c>
      <c r="E657" s="796" t="s">
        <v>107</v>
      </c>
      <c r="F657" s="796" t="s">
        <v>2959</v>
      </c>
      <c r="G657" s="16" t="s">
        <v>7055</v>
      </c>
      <c r="H657" s="799" t="s">
        <v>7072</v>
      </c>
      <c r="I657" s="796" t="s">
        <v>7066</v>
      </c>
      <c r="J657" s="796" t="s">
        <v>1300</v>
      </c>
      <c r="K657" s="125" t="s">
        <v>15</v>
      </c>
      <c r="L657" s="16" t="s">
        <v>7075</v>
      </c>
      <c r="M657" s="8">
        <v>2</v>
      </c>
      <c r="N657" s="798"/>
      <c r="O657" s="428" t="s">
        <v>7047</v>
      </c>
      <c r="P657" s="796"/>
    </row>
    <row r="658" spans="1:16" s="17" customFormat="1" ht="33" customHeight="1">
      <c r="A658" s="804"/>
      <c r="B658" s="399">
        <v>46275</v>
      </c>
      <c r="C658" s="4" t="s">
        <v>21</v>
      </c>
      <c r="D658" s="4" t="s">
        <v>14</v>
      </c>
      <c r="E658" s="806" t="s">
        <v>5583</v>
      </c>
      <c r="F658" s="806" t="s">
        <v>5408</v>
      </c>
      <c r="G658" s="16" t="s">
        <v>205</v>
      </c>
      <c r="H658" s="817" t="s">
        <v>7104</v>
      </c>
      <c r="I658" s="806" t="s">
        <v>7105</v>
      </c>
      <c r="J658" s="806" t="s">
        <v>7111</v>
      </c>
      <c r="K658" s="125" t="s">
        <v>7107</v>
      </c>
      <c r="L658" s="16" t="s">
        <v>7108</v>
      </c>
      <c r="M658" s="8">
        <v>2</v>
      </c>
      <c r="N658" s="816"/>
      <c r="O658" s="428" t="s">
        <v>7113</v>
      </c>
      <c r="P658" s="806"/>
    </row>
    <row r="659" spans="1:16" s="17" customFormat="1" ht="33" customHeight="1">
      <c r="A659" s="785"/>
      <c r="B659" s="399">
        <v>46275</v>
      </c>
      <c r="C659" s="4" t="s">
        <v>21</v>
      </c>
      <c r="D659" s="4" t="s">
        <v>14</v>
      </c>
      <c r="E659" s="806" t="s">
        <v>5583</v>
      </c>
      <c r="F659" s="806" t="s">
        <v>5408</v>
      </c>
      <c r="G659" s="16" t="s">
        <v>7051</v>
      </c>
      <c r="H659" s="791" t="s">
        <v>7109</v>
      </c>
      <c r="I659" s="786" t="s">
        <v>7110</v>
      </c>
      <c r="J659" s="786" t="s">
        <v>7052</v>
      </c>
      <c r="K659" s="125" t="s">
        <v>7053</v>
      </c>
      <c r="L659" s="16" t="s">
        <v>7054</v>
      </c>
      <c r="M659" s="8">
        <v>2</v>
      </c>
      <c r="N659" s="790" t="s">
        <v>7112</v>
      </c>
      <c r="O659" s="428" t="s">
        <v>5909</v>
      </c>
      <c r="P659" s="786"/>
    </row>
    <row r="660" spans="1:16" s="17" customFormat="1" ht="33" customHeight="1">
      <c r="A660" s="804"/>
      <c r="B660" s="399">
        <v>46275</v>
      </c>
      <c r="C660" s="3" t="s">
        <v>21</v>
      </c>
      <c r="D660" s="3" t="s">
        <v>14</v>
      </c>
      <c r="E660" s="454" t="s">
        <v>211</v>
      </c>
      <c r="F660" s="454" t="s">
        <v>2916</v>
      </c>
      <c r="G660" s="459" t="s">
        <v>2917</v>
      </c>
      <c r="H660" s="817" t="s">
        <v>7114</v>
      </c>
      <c r="I660" s="806" t="s">
        <v>7115</v>
      </c>
      <c r="J660" s="806"/>
      <c r="K660" s="125" t="s">
        <v>7116</v>
      </c>
      <c r="L660" s="16" t="s">
        <v>7117</v>
      </c>
      <c r="M660" s="8">
        <v>1</v>
      </c>
      <c r="N660" s="816"/>
      <c r="O660" s="428"/>
      <c r="P660" s="806"/>
    </row>
    <row r="661" spans="1:16" s="17" customFormat="1" ht="33" customHeight="1">
      <c r="A661" s="595"/>
      <c r="B661" s="399">
        <v>46275</v>
      </c>
      <c r="C661" s="4" t="s">
        <v>6948</v>
      </c>
      <c r="D661" s="4" t="s">
        <v>6934</v>
      </c>
      <c r="E661" s="31" t="s">
        <v>6950</v>
      </c>
      <c r="F661" s="31">
        <v>7064</v>
      </c>
      <c r="G661" s="16" t="s">
        <v>6951</v>
      </c>
      <c r="H661" s="193" t="s">
        <v>7098</v>
      </c>
      <c r="I661" s="31" t="s">
        <v>6932</v>
      </c>
      <c r="J661" s="31" t="s">
        <v>6953</v>
      </c>
      <c r="K661" s="125" t="s">
        <v>6939</v>
      </c>
      <c r="L661" s="16" t="s">
        <v>6954</v>
      </c>
      <c r="M661" s="8">
        <v>4</v>
      </c>
      <c r="N661" s="422" t="s">
        <v>7091</v>
      </c>
      <c r="O661" s="428"/>
      <c r="P661" s="31"/>
    </row>
    <row r="662" spans="1:16" s="17" customFormat="1" ht="33" customHeight="1">
      <c r="A662" s="804"/>
      <c r="B662" s="399">
        <v>46275</v>
      </c>
      <c r="C662" s="4" t="s">
        <v>6707</v>
      </c>
      <c r="D662" s="4" t="s">
        <v>25</v>
      </c>
      <c r="E662" s="806" t="s">
        <v>6709</v>
      </c>
      <c r="F662" s="806">
        <v>7065</v>
      </c>
      <c r="G662" s="16" t="s">
        <v>145</v>
      </c>
      <c r="H662" s="817" t="s">
        <v>6706</v>
      </c>
      <c r="I662" s="806" t="s">
        <v>6312</v>
      </c>
      <c r="J662" s="806"/>
      <c r="K662" s="277" t="s">
        <v>209</v>
      </c>
      <c r="L662" s="16">
        <v>9080</v>
      </c>
      <c r="M662" s="8">
        <v>1</v>
      </c>
      <c r="N662" s="816" t="s">
        <v>7135</v>
      </c>
      <c r="O662" s="428"/>
      <c r="P662" s="806"/>
    </row>
    <row r="663" spans="1:16" s="17" customFormat="1" ht="33" customHeight="1">
      <c r="A663" s="793"/>
      <c r="B663" s="399">
        <v>46276</v>
      </c>
      <c r="C663" s="4" t="s">
        <v>6707</v>
      </c>
      <c r="D663" s="4" t="s">
        <v>25</v>
      </c>
      <c r="E663" s="806" t="s">
        <v>6709</v>
      </c>
      <c r="F663" s="806">
        <v>7065</v>
      </c>
      <c r="G663" s="16" t="s">
        <v>145</v>
      </c>
      <c r="H663" s="817" t="s">
        <v>6706</v>
      </c>
      <c r="I663" s="806" t="s">
        <v>6312</v>
      </c>
      <c r="J663" s="806"/>
      <c r="K663" s="277" t="s">
        <v>209</v>
      </c>
      <c r="L663" s="16">
        <v>9080</v>
      </c>
      <c r="M663" s="8">
        <v>1</v>
      </c>
      <c r="N663" s="798" t="s">
        <v>7092</v>
      </c>
      <c r="O663" s="428"/>
      <c r="P663" s="796"/>
    </row>
    <row r="664" spans="1:16" s="17" customFormat="1" ht="33" customHeight="1">
      <c r="A664" s="595"/>
      <c r="B664" s="399">
        <v>46276</v>
      </c>
      <c r="C664" s="4" t="s">
        <v>6948</v>
      </c>
      <c r="D664" s="4" t="s">
        <v>6934</v>
      </c>
      <c r="E664" s="31" t="s">
        <v>6950</v>
      </c>
      <c r="F664" s="31">
        <v>7064</v>
      </c>
      <c r="G664" s="16" t="s">
        <v>6951</v>
      </c>
      <c r="H664" s="193" t="s">
        <v>6952</v>
      </c>
      <c r="I664" s="31" t="s">
        <v>6932</v>
      </c>
      <c r="J664" s="31" t="s">
        <v>6953</v>
      </c>
      <c r="K664" s="125" t="s">
        <v>6939</v>
      </c>
      <c r="L664" s="16" t="s">
        <v>6954</v>
      </c>
      <c r="M664" s="8">
        <v>4</v>
      </c>
      <c r="N664" s="422"/>
      <c r="O664" s="430"/>
      <c r="P664" s="31"/>
    </row>
    <row r="665" spans="1:16" s="17" customFormat="1" ht="33" customHeight="1">
      <c r="A665" s="804"/>
      <c r="B665" s="399">
        <v>46276</v>
      </c>
      <c r="C665" s="4" t="s">
        <v>7120</v>
      </c>
      <c r="D665" s="4" t="s">
        <v>7121</v>
      </c>
      <c r="E665" s="806" t="s">
        <v>7124</v>
      </c>
      <c r="F665" s="806" t="s">
        <v>7123</v>
      </c>
      <c r="G665" s="806" t="s">
        <v>7122</v>
      </c>
      <c r="H665" s="817" t="s">
        <v>7125</v>
      </c>
      <c r="I665" s="806" t="s">
        <v>7105</v>
      </c>
      <c r="J665" s="806"/>
      <c r="K665" s="125"/>
      <c r="L665" s="16" t="s">
        <v>7126</v>
      </c>
      <c r="M665" s="8">
        <v>1</v>
      </c>
      <c r="N665" s="816"/>
      <c r="O665" s="430"/>
      <c r="P665" s="806"/>
    </row>
    <row r="666" spans="1:16" s="17" customFormat="1" ht="33" customHeight="1">
      <c r="A666" s="596"/>
      <c r="B666" s="399">
        <v>46277</v>
      </c>
      <c r="C666" s="4" t="s">
        <v>6948</v>
      </c>
      <c r="D666" s="4" t="s">
        <v>6934</v>
      </c>
      <c r="E666" s="31" t="s">
        <v>6950</v>
      </c>
      <c r="F666" s="31">
        <v>7064</v>
      </c>
      <c r="G666" s="16" t="s">
        <v>6951</v>
      </c>
      <c r="H666" s="193" t="s">
        <v>7003</v>
      </c>
      <c r="I666" s="31" t="s">
        <v>6932</v>
      </c>
      <c r="J666" s="31" t="s">
        <v>6953</v>
      </c>
      <c r="K666" s="125" t="s">
        <v>6939</v>
      </c>
      <c r="L666" s="16" t="s">
        <v>6954</v>
      </c>
      <c r="M666" s="8">
        <v>4</v>
      </c>
      <c r="N666" s="31"/>
      <c r="O666" s="432"/>
      <c r="P666" s="31"/>
    </row>
    <row r="667" spans="1:16" s="17" customFormat="1" ht="33" customHeight="1">
      <c r="A667" s="322" t="s">
        <v>0</v>
      </c>
      <c r="B667" s="323" t="s">
        <v>1</v>
      </c>
      <c r="C667" s="322" t="s">
        <v>2</v>
      </c>
      <c r="D667" s="322" t="s">
        <v>3</v>
      </c>
      <c r="E667" s="322" t="s">
        <v>4</v>
      </c>
      <c r="F667" s="322" t="s">
        <v>5</v>
      </c>
      <c r="G667" s="322" t="s">
        <v>6</v>
      </c>
      <c r="H667" s="324" t="s">
        <v>7</v>
      </c>
      <c r="I667" s="322" t="s">
        <v>8</v>
      </c>
      <c r="J667" s="322" t="s">
        <v>9</v>
      </c>
      <c r="K667" s="325" t="s">
        <v>10</v>
      </c>
      <c r="L667" s="326" t="s">
        <v>11</v>
      </c>
      <c r="M667" s="322" t="s">
        <v>12</v>
      </c>
      <c r="N667" s="327" t="s">
        <v>13</v>
      </c>
      <c r="O667" s="427" t="s">
        <v>63</v>
      </c>
      <c r="P667" s="322" t="s">
        <v>123</v>
      </c>
    </row>
    <row r="668" spans="1:16" s="17" customFormat="1" ht="33" customHeight="1">
      <c r="A668" s="594" t="s">
        <v>6764</v>
      </c>
      <c r="B668" s="399">
        <v>46279</v>
      </c>
      <c r="C668" s="4" t="s">
        <v>7048</v>
      </c>
      <c r="D668" s="4" t="s">
        <v>7049</v>
      </c>
      <c r="E668" s="31" t="s">
        <v>107</v>
      </c>
      <c r="F668" s="31" t="s">
        <v>7050</v>
      </c>
      <c r="G668" s="16" t="s">
        <v>1721</v>
      </c>
      <c r="H668" s="193" t="s">
        <v>7103</v>
      </c>
      <c r="I668" s="31" t="s">
        <v>7105</v>
      </c>
      <c r="J668" s="31" t="s">
        <v>7106</v>
      </c>
      <c r="K668" s="125" t="s">
        <v>7107</v>
      </c>
      <c r="L668" s="16" t="s">
        <v>7131</v>
      </c>
      <c r="M668" s="8">
        <v>2</v>
      </c>
      <c r="N668" s="31" t="s">
        <v>7119</v>
      </c>
      <c r="O668" s="438" t="s">
        <v>7151</v>
      </c>
      <c r="P668" s="31"/>
    </row>
    <row r="669" spans="1:16" s="17" customFormat="1" ht="33" customHeight="1">
      <c r="A669" s="804"/>
      <c r="B669" s="399">
        <v>46279</v>
      </c>
      <c r="C669" s="4" t="s">
        <v>21</v>
      </c>
      <c r="D669" s="4" t="s">
        <v>14</v>
      </c>
      <c r="E669" s="806" t="s">
        <v>1787</v>
      </c>
      <c r="F669" s="806" t="s">
        <v>2978</v>
      </c>
      <c r="G669" s="16" t="s">
        <v>7099</v>
      </c>
      <c r="H669" s="817" t="s">
        <v>7127</v>
      </c>
      <c r="I669" s="806"/>
      <c r="J669" s="806" t="s">
        <v>7128</v>
      </c>
      <c r="K669" s="125" t="s">
        <v>7107</v>
      </c>
      <c r="L669" s="16" t="s">
        <v>7129</v>
      </c>
      <c r="M669" s="8">
        <v>1</v>
      </c>
      <c r="N669" s="806"/>
      <c r="O669" s="438"/>
      <c r="P669" s="806"/>
    </row>
    <row r="670" spans="1:16" s="17" customFormat="1" ht="33" customHeight="1">
      <c r="A670" s="804"/>
      <c r="B670" s="399">
        <v>46279</v>
      </c>
      <c r="C670" s="4" t="s">
        <v>21</v>
      </c>
      <c r="D670" s="4" t="s">
        <v>7144</v>
      </c>
      <c r="E670" s="806" t="s">
        <v>7145</v>
      </c>
      <c r="F670" s="806">
        <v>7060</v>
      </c>
      <c r="G670" s="16" t="s">
        <v>7146</v>
      </c>
      <c r="H670" s="817" t="s">
        <v>7147</v>
      </c>
      <c r="I670" s="806" t="s">
        <v>7148</v>
      </c>
      <c r="J670" s="806" t="s">
        <v>7149</v>
      </c>
      <c r="K670" s="125" t="s">
        <v>7107</v>
      </c>
      <c r="L670" s="16">
        <v>9080</v>
      </c>
      <c r="M670" s="8">
        <v>2</v>
      </c>
      <c r="N670" s="806"/>
      <c r="O670" s="438" t="s">
        <v>7150</v>
      </c>
      <c r="P670" s="806"/>
    </row>
    <row r="671" spans="1:16" s="17" customFormat="1" ht="33" customHeight="1">
      <c r="A671" s="595"/>
      <c r="B671" s="399">
        <v>46280</v>
      </c>
      <c r="C671" s="4" t="s">
        <v>29</v>
      </c>
      <c r="D671" s="4" t="s">
        <v>17</v>
      </c>
      <c r="E671" s="796" t="s">
        <v>78</v>
      </c>
      <c r="F671" s="796" t="s">
        <v>6936</v>
      </c>
      <c r="G671" s="16" t="s">
        <v>1470</v>
      </c>
      <c r="H671" s="799" t="s">
        <v>6941</v>
      </c>
      <c r="I671" s="796" t="s">
        <v>1690</v>
      </c>
      <c r="J671" s="799"/>
      <c r="K671" s="125" t="s">
        <v>15</v>
      </c>
      <c r="L671" s="16" t="s">
        <v>6938</v>
      </c>
      <c r="M671" s="8">
        <v>1</v>
      </c>
      <c r="N671" s="31" t="s">
        <v>7118</v>
      </c>
      <c r="O671" s="438"/>
      <c r="P671" s="31"/>
    </row>
    <row r="672" spans="1:16" s="17" customFormat="1" ht="33" customHeight="1">
      <c r="A672" s="804"/>
      <c r="B672" s="399">
        <v>46280</v>
      </c>
      <c r="C672" s="4" t="s">
        <v>6707</v>
      </c>
      <c r="D672" s="4" t="s">
        <v>25</v>
      </c>
      <c r="E672" s="806" t="s">
        <v>6709</v>
      </c>
      <c r="F672" s="806">
        <v>7065</v>
      </c>
      <c r="G672" s="16" t="s">
        <v>145</v>
      </c>
      <c r="H672" s="817" t="s">
        <v>6706</v>
      </c>
      <c r="I672" s="806" t="s">
        <v>6312</v>
      </c>
      <c r="J672" s="806"/>
      <c r="K672" s="277" t="s">
        <v>209</v>
      </c>
      <c r="L672" s="16">
        <v>9080</v>
      </c>
      <c r="M672" s="8">
        <v>1</v>
      </c>
      <c r="N672" s="806"/>
      <c r="O672" s="438"/>
      <c r="P672" s="806"/>
    </row>
    <row r="673" spans="1:16" s="17" customFormat="1" ht="33" customHeight="1">
      <c r="A673" s="804"/>
      <c r="B673" s="399">
        <v>46280</v>
      </c>
      <c r="C673" s="4" t="s">
        <v>7048</v>
      </c>
      <c r="D673" s="4" t="s">
        <v>14</v>
      </c>
      <c r="E673" s="806" t="s">
        <v>107</v>
      </c>
      <c r="F673" s="806" t="s">
        <v>5269</v>
      </c>
      <c r="G673" s="16" t="s">
        <v>1721</v>
      </c>
      <c r="H673" s="817" t="s">
        <v>7183</v>
      </c>
      <c r="I673" s="806" t="s">
        <v>7132</v>
      </c>
      <c r="J673" s="806" t="s">
        <v>7184</v>
      </c>
      <c r="K673" s="125" t="s">
        <v>7107</v>
      </c>
      <c r="L673" s="16" t="s">
        <v>7134</v>
      </c>
      <c r="M673" s="8">
        <v>2</v>
      </c>
      <c r="N673" s="806" t="s">
        <v>7168</v>
      </c>
      <c r="O673" s="834" t="s">
        <v>7185</v>
      </c>
      <c r="P673" s="806"/>
    </row>
    <row r="674" spans="1:16" s="17" customFormat="1" ht="33" customHeight="1">
      <c r="A674" s="804"/>
      <c r="B674" s="399">
        <v>46280</v>
      </c>
      <c r="C674" s="4" t="s">
        <v>7048</v>
      </c>
      <c r="D674" s="4" t="s">
        <v>14</v>
      </c>
      <c r="E674" s="806" t="s">
        <v>107</v>
      </c>
      <c r="F674" s="806" t="s">
        <v>5269</v>
      </c>
      <c r="G674" s="16" t="s">
        <v>1721</v>
      </c>
      <c r="H674" s="817" t="s">
        <v>7100</v>
      </c>
      <c r="I674" s="806" t="s">
        <v>7105</v>
      </c>
      <c r="J674" s="806" t="s">
        <v>7130</v>
      </c>
      <c r="K674" s="125" t="s">
        <v>7107</v>
      </c>
      <c r="L674" s="16" t="s">
        <v>7131</v>
      </c>
      <c r="M674" s="8">
        <v>2</v>
      </c>
      <c r="N674" s="806"/>
      <c r="O674" s="438" t="s">
        <v>7101</v>
      </c>
      <c r="P674" s="806"/>
    </row>
    <row r="675" spans="1:16" s="17" customFormat="1" ht="33" customHeight="1">
      <c r="A675" s="804"/>
      <c r="B675" s="399">
        <v>46280</v>
      </c>
      <c r="C675" s="4" t="s">
        <v>7048</v>
      </c>
      <c r="D675" s="4" t="s">
        <v>14</v>
      </c>
      <c r="E675" s="806" t="s">
        <v>107</v>
      </c>
      <c r="F675" s="806" t="s">
        <v>7152</v>
      </c>
      <c r="G675" s="16" t="s">
        <v>7153</v>
      </c>
      <c r="H675" s="817" t="s">
        <v>7154</v>
      </c>
      <c r="I675" s="806"/>
      <c r="J675" s="806" t="s">
        <v>7155</v>
      </c>
      <c r="K675" s="125" t="s">
        <v>7156</v>
      </c>
      <c r="L675" s="16" t="s">
        <v>7157</v>
      </c>
      <c r="M675" s="8">
        <v>4</v>
      </c>
      <c r="N675" s="806"/>
      <c r="O675" s="438" t="s">
        <v>7162</v>
      </c>
      <c r="P675" s="806"/>
    </row>
    <row r="676" spans="1:16" s="17" customFormat="1" ht="33" customHeight="1">
      <c r="A676" s="804"/>
      <c r="B676" s="399">
        <v>46280</v>
      </c>
      <c r="C676" s="4" t="s">
        <v>7048</v>
      </c>
      <c r="D676" s="4" t="s">
        <v>14</v>
      </c>
      <c r="E676" s="806" t="s">
        <v>107</v>
      </c>
      <c r="F676" s="806" t="s">
        <v>7165</v>
      </c>
      <c r="G676" s="16" t="s">
        <v>7153</v>
      </c>
      <c r="H676" s="817" t="s">
        <v>7182</v>
      </c>
      <c r="I676" s="806" t="s">
        <v>7166</v>
      </c>
      <c r="J676" s="806" t="s">
        <v>7167</v>
      </c>
      <c r="K676" s="125" t="s">
        <v>15</v>
      </c>
      <c r="L676" s="16" t="s">
        <v>7164</v>
      </c>
      <c r="M676" s="8">
        <v>2</v>
      </c>
      <c r="N676" s="806"/>
      <c r="O676" s="438"/>
      <c r="P676" s="806"/>
    </row>
    <row r="677" spans="1:16" s="17" customFormat="1" ht="33" customHeight="1">
      <c r="A677" s="595"/>
      <c r="B677" s="399">
        <v>46281</v>
      </c>
      <c r="C677" s="4" t="s">
        <v>7136</v>
      </c>
      <c r="D677" s="4" t="s">
        <v>7137</v>
      </c>
      <c r="E677" s="31" t="s">
        <v>7138</v>
      </c>
      <c r="F677" s="31" t="s">
        <v>7139</v>
      </c>
      <c r="G677" s="16" t="s">
        <v>7140</v>
      </c>
      <c r="H677" s="193" t="s">
        <v>7160</v>
      </c>
      <c r="I677" s="31"/>
      <c r="J677" s="193" t="s">
        <v>7158</v>
      </c>
      <c r="K677" s="125" t="s">
        <v>7141</v>
      </c>
      <c r="L677" s="16" t="s">
        <v>7129</v>
      </c>
      <c r="M677" s="8">
        <v>2</v>
      </c>
      <c r="N677" s="422"/>
      <c r="O677" s="438" t="s">
        <v>7163</v>
      </c>
      <c r="P677" s="31"/>
    </row>
    <row r="678" spans="1:16" s="17" customFormat="1" ht="33" customHeight="1">
      <c r="A678" s="804"/>
      <c r="B678" s="399">
        <v>46281</v>
      </c>
      <c r="C678" s="4" t="s">
        <v>6707</v>
      </c>
      <c r="D678" s="4" t="s">
        <v>25</v>
      </c>
      <c r="E678" s="806" t="s">
        <v>6709</v>
      </c>
      <c r="F678" s="806">
        <v>7065</v>
      </c>
      <c r="G678" s="16" t="s">
        <v>145</v>
      </c>
      <c r="H678" s="817" t="s">
        <v>6706</v>
      </c>
      <c r="I678" s="806" t="s">
        <v>6312</v>
      </c>
      <c r="J678" s="806"/>
      <c r="K678" s="277" t="s">
        <v>209</v>
      </c>
      <c r="L678" s="16">
        <v>9080</v>
      </c>
      <c r="M678" s="8">
        <v>1</v>
      </c>
      <c r="N678" s="816"/>
      <c r="O678" s="438"/>
      <c r="P678" s="806"/>
    </row>
    <row r="679" spans="1:16" s="17" customFormat="1" ht="33" customHeight="1">
      <c r="A679" s="804"/>
      <c r="B679" s="399">
        <v>46281</v>
      </c>
      <c r="C679" s="4" t="s">
        <v>7048</v>
      </c>
      <c r="D679" s="4" t="s">
        <v>14</v>
      </c>
      <c r="E679" s="806" t="s">
        <v>107</v>
      </c>
      <c r="F679" s="806" t="s">
        <v>7152</v>
      </c>
      <c r="G679" s="16" t="s">
        <v>7153</v>
      </c>
      <c r="H679" s="817" t="s">
        <v>7154</v>
      </c>
      <c r="I679" s="806"/>
      <c r="J679" s="806" t="s">
        <v>7155</v>
      </c>
      <c r="K679" s="125" t="s">
        <v>7156</v>
      </c>
      <c r="L679" s="16" t="s">
        <v>7157</v>
      </c>
      <c r="M679" s="8">
        <v>4</v>
      </c>
      <c r="N679" s="816"/>
      <c r="O679" s="438" t="s">
        <v>7162</v>
      </c>
      <c r="P679" s="806"/>
    </row>
    <row r="680" spans="1:16" s="17" customFormat="1" ht="33" customHeight="1">
      <c r="A680" s="804"/>
      <c r="B680" s="399">
        <v>46282</v>
      </c>
      <c r="C680" s="4" t="s">
        <v>21</v>
      </c>
      <c r="D680" s="4" t="s">
        <v>14</v>
      </c>
      <c r="E680" s="806" t="s">
        <v>1787</v>
      </c>
      <c r="F680" s="806" t="s">
        <v>2978</v>
      </c>
      <c r="G680" s="16" t="s">
        <v>7099</v>
      </c>
      <c r="H680" s="16" t="s">
        <v>7161</v>
      </c>
      <c r="I680" s="806" t="s">
        <v>7110</v>
      </c>
      <c r="J680" s="806" t="s">
        <v>7106</v>
      </c>
      <c r="K680" s="277" t="s">
        <v>15</v>
      </c>
      <c r="L680" s="16" t="s">
        <v>7131</v>
      </c>
      <c r="M680" s="8">
        <v>2</v>
      </c>
      <c r="N680" s="816"/>
      <c r="O680" s="438"/>
      <c r="P680" s="806"/>
    </row>
    <row r="681" spans="1:16" s="17" customFormat="1" ht="33" customHeight="1">
      <c r="A681" s="595"/>
      <c r="B681" s="399">
        <v>46282</v>
      </c>
      <c r="C681" s="4" t="s">
        <v>7136</v>
      </c>
      <c r="D681" s="4" t="s">
        <v>7137</v>
      </c>
      <c r="E681" s="806" t="s">
        <v>7138</v>
      </c>
      <c r="F681" s="806" t="s">
        <v>7139</v>
      </c>
      <c r="G681" s="16" t="s">
        <v>7140</v>
      </c>
      <c r="H681" s="817" t="s">
        <v>7159</v>
      </c>
      <c r="I681" s="806"/>
      <c r="J681" s="817" t="s">
        <v>7158</v>
      </c>
      <c r="K681" s="125" t="s">
        <v>7141</v>
      </c>
      <c r="L681" s="16" t="s">
        <v>7129</v>
      </c>
      <c r="M681" s="8">
        <v>2</v>
      </c>
      <c r="N681" s="422"/>
      <c r="O681" s="438" t="s">
        <v>7163</v>
      </c>
      <c r="P681" s="31"/>
    </row>
    <row r="682" spans="1:16" s="17" customFormat="1" ht="33" customHeight="1">
      <c r="A682" s="804"/>
      <c r="B682" s="399">
        <v>46282</v>
      </c>
      <c r="C682" s="4" t="s">
        <v>6707</v>
      </c>
      <c r="D682" s="4" t="s">
        <v>25</v>
      </c>
      <c r="E682" s="806" t="s">
        <v>6709</v>
      </c>
      <c r="F682" s="806">
        <v>7065</v>
      </c>
      <c r="G682" s="16" t="s">
        <v>145</v>
      </c>
      <c r="H682" s="817" t="s">
        <v>6706</v>
      </c>
      <c r="I682" s="806" t="s">
        <v>6312</v>
      </c>
      <c r="J682" s="806"/>
      <c r="K682" s="277" t="s">
        <v>209</v>
      </c>
      <c r="L682" s="16">
        <v>9080</v>
      </c>
      <c r="M682" s="8">
        <v>1</v>
      </c>
      <c r="N682" s="816"/>
      <c r="O682" s="438"/>
      <c r="P682" s="806"/>
    </row>
    <row r="683" spans="1:16" s="17" customFormat="1" ht="33" customHeight="1">
      <c r="A683" s="804"/>
      <c r="B683" s="399">
        <v>46282</v>
      </c>
      <c r="C683" s="4" t="s">
        <v>7048</v>
      </c>
      <c r="D683" s="4" t="s">
        <v>14</v>
      </c>
      <c r="E683" s="806" t="s">
        <v>107</v>
      </c>
      <c r="F683" s="806" t="s">
        <v>7152</v>
      </c>
      <c r="G683" s="16" t="s">
        <v>7153</v>
      </c>
      <c r="H683" s="817" t="s">
        <v>7154</v>
      </c>
      <c r="I683" s="806"/>
      <c r="J683" s="806" t="s">
        <v>7155</v>
      </c>
      <c r="K683" s="125" t="s">
        <v>7156</v>
      </c>
      <c r="L683" s="16" t="s">
        <v>7157</v>
      </c>
      <c r="M683" s="8">
        <v>4</v>
      </c>
      <c r="N683" s="816"/>
      <c r="O683" s="438" t="s">
        <v>7162</v>
      </c>
      <c r="P683" s="806"/>
    </row>
    <row r="684" spans="1:16" s="17" customFormat="1" ht="33" customHeight="1">
      <c r="A684" s="804"/>
      <c r="B684" s="399">
        <v>46283</v>
      </c>
      <c r="C684" s="4" t="s">
        <v>7048</v>
      </c>
      <c r="D684" s="4" t="s">
        <v>14</v>
      </c>
      <c r="E684" s="806" t="s">
        <v>107</v>
      </c>
      <c r="F684" s="806" t="s">
        <v>7152</v>
      </c>
      <c r="G684" s="16" t="s">
        <v>7153</v>
      </c>
      <c r="H684" s="817" t="s">
        <v>7154</v>
      </c>
      <c r="I684" s="806"/>
      <c r="J684" s="806" t="s">
        <v>7155</v>
      </c>
      <c r="K684" s="125" t="s">
        <v>7156</v>
      </c>
      <c r="L684" s="16" t="s">
        <v>7157</v>
      </c>
      <c r="M684" s="8">
        <v>4</v>
      </c>
      <c r="N684" s="816" t="s">
        <v>7180</v>
      </c>
      <c r="O684" s="438" t="s">
        <v>7162</v>
      </c>
      <c r="P684" s="806"/>
    </row>
    <row r="685" spans="1:16" s="17" customFormat="1" ht="33" customHeight="1">
      <c r="A685" s="804"/>
      <c r="B685" s="399">
        <v>46283</v>
      </c>
      <c r="C685" s="4" t="s">
        <v>6707</v>
      </c>
      <c r="D685" s="4" t="s">
        <v>25</v>
      </c>
      <c r="E685" s="806" t="s">
        <v>6709</v>
      </c>
      <c r="F685" s="806">
        <v>7065</v>
      </c>
      <c r="G685" s="16" t="s">
        <v>145</v>
      </c>
      <c r="H685" s="817" t="s">
        <v>6706</v>
      </c>
      <c r="I685" s="806" t="s">
        <v>6312</v>
      </c>
      <c r="J685" s="806"/>
      <c r="K685" s="277" t="s">
        <v>209</v>
      </c>
      <c r="L685" s="16">
        <v>9080</v>
      </c>
      <c r="M685" s="8">
        <v>1</v>
      </c>
      <c r="N685" s="816"/>
      <c r="O685" s="438"/>
      <c r="P685" s="806"/>
    </row>
    <row r="686" spans="1:16" s="17" customFormat="1" ht="33" customHeight="1">
      <c r="A686" s="820"/>
      <c r="B686" s="399">
        <v>46283</v>
      </c>
      <c r="C686" s="4" t="s">
        <v>7201</v>
      </c>
      <c r="D686" s="4" t="s">
        <v>7202</v>
      </c>
      <c r="E686" s="828" t="s">
        <v>7203</v>
      </c>
      <c r="F686" s="824">
        <v>3306</v>
      </c>
      <c r="G686" s="16" t="s">
        <v>7204</v>
      </c>
      <c r="H686" s="828" t="s">
        <v>7205</v>
      </c>
      <c r="I686" s="828" t="s">
        <v>7206</v>
      </c>
      <c r="J686" s="828" t="s">
        <v>7207</v>
      </c>
      <c r="K686" s="125" t="s">
        <v>66</v>
      </c>
      <c r="L686" s="16" t="s">
        <v>7208</v>
      </c>
      <c r="M686" s="8">
        <v>4</v>
      </c>
      <c r="N686" s="827"/>
      <c r="O686" s="438"/>
      <c r="P686" s="824"/>
    </row>
    <row r="687" spans="1:16" s="17" customFormat="1" ht="33" customHeight="1">
      <c r="A687" s="821"/>
      <c r="B687" s="399">
        <v>46284</v>
      </c>
      <c r="C687" s="4" t="s">
        <v>7201</v>
      </c>
      <c r="D687" s="4" t="s">
        <v>7202</v>
      </c>
      <c r="E687" s="828" t="s">
        <v>7203</v>
      </c>
      <c r="F687" s="824">
        <v>3306</v>
      </c>
      <c r="G687" s="16" t="s">
        <v>7204</v>
      </c>
      <c r="H687" s="828" t="s">
        <v>7205</v>
      </c>
      <c r="I687" s="828" t="s">
        <v>7206</v>
      </c>
      <c r="J687" s="828" t="s">
        <v>7207</v>
      </c>
      <c r="K687" s="125" t="s">
        <v>66</v>
      </c>
      <c r="L687" s="16" t="s">
        <v>7208</v>
      </c>
      <c r="M687" s="8">
        <v>4</v>
      </c>
      <c r="N687" s="824"/>
      <c r="O687" s="432"/>
      <c r="P687" s="824"/>
    </row>
    <row r="688" spans="1:16" s="17" customFormat="1" ht="33" customHeight="1">
      <c r="A688" s="596"/>
      <c r="B688" s="399">
        <v>46285</v>
      </c>
      <c r="C688" s="4" t="s">
        <v>7201</v>
      </c>
      <c r="D688" s="4" t="s">
        <v>7202</v>
      </c>
      <c r="E688" s="828" t="s">
        <v>7203</v>
      </c>
      <c r="F688" s="824">
        <v>3306</v>
      </c>
      <c r="G688" s="16" t="s">
        <v>7204</v>
      </c>
      <c r="H688" s="828" t="s">
        <v>7205</v>
      </c>
      <c r="I688" s="828" t="s">
        <v>7206</v>
      </c>
      <c r="J688" s="828" t="s">
        <v>7207</v>
      </c>
      <c r="K688" s="125" t="s">
        <v>66</v>
      </c>
      <c r="L688" s="16" t="s">
        <v>7208</v>
      </c>
      <c r="M688" s="8">
        <v>4</v>
      </c>
      <c r="N688" s="31"/>
      <c r="O688" s="432"/>
      <c r="P688" s="31"/>
    </row>
    <row r="689" spans="1:16" s="17" customFormat="1" ht="33" customHeight="1">
      <c r="A689" s="322" t="s">
        <v>0</v>
      </c>
      <c r="B689" s="323" t="s">
        <v>1</v>
      </c>
      <c r="C689" s="322" t="s">
        <v>2</v>
      </c>
      <c r="D689" s="322" t="s">
        <v>3</v>
      </c>
      <c r="E689" s="322" t="s">
        <v>4</v>
      </c>
      <c r="F689" s="322" t="s">
        <v>5</v>
      </c>
      <c r="G689" s="322" t="s">
        <v>6</v>
      </c>
      <c r="H689" s="324" t="s">
        <v>7</v>
      </c>
      <c r="I689" s="322" t="s">
        <v>8</v>
      </c>
      <c r="J689" s="322" t="s">
        <v>9</v>
      </c>
      <c r="K689" s="325" t="s">
        <v>10</v>
      </c>
      <c r="L689" s="326" t="s">
        <v>11</v>
      </c>
      <c r="M689" s="322" t="s">
        <v>12</v>
      </c>
      <c r="N689" s="327" t="s">
        <v>13</v>
      </c>
      <c r="O689" s="427" t="s">
        <v>63</v>
      </c>
      <c r="P689" s="322" t="s">
        <v>123</v>
      </c>
    </row>
    <row r="690" spans="1:16" s="17" customFormat="1" ht="33" customHeight="1">
      <c r="A690" s="594" t="s">
        <v>6765</v>
      </c>
      <c r="B690" s="399">
        <v>46286</v>
      </c>
      <c r="C690" s="4" t="s">
        <v>6962</v>
      </c>
      <c r="D690" s="4" t="s">
        <v>6963</v>
      </c>
      <c r="E690" s="31" t="s">
        <v>5254</v>
      </c>
      <c r="F690" s="31" t="s">
        <v>6965</v>
      </c>
      <c r="G690" s="16" t="s">
        <v>6966</v>
      </c>
      <c r="H690" s="193" t="s">
        <v>7191</v>
      </c>
      <c r="I690" s="824" t="s">
        <v>7210</v>
      </c>
      <c r="J690" s="31"/>
      <c r="K690" s="125" t="s">
        <v>6967</v>
      </c>
      <c r="L690" s="16" t="s">
        <v>7192</v>
      </c>
      <c r="M690" s="18" t="s">
        <v>7196</v>
      </c>
      <c r="N690" s="31"/>
      <c r="O690" s="430"/>
      <c r="P690" s="31"/>
    </row>
    <row r="691" spans="1:16" s="17" customFormat="1" ht="33" customHeight="1">
      <c r="A691" s="820"/>
      <c r="B691" s="399">
        <v>46286</v>
      </c>
      <c r="C691" s="4" t="s">
        <v>3650</v>
      </c>
      <c r="D691" s="4" t="s">
        <v>17</v>
      </c>
      <c r="E691" s="828" t="s">
        <v>7057</v>
      </c>
      <c r="F691" s="824" t="s">
        <v>7058</v>
      </c>
      <c r="G691" s="16" t="s">
        <v>23</v>
      </c>
      <c r="H691" s="828" t="s">
        <v>7060</v>
      </c>
      <c r="I691" s="824"/>
      <c r="J691" s="828" t="s">
        <v>487</v>
      </c>
      <c r="K691" s="125" t="s">
        <v>42</v>
      </c>
      <c r="L691" s="16" t="s">
        <v>7209</v>
      </c>
      <c r="M691" s="8">
        <v>2</v>
      </c>
      <c r="N691" s="824"/>
      <c r="O691" s="437" t="s">
        <v>7215</v>
      </c>
      <c r="P691" s="824"/>
    </row>
    <row r="692" spans="1:16" s="17" customFormat="1" ht="33" customHeight="1">
      <c r="A692" s="820"/>
      <c r="B692" s="399">
        <v>46286</v>
      </c>
      <c r="C692" s="4" t="s">
        <v>6707</v>
      </c>
      <c r="D692" s="4" t="s">
        <v>25</v>
      </c>
      <c r="E692" s="824" t="s">
        <v>6709</v>
      </c>
      <c r="F692" s="824">
        <v>7065</v>
      </c>
      <c r="G692" s="16" t="s">
        <v>145</v>
      </c>
      <c r="H692" s="828" t="s">
        <v>6706</v>
      </c>
      <c r="I692" s="824" t="s">
        <v>7210</v>
      </c>
      <c r="J692" s="828"/>
      <c r="K692" s="277" t="s">
        <v>7198</v>
      </c>
      <c r="L692" s="16">
        <v>9080</v>
      </c>
      <c r="M692" s="8">
        <v>2</v>
      </c>
      <c r="N692" s="824"/>
      <c r="O692" s="430"/>
      <c r="P692" s="824"/>
    </row>
    <row r="693" spans="1:16" s="17" customFormat="1" ht="33" customHeight="1">
      <c r="A693" s="820"/>
      <c r="B693" s="399">
        <v>46286</v>
      </c>
      <c r="C693" s="4" t="s">
        <v>7201</v>
      </c>
      <c r="D693" s="4" t="s">
        <v>7202</v>
      </c>
      <c r="E693" s="828" t="s">
        <v>7203</v>
      </c>
      <c r="F693" s="824">
        <v>3306</v>
      </c>
      <c r="G693" s="16" t="s">
        <v>7204</v>
      </c>
      <c r="H693" s="828" t="s">
        <v>7205</v>
      </c>
      <c r="I693" s="828" t="s">
        <v>7206</v>
      </c>
      <c r="J693" s="828" t="s">
        <v>7207</v>
      </c>
      <c r="K693" s="125" t="s">
        <v>66</v>
      </c>
      <c r="L693" s="16" t="s">
        <v>7208</v>
      </c>
      <c r="M693" s="8">
        <v>4</v>
      </c>
      <c r="N693" s="824"/>
      <c r="O693" s="430"/>
      <c r="P693" s="824"/>
    </row>
    <row r="694" spans="1:16" s="17" customFormat="1" ht="33" customHeight="1">
      <c r="A694" s="793"/>
      <c r="B694" s="399">
        <v>46286</v>
      </c>
      <c r="C694" s="4" t="s">
        <v>64</v>
      </c>
      <c r="D694" s="4" t="s">
        <v>14</v>
      </c>
      <c r="E694" s="824" t="s">
        <v>107</v>
      </c>
      <c r="F694" s="824" t="s">
        <v>2959</v>
      </c>
      <c r="G694" s="16" t="s">
        <v>67</v>
      </c>
      <c r="H694" s="799" t="s">
        <v>7213</v>
      </c>
      <c r="I694" s="796"/>
      <c r="J694" s="828" t="s">
        <v>7212</v>
      </c>
      <c r="K694" s="125" t="s">
        <v>66</v>
      </c>
      <c r="L694" s="16" t="s">
        <v>7193</v>
      </c>
      <c r="M694" s="8">
        <v>3</v>
      </c>
      <c r="N694" s="796"/>
      <c r="O694" s="431" t="s">
        <v>7217</v>
      </c>
      <c r="P694" s="796"/>
    </row>
    <row r="695" spans="1:16" s="17" customFormat="1" ht="33" customHeight="1">
      <c r="A695" s="820"/>
      <c r="B695" s="399">
        <v>46287</v>
      </c>
      <c r="C695" s="4" t="s">
        <v>64</v>
      </c>
      <c r="D695" s="4" t="s">
        <v>14</v>
      </c>
      <c r="E695" s="824" t="s">
        <v>107</v>
      </c>
      <c r="F695" s="824" t="s">
        <v>2959</v>
      </c>
      <c r="G695" s="16" t="s">
        <v>67</v>
      </c>
      <c r="H695" s="828" t="s">
        <v>7214</v>
      </c>
      <c r="I695" s="824"/>
      <c r="J695" s="828" t="s">
        <v>7212</v>
      </c>
      <c r="K695" s="125" t="s">
        <v>66</v>
      </c>
      <c r="L695" s="16" t="s">
        <v>7193</v>
      </c>
      <c r="M695" s="8">
        <v>3</v>
      </c>
      <c r="N695" s="824"/>
      <c r="O695" s="431" t="s">
        <v>7217</v>
      </c>
      <c r="P695" s="824"/>
    </row>
    <row r="696" spans="1:16" s="17" customFormat="1" ht="33" customHeight="1">
      <c r="A696" s="820"/>
      <c r="B696" s="399">
        <v>46287</v>
      </c>
      <c r="C696" s="4" t="s">
        <v>6707</v>
      </c>
      <c r="D696" s="4" t="s">
        <v>25</v>
      </c>
      <c r="E696" s="824" t="s">
        <v>6709</v>
      </c>
      <c r="F696" s="824">
        <v>7065</v>
      </c>
      <c r="G696" s="16" t="s">
        <v>145</v>
      </c>
      <c r="H696" s="828" t="s">
        <v>6706</v>
      </c>
      <c r="I696" s="824" t="s">
        <v>7197</v>
      </c>
      <c r="J696" s="828"/>
      <c r="K696" s="277" t="s">
        <v>7198</v>
      </c>
      <c r="L696" s="16">
        <v>9080</v>
      </c>
      <c r="M696" s="18" t="s">
        <v>7211</v>
      </c>
      <c r="N696" s="824"/>
      <c r="O696" s="431"/>
      <c r="P696" s="824"/>
    </row>
    <row r="697" spans="1:16" s="17" customFormat="1" ht="33" customHeight="1">
      <c r="A697" s="820"/>
      <c r="B697" s="399">
        <v>46287</v>
      </c>
      <c r="C697" s="4" t="s">
        <v>7201</v>
      </c>
      <c r="D697" s="4" t="s">
        <v>7202</v>
      </c>
      <c r="E697" s="828" t="s">
        <v>7203</v>
      </c>
      <c r="F697" s="824">
        <v>3306</v>
      </c>
      <c r="G697" s="16" t="s">
        <v>7204</v>
      </c>
      <c r="H697" s="828" t="s">
        <v>7205</v>
      </c>
      <c r="I697" s="828" t="s">
        <v>7206</v>
      </c>
      <c r="J697" s="828" t="s">
        <v>7207</v>
      </c>
      <c r="K697" s="125" t="s">
        <v>66</v>
      </c>
      <c r="L697" s="16" t="s">
        <v>7208</v>
      </c>
      <c r="M697" s="8">
        <v>4</v>
      </c>
      <c r="N697" s="824"/>
      <c r="O697" s="431"/>
      <c r="P697" s="824"/>
    </row>
    <row r="698" spans="1:16" s="17" customFormat="1" ht="33" customHeight="1">
      <c r="A698" s="804"/>
      <c r="B698" s="399">
        <v>46287</v>
      </c>
      <c r="C698" s="4" t="s">
        <v>21</v>
      </c>
      <c r="D698" s="4" t="s">
        <v>14</v>
      </c>
      <c r="E698" s="806" t="s">
        <v>7175</v>
      </c>
      <c r="F698" s="806" t="s">
        <v>7176</v>
      </c>
      <c r="G698" s="16" t="s">
        <v>7177</v>
      </c>
      <c r="H698" s="817" t="s">
        <v>7181</v>
      </c>
      <c r="I698" s="806" t="s">
        <v>7178</v>
      </c>
      <c r="J698" s="817" t="s">
        <v>7233</v>
      </c>
      <c r="K698" s="125" t="s">
        <v>7179</v>
      </c>
      <c r="L698" s="16">
        <v>9080</v>
      </c>
      <c r="M698" s="8">
        <v>3</v>
      </c>
      <c r="N698" s="806"/>
      <c r="O698" s="431" t="s">
        <v>7234</v>
      </c>
      <c r="P698" s="806"/>
    </row>
    <row r="699" spans="1:16" s="17" customFormat="1" ht="33" customHeight="1">
      <c r="A699" s="820"/>
      <c r="B699" s="399">
        <v>46287</v>
      </c>
      <c r="C699" s="3" t="s">
        <v>21</v>
      </c>
      <c r="D699" s="3" t="s">
        <v>14</v>
      </c>
      <c r="E699" s="454" t="s">
        <v>211</v>
      </c>
      <c r="F699" s="454" t="s">
        <v>2916</v>
      </c>
      <c r="G699" s="459" t="s">
        <v>2917</v>
      </c>
      <c r="H699" s="828" t="s">
        <v>7186</v>
      </c>
      <c r="I699" s="824" t="s">
        <v>7187</v>
      </c>
      <c r="J699" s="828" t="s">
        <v>7188</v>
      </c>
      <c r="K699" s="125" t="s">
        <v>7189</v>
      </c>
      <c r="L699" s="16" t="s">
        <v>7190</v>
      </c>
      <c r="M699" s="8">
        <v>3</v>
      </c>
      <c r="N699" s="824"/>
      <c r="O699" s="431" t="s">
        <v>7216</v>
      </c>
      <c r="P699" s="824"/>
    </row>
    <row r="700" spans="1:16" s="17" customFormat="1" ht="33" customHeight="1">
      <c r="A700" s="595"/>
      <c r="B700" s="399">
        <v>46288</v>
      </c>
      <c r="C700" s="4" t="s">
        <v>6707</v>
      </c>
      <c r="D700" s="4" t="s">
        <v>25</v>
      </c>
      <c r="E700" s="824" t="s">
        <v>6709</v>
      </c>
      <c r="F700" s="824">
        <v>7065</v>
      </c>
      <c r="G700" s="16" t="s">
        <v>145</v>
      </c>
      <c r="H700" s="828" t="s">
        <v>6706</v>
      </c>
      <c r="I700" s="824" t="s">
        <v>7199</v>
      </c>
      <c r="J700" s="828"/>
      <c r="K700" s="277" t="s">
        <v>7198</v>
      </c>
      <c r="L700" s="16">
        <v>9080</v>
      </c>
      <c r="M700" s="8">
        <v>2</v>
      </c>
      <c r="N700" s="422"/>
      <c r="O700" s="430"/>
      <c r="P700" s="31"/>
    </row>
    <row r="701" spans="1:16" s="17" customFormat="1" ht="33" customHeight="1">
      <c r="A701" s="595"/>
      <c r="B701" s="399">
        <v>46289</v>
      </c>
      <c r="C701" s="4"/>
      <c r="D701" s="4"/>
      <c r="E701" s="31"/>
      <c r="F701" s="31"/>
      <c r="G701" s="16"/>
      <c r="H701" s="828" t="s">
        <v>7142</v>
      </c>
      <c r="I701" s="31"/>
      <c r="J701" s="193"/>
      <c r="K701" s="125"/>
      <c r="L701" s="16"/>
      <c r="M701" s="8"/>
      <c r="N701" s="422"/>
      <c r="O701" s="430"/>
      <c r="P701" s="31"/>
    </row>
    <row r="702" spans="1:16" s="17" customFormat="1" ht="33" customHeight="1">
      <c r="A702" s="595"/>
      <c r="B702" s="399">
        <v>46290</v>
      </c>
      <c r="C702" s="4"/>
      <c r="D702" s="4"/>
      <c r="E702" s="31"/>
      <c r="F702" s="31"/>
      <c r="G702" s="16"/>
      <c r="H702" s="193" t="s">
        <v>7142</v>
      </c>
      <c r="I702" s="31"/>
      <c r="J702" s="193"/>
      <c r="K702" s="125"/>
      <c r="L702" s="16"/>
      <c r="M702" s="8"/>
      <c r="N702" s="422"/>
      <c r="O702" s="430"/>
      <c r="P702" s="31"/>
    </row>
    <row r="703" spans="1:16" s="17" customFormat="1" ht="33" customHeight="1">
      <c r="A703" s="596"/>
      <c r="B703" s="399">
        <v>46291</v>
      </c>
      <c r="C703" s="4"/>
      <c r="D703" s="4"/>
      <c r="E703" s="291"/>
      <c r="F703" s="31"/>
      <c r="G703" s="16"/>
      <c r="H703" s="193" t="s">
        <v>7143</v>
      </c>
      <c r="I703" s="31"/>
      <c r="J703" s="31"/>
      <c r="K703" s="125"/>
      <c r="L703" s="16"/>
      <c r="M703" s="8"/>
      <c r="N703" s="31"/>
      <c r="O703" s="432"/>
      <c r="P703" s="31"/>
    </row>
    <row r="704" spans="1:16" s="17" customFormat="1" ht="33" customHeight="1">
      <c r="A704" s="322" t="s">
        <v>0</v>
      </c>
      <c r="B704" s="323" t="s">
        <v>1</v>
      </c>
      <c r="C704" s="322" t="s">
        <v>2</v>
      </c>
      <c r="D704" s="322" t="s">
        <v>3</v>
      </c>
      <c r="E704" s="322" t="s">
        <v>4</v>
      </c>
      <c r="F704" s="322" t="s">
        <v>5</v>
      </c>
      <c r="G704" s="322" t="s">
        <v>6</v>
      </c>
      <c r="H704" s="324" t="s">
        <v>7</v>
      </c>
      <c r="I704" s="322" t="s">
        <v>8</v>
      </c>
      <c r="J704" s="322" t="s">
        <v>9</v>
      </c>
      <c r="K704" s="325" t="s">
        <v>10</v>
      </c>
      <c r="L704" s="326" t="s">
        <v>11</v>
      </c>
      <c r="M704" s="322" t="s">
        <v>12</v>
      </c>
      <c r="N704" s="327" t="s">
        <v>13</v>
      </c>
      <c r="O704" s="427" t="s">
        <v>63</v>
      </c>
      <c r="P704" s="322" t="s">
        <v>123</v>
      </c>
    </row>
    <row r="705" spans="1:16" s="17" customFormat="1" ht="33" customHeight="1">
      <c r="A705" s="594" t="s">
        <v>7263</v>
      </c>
      <c r="B705" s="399">
        <v>46293</v>
      </c>
      <c r="C705" s="4" t="s">
        <v>6707</v>
      </c>
      <c r="D705" s="4" t="s">
        <v>25</v>
      </c>
      <c r="E705" s="824" t="s">
        <v>6709</v>
      </c>
      <c r="F705" s="824">
        <v>7065</v>
      </c>
      <c r="G705" s="16" t="s">
        <v>145</v>
      </c>
      <c r="H705" s="828" t="s">
        <v>6706</v>
      </c>
      <c r="I705" s="824" t="s">
        <v>7197</v>
      </c>
      <c r="J705" s="828"/>
      <c r="K705" s="277" t="s">
        <v>7198</v>
      </c>
      <c r="L705" s="16">
        <v>9080</v>
      </c>
      <c r="M705" s="18" t="s">
        <v>7211</v>
      </c>
      <c r="N705" s="31"/>
      <c r="O705" s="429" t="s">
        <v>7026</v>
      </c>
      <c r="P705" s="31"/>
    </row>
    <row r="706" spans="1:16" s="17" customFormat="1" ht="33" customHeight="1">
      <c r="A706" s="820"/>
      <c r="B706" s="399">
        <v>46293</v>
      </c>
      <c r="C706" s="4" t="s">
        <v>64</v>
      </c>
      <c r="D706" s="4" t="s">
        <v>25</v>
      </c>
      <c r="E706" s="824" t="s">
        <v>7240</v>
      </c>
      <c r="F706" s="824" t="s">
        <v>7241</v>
      </c>
      <c r="G706" s="16" t="s">
        <v>7242</v>
      </c>
      <c r="H706" s="828" t="s">
        <v>7243</v>
      </c>
      <c r="I706" s="824" t="s">
        <v>7244</v>
      </c>
      <c r="J706" s="828"/>
      <c r="K706" s="277" t="s">
        <v>7245</v>
      </c>
      <c r="L706" s="16" t="s">
        <v>7246</v>
      </c>
      <c r="M706" s="18"/>
      <c r="N706" s="824"/>
      <c r="O706" s="430"/>
      <c r="P706" s="824"/>
    </row>
    <row r="707" spans="1:16" s="17" customFormat="1" ht="33" customHeight="1">
      <c r="A707" s="820"/>
      <c r="B707" s="399">
        <v>46294</v>
      </c>
      <c r="C707" s="4" t="s">
        <v>6707</v>
      </c>
      <c r="D707" s="4" t="s">
        <v>25</v>
      </c>
      <c r="E707" s="824" t="s">
        <v>6709</v>
      </c>
      <c r="F707" s="824">
        <v>7065</v>
      </c>
      <c r="G707" s="16" t="s">
        <v>145</v>
      </c>
      <c r="H707" s="828" t="s">
        <v>6706</v>
      </c>
      <c r="I707" s="824" t="s">
        <v>7197</v>
      </c>
      <c r="J707" s="828"/>
      <c r="K707" s="277" t="s">
        <v>7198</v>
      </c>
      <c r="L707" s="16">
        <v>9080</v>
      </c>
      <c r="M707" s="18" t="s">
        <v>7211</v>
      </c>
      <c r="N707" s="824"/>
      <c r="O707" s="431"/>
      <c r="P707" s="824"/>
    </row>
    <row r="708" spans="1:16" s="17" customFormat="1" ht="33" customHeight="1">
      <c r="A708" s="820"/>
      <c r="B708" s="399">
        <v>46294</v>
      </c>
      <c r="C708" s="3" t="s">
        <v>21</v>
      </c>
      <c r="D708" s="3" t="s">
        <v>14</v>
      </c>
      <c r="E708" s="454" t="s">
        <v>211</v>
      </c>
      <c r="F708" s="454" t="s">
        <v>2916</v>
      </c>
      <c r="G708" s="459" t="s">
        <v>2917</v>
      </c>
      <c r="H708" s="828" t="s">
        <v>7273</v>
      </c>
      <c r="I708" s="824" t="s">
        <v>7194</v>
      </c>
      <c r="J708" s="824"/>
      <c r="K708" s="125" t="s">
        <v>7189</v>
      </c>
      <c r="L708" s="16" t="s">
        <v>7195</v>
      </c>
      <c r="M708" s="8">
        <v>2</v>
      </c>
      <c r="N708" s="824"/>
      <c r="O708" s="431"/>
      <c r="P708" s="824"/>
    </row>
    <row r="709" spans="1:16" s="17" customFormat="1" ht="33" customHeight="1">
      <c r="A709" s="820"/>
      <c r="B709" s="399">
        <v>46295</v>
      </c>
      <c r="C709" s="3" t="s">
        <v>21</v>
      </c>
      <c r="D709" s="3" t="s">
        <v>14</v>
      </c>
      <c r="E709" s="454" t="s">
        <v>211</v>
      </c>
      <c r="F709" s="454" t="s">
        <v>2916</v>
      </c>
      <c r="G709" s="459" t="s">
        <v>2917</v>
      </c>
      <c r="H709" s="828" t="s">
        <v>7238</v>
      </c>
      <c r="I709" s="824" t="s">
        <v>7194</v>
      </c>
      <c r="J709" s="824" t="s">
        <v>7237</v>
      </c>
      <c r="K709" s="125" t="s">
        <v>7189</v>
      </c>
      <c r="L709" s="16" t="s">
        <v>7195</v>
      </c>
      <c r="M709" s="8">
        <v>4</v>
      </c>
      <c r="N709" s="824"/>
      <c r="O709" s="431" t="s">
        <v>7239</v>
      </c>
      <c r="P709" s="824"/>
    </row>
    <row r="710" spans="1:16" s="17" customFormat="1" ht="33" customHeight="1">
      <c r="A710" s="820"/>
      <c r="B710" s="399">
        <v>46295</v>
      </c>
      <c r="C710" s="4" t="s">
        <v>6707</v>
      </c>
      <c r="D710" s="4" t="s">
        <v>25</v>
      </c>
      <c r="E710" s="824" t="s">
        <v>6709</v>
      </c>
      <c r="F710" s="824">
        <v>7065</v>
      </c>
      <c r="G710" s="16" t="s">
        <v>145</v>
      </c>
      <c r="H710" s="828" t="s">
        <v>6706</v>
      </c>
      <c r="I710" s="824" t="s">
        <v>7197</v>
      </c>
      <c r="J710" s="828"/>
      <c r="K710" s="277" t="s">
        <v>7198</v>
      </c>
      <c r="L710" s="16">
        <v>9080</v>
      </c>
      <c r="M710" s="18" t="s">
        <v>7211</v>
      </c>
      <c r="N710" s="827"/>
      <c r="O710" s="430"/>
      <c r="P710" s="824"/>
    </row>
    <row r="711" spans="1:16" s="17" customFormat="1" ht="33" customHeight="1">
      <c r="A711" s="595"/>
      <c r="B711" s="399">
        <v>46296</v>
      </c>
      <c r="C711" s="3" t="s">
        <v>21</v>
      </c>
      <c r="D711" s="3" t="s">
        <v>14</v>
      </c>
      <c r="E711" s="454" t="s">
        <v>211</v>
      </c>
      <c r="F711" s="454" t="s">
        <v>2916</v>
      </c>
      <c r="G711" s="459" t="s">
        <v>2917</v>
      </c>
      <c r="H711" s="193" t="s">
        <v>7236</v>
      </c>
      <c r="I711" s="824" t="s">
        <v>7194</v>
      </c>
      <c r="J711" s="824"/>
      <c r="K711" s="125" t="s">
        <v>7189</v>
      </c>
      <c r="L711" s="16" t="s">
        <v>7195</v>
      </c>
      <c r="M711" s="8">
        <v>2</v>
      </c>
      <c r="N711" s="422"/>
      <c r="O711" s="430"/>
      <c r="P711" s="31"/>
    </row>
    <row r="712" spans="1:16" s="17" customFormat="1" ht="33" customHeight="1">
      <c r="A712" s="820"/>
      <c r="B712" s="399">
        <v>46296</v>
      </c>
      <c r="C712" s="4" t="s">
        <v>6707</v>
      </c>
      <c r="D712" s="4" t="s">
        <v>25</v>
      </c>
      <c r="E712" s="824" t="s">
        <v>6709</v>
      </c>
      <c r="F712" s="824">
        <v>7065</v>
      </c>
      <c r="G712" s="16" t="s">
        <v>145</v>
      </c>
      <c r="H712" s="828" t="s">
        <v>6706</v>
      </c>
      <c r="I712" s="824" t="s">
        <v>7197</v>
      </c>
      <c r="J712" s="828"/>
      <c r="K712" s="277" t="s">
        <v>7198</v>
      </c>
      <c r="L712" s="16">
        <v>9080</v>
      </c>
      <c r="M712" s="18" t="s">
        <v>7211</v>
      </c>
      <c r="N712" s="827"/>
      <c r="O712" s="430"/>
      <c r="P712" s="824"/>
    </row>
    <row r="713" spans="1:16" s="17" customFormat="1" ht="33" customHeight="1">
      <c r="A713" s="837"/>
      <c r="B713" s="399">
        <v>46296</v>
      </c>
      <c r="C713" s="4" t="s">
        <v>7247</v>
      </c>
      <c r="D713" s="4" t="s">
        <v>7248</v>
      </c>
      <c r="E713" s="838" t="s">
        <v>7249</v>
      </c>
      <c r="F713" s="838">
        <v>7062</v>
      </c>
      <c r="G713" s="16" t="s">
        <v>7250</v>
      </c>
      <c r="H713" s="840" t="s">
        <v>7262</v>
      </c>
      <c r="I713" s="838" t="s">
        <v>7260</v>
      </c>
      <c r="J713" s="840" t="s">
        <v>7252</v>
      </c>
      <c r="K713" s="277"/>
      <c r="L713" s="16" t="s">
        <v>7255</v>
      </c>
      <c r="M713" s="18">
        <v>3</v>
      </c>
      <c r="N713" s="839"/>
      <c r="O713" s="430"/>
      <c r="P713" s="838"/>
    </row>
    <row r="714" spans="1:16" s="17" customFormat="1" ht="33" customHeight="1">
      <c r="A714" s="837"/>
      <c r="B714" s="399">
        <v>46297</v>
      </c>
      <c r="C714" s="4" t="s">
        <v>7247</v>
      </c>
      <c r="D714" s="4" t="s">
        <v>7248</v>
      </c>
      <c r="E714" s="838" t="s">
        <v>7249</v>
      </c>
      <c r="F714" s="838">
        <v>7062</v>
      </c>
      <c r="G714" s="16" t="s">
        <v>7250</v>
      </c>
      <c r="H714" s="840" t="s">
        <v>7251</v>
      </c>
      <c r="I714" s="838" t="s">
        <v>7261</v>
      </c>
      <c r="J714" s="840" t="s">
        <v>7253</v>
      </c>
      <c r="K714" s="277"/>
      <c r="L714" s="16" t="s">
        <v>7256</v>
      </c>
      <c r="M714" s="18">
        <v>3</v>
      </c>
      <c r="N714" s="839"/>
      <c r="O714" s="430"/>
      <c r="P714" s="838"/>
    </row>
    <row r="715" spans="1:16" s="17" customFormat="1" ht="33" customHeight="1">
      <c r="A715" s="595"/>
      <c r="B715" s="399">
        <v>46297</v>
      </c>
      <c r="C715" s="3" t="s">
        <v>21</v>
      </c>
      <c r="D715" s="3" t="s">
        <v>14</v>
      </c>
      <c r="E715" s="454" t="s">
        <v>211</v>
      </c>
      <c r="F715" s="454" t="s">
        <v>2916</v>
      </c>
      <c r="G715" s="459" t="s">
        <v>2917</v>
      </c>
      <c r="H715" s="828" t="s">
        <v>7236</v>
      </c>
      <c r="I715" s="824" t="s">
        <v>1948</v>
      </c>
      <c r="J715" s="824" t="s">
        <v>7282</v>
      </c>
      <c r="K715" s="125" t="s">
        <v>7189</v>
      </c>
      <c r="L715" s="16" t="s">
        <v>7195</v>
      </c>
      <c r="M715" s="8">
        <v>3</v>
      </c>
      <c r="N715" s="422"/>
      <c r="O715" s="430"/>
      <c r="P715" s="31"/>
    </row>
    <row r="716" spans="1:16" s="17" customFormat="1" ht="33" customHeight="1">
      <c r="A716" s="820"/>
      <c r="B716" s="399">
        <v>46297</v>
      </c>
      <c r="C716" s="4" t="s">
        <v>6707</v>
      </c>
      <c r="D716" s="4" t="s">
        <v>25</v>
      </c>
      <c r="E716" s="824" t="s">
        <v>6709</v>
      </c>
      <c r="F716" s="824">
        <v>7065</v>
      </c>
      <c r="G716" s="16" t="s">
        <v>145</v>
      </c>
      <c r="H716" s="828" t="s">
        <v>6706</v>
      </c>
      <c r="I716" s="824" t="s">
        <v>7197</v>
      </c>
      <c r="J716" s="828"/>
      <c r="K716" s="277" t="s">
        <v>7198</v>
      </c>
      <c r="L716" s="16">
        <v>9080</v>
      </c>
      <c r="M716" s="18" t="s">
        <v>7211</v>
      </c>
      <c r="N716" s="827"/>
      <c r="O716" s="430"/>
      <c r="P716" s="824"/>
    </row>
    <row r="717" spans="1:16" s="17" customFormat="1" ht="33" customHeight="1">
      <c r="A717" s="596"/>
      <c r="B717" s="399">
        <v>46298</v>
      </c>
      <c r="C717" s="4"/>
      <c r="D717" s="4"/>
      <c r="E717" s="291"/>
      <c r="F717" s="31"/>
      <c r="G717" s="16"/>
      <c r="H717" s="193"/>
      <c r="I717" s="31"/>
      <c r="J717" s="31"/>
      <c r="K717" s="125"/>
      <c r="L717" s="16"/>
      <c r="M717" s="8"/>
      <c r="N717" s="31"/>
      <c r="O717" s="432"/>
      <c r="P717" s="31"/>
    </row>
    <row r="718" spans="1:16" s="17" customFormat="1" ht="33" customHeight="1">
      <c r="A718" s="322" t="s">
        <v>0</v>
      </c>
      <c r="B718" s="323" t="s">
        <v>1</v>
      </c>
      <c r="C718" s="322" t="s">
        <v>2</v>
      </c>
      <c r="D718" s="322" t="s">
        <v>3</v>
      </c>
      <c r="E718" s="322" t="s">
        <v>4</v>
      </c>
      <c r="F718" s="322" t="s">
        <v>5</v>
      </c>
      <c r="G718" s="322" t="s">
        <v>6</v>
      </c>
      <c r="H718" s="324" t="s">
        <v>7</v>
      </c>
      <c r="I718" s="322" t="s">
        <v>8</v>
      </c>
      <c r="J718" s="322" t="s">
        <v>9</v>
      </c>
      <c r="K718" s="325" t="s">
        <v>10</v>
      </c>
      <c r="L718" s="326" t="s">
        <v>11</v>
      </c>
      <c r="M718" s="322" t="s">
        <v>12</v>
      </c>
      <c r="N718" s="327" t="s">
        <v>13</v>
      </c>
      <c r="O718" s="427" t="s">
        <v>63</v>
      </c>
      <c r="P718" s="322" t="s">
        <v>123</v>
      </c>
    </row>
    <row r="719" spans="1:16" s="17" customFormat="1" ht="33" customHeight="1">
      <c r="A719" s="594" t="s">
        <v>7264</v>
      </c>
      <c r="B719" s="399">
        <v>46300</v>
      </c>
      <c r="C719" s="4"/>
      <c r="D719" s="4"/>
      <c r="E719" s="824"/>
      <c r="F719" s="824"/>
      <c r="G719" s="16"/>
      <c r="H719" s="828" t="s">
        <v>7257</v>
      </c>
      <c r="I719" s="824"/>
      <c r="J719" s="824"/>
      <c r="K719" s="125"/>
      <c r="L719" s="16"/>
      <c r="M719" s="8"/>
      <c r="N719" s="827"/>
      <c r="O719" s="430"/>
      <c r="P719" s="31"/>
    </row>
    <row r="720" spans="1:16" s="17" customFormat="1" ht="33" customHeight="1">
      <c r="A720" s="846"/>
      <c r="B720" s="399">
        <v>46300</v>
      </c>
      <c r="C720" s="4" t="s">
        <v>21</v>
      </c>
      <c r="D720" s="4" t="s">
        <v>14</v>
      </c>
      <c r="E720" s="848" t="s">
        <v>7305</v>
      </c>
      <c r="F720" s="848" t="s">
        <v>7306</v>
      </c>
      <c r="G720" s="16" t="s">
        <v>7307</v>
      </c>
      <c r="H720" s="853" t="s">
        <v>7316</v>
      </c>
      <c r="I720" s="848"/>
      <c r="J720" s="848" t="s">
        <v>7309</v>
      </c>
      <c r="K720" s="125" t="s">
        <v>7310</v>
      </c>
      <c r="L720" s="16" t="s">
        <v>7311</v>
      </c>
      <c r="M720" s="8">
        <v>2</v>
      </c>
      <c r="N720" s="852"/>
      <c r="O720" s="430"/>
      <c r="P720" s="848"/>
    </row>
    <row r="721" spans="1:16" s="17" customFormat="1" ht="33" customHeight="1">
      <c r="A721" s="846"/>
      <c r="B721" s="399">
        <v>46301</v>
      </c>
      <c r="C721" s="3" t="s">
        <v>21</v>
      </c>
      <c r="D721" s="3" t="s">
        <v>14</v>
      </c>
      <c r="E721" s="454" t="s">
        <v>211</v>
      </c>
      <c r="F721" s="454" t="s">
        <v>2916</v>
      </c>
      <c r="G721" s="459" t="s">
        <v>2917</v>
      </c>
      <c r="H721" s="853" t="s">
        <v>7303</v>
      </c>
      <c r="I721" s="848" t="s">
        <v>7304</v>
      </c>
      <c r="J721" s="848"/>
      <c r="K721" s="125" t="s">
        <v>7283</v>
      </c>
      <c r="L721" s="16" t="s">
        <v>7284</v>
      </c>
      <c r="M721" s="8">
        <v>2</v>
      </c>
      <c r="N721" s="848"/>
      <c r="O721" s="431"/>
      <c r="P721" s="848"/>
    </row>
    <row r="722" spans="1:16" s="17" customFormat="1" ht="33" customHeight="1">
      <c r="A722" s="846"/>
      <c r="B722" s="399">
        <v>46301</v>
      </c>
      <c r="C722" s="4" t="s">
        <v>21</v>
      </c>
      <c r="D722" s="4" t="s">
        <v>14</v>
      </c>
      <c r="E722" s="848" t="s">
        <v>7305</v>
      </c>
      <c r="F722" s="848" t="s">
        <v>7306</v>
      </c>
      <c r="G722" s="16" t="s">
        <v>7307</v>
      </c>
      <c r="H722" s="853" t="s">
        <v>7308</v>
      </c>
      <c r="I722" s="848"/>
      <c r="J722" s="848" t="s">
        <v>7309</v>
      </c>
      <c r="K722" s="125" t="s">
        <v>7310</v>
      </c>
      <c r="L722" s="16" t="s">
        <v>7311</v>
      </c>
      <c r="M722" s="8">
        <v>2</v>
      </c>
      <c r="N722" s="848"/>
      <c r="O722" s="431"/>
      <c r="P722" s="848"/>
    </row>
    <row r="723" spans="1:16" s="17" customFormat="1" ht="33" customHeight="1">
      <c r="A723" s="860"/>
      <c r="B723" s="399">
        <v>46301</v>
      </c>
      <c r="C723" s="4" t="s">
        <v>21</v>
      </c>
      <c r="D723" s="4" t="s">
        <v>7364</v>
      </c>
      <c r="E723" s="864" t="s">
        <v>7365</v>
      </c>
      <c r="F723" s="864" t="s">
        <v>7366</v>
      </c>
      <c r="G723" s="16" t="s">
        <v>115</v>
      </c>
      <c r="H723" s="885" t="s">
        <v>7367</v>
      </c>
      <c r="I723" s="864"/>
      <c r="J723" s="864" t="s">
        <v>7368</v>
      </c>
      <c r="K723" s="125" t="s">
        <v>7369</v>
      </c>
      <c r="L723" s="16">
        <v>9080</v>
      </c>
      <c r="M723" s="8">
        <v>1</v>
      </c>
      <c r="N723" s="864"/>
      <c r="O723" s="431"/>
      <c r="P723" s="864"/>
    </row>
    <row r="724" spans="1:16" s="17" customFormat="1" ht="33" customHeight="1">
      <c r="A724" s="860"/>
      <c r="B724" s="399">
        <v>46301</v>
      </c>
      <c r="C724" s="4" t="s">
        <v>6707</v>
      </c>
      <c r="D724" s="4" t="s">
        <v>25</v>
      </c>
      <c r="E724" s="864" t="s">
        <v>6709</v>
      </c>
      <c r="F724" s="864">
        <v>7065</v>
      </c>
      <c r="G724" s="16" t="s">
        <v>145</v>
      </c>
      <c r="H724" s="868" t="s">
        <v>6706</v>
      </c>
      <c r="I724" s="864" t="s">
        <v>6842</v>
      </c>
      <c r="J724" s="868"/>
      <c r="K724" s="277" t="s">
        <v>209</v>
      </c>
      <c r="L724" s="16">
        <v>9080</v>
      </c>
      <c r="M724" s="18" t="s">
        <v>209</v>
      </c>
      <c r="N724" s="864"/>
      <c r="O724" s="431"/>
      <c r="P724" s="864"/>
    </row>
    <row r="725" spans="1:16" s="17" customFormat="1" ht="33" customHeight="1">
      <c r="A725" s="595"/>
      <c r="B725" s="399">
        <v>46302</v>
      </c>
      <c r="C725" s="4" t="s">
        <v>21</v>
      </c>
      <c r="D725" s="4" t="s">
        <v>7364</v>
      </c>
      <c r="E725" s="864" t="s">
        <v>7365</v>
      </c>
      <c r="F725" s="864" t="s">
        <v>7366</v>
      </c>
      <c r="G725" s="16" t="s">
        <v>115</v>
      </c>
      <c r="H725" s="885" t="s">
        <v>7367</v>
      </c>
      <c r="I725" s="864"/>
      <c r="J725" s="864" t="s">
        <v>7368</v>
      </c>
      <c r="K725" s="125" t="s">
        <v>7369</v>
      </c>
      <c r="L725" s="16">
        <v>9080</v>
      </c>
      <c r="M725" s="8">
        <v>1</v>
      </c>
      <c r="N725" s="422"/>
      <c r="O725" s="430" t="s">
        <v>7370</v>
      </c>
      <c r="P725" s="31"/>
    </row>
    <row r="726" spans="1:16" s="17" customFormat="1" ht="33" customHeight="1">
      <c r="A726" s="846"/>
      <c r="B726" s="399">
        <v>46302</v>
      </c>
      <c r="C726" s="4" t="s">
        <v>21</v>
      </c>
      <c r="D726" s="4" t="s">
        <v>14</v>
      </c>
      <c r="E726" s="848" t="s">
        <v>7305</v>
      </c>
      <c r="F726" s="848" t="s">
        <v>7313</v>
      </c>
      <c r="G726" s="16" t="s">
        <v>7307</v>
      </c>
      <c r="H726" s="853" t="s">
        <v>7312</v>
      </c>
      <c r="I726" s="848"/>
      <c r="J726" s="848" t="s">
        <v>7309</v>
      </c>
      <c r="K726" s="125" t="s">
        <v>7310</v>
      </c>
      <c r="L726" s="16" t="s">
        <v>7311</v>
      </c>
      <c r="M726" s="8">
        <v>2</v>
      </c>
      <c r="N726" s="852"/>
      <c r="O726" s="430"/>
      <c r="P726" s="848"/>
    </row>
    <row r="727" spans="1:16" s="17" customFormat="1" ht="33" customHeight="1">
      <c r="A727" s="860"/>
      <c r="B727" s="399">
        <v>46302</v>
      </c>
      <c r="C727" s="4" t="s">
        <v>6707</v>
      </c>
      <c r="D727" s="4" t="s">
        <v>25</v>
      </c>
      <c r="E727" s="864" t="s">
        <v>6709</v>
      </c>
      <c r="F727" s="864">
        <v>7065</v>
      </c>
      <c r="G727" s="16" t="s">
        <v>145</v>
      </c>
      <c r="H727" s="868" t="s">
        <v>6706</v>
      </c>
      <c r="I727" s="864" t="s">
        <v>6842</v>
      </c>
      <c r="J727" s="868"/>
      <c r="K727" s="277" t="s">
        <v>209</v>
      </c>
      <c r="L727" s="16">
        <v>9080</v>
      </c>
      <c r="M727" s="18" t="s">
        <v>209</v>
      </c>
      <c r="N727" s="867"/>
      <c r="O727" s="430"/>
      <c r="P727" s="864"/>
    </row>
    <row r="728" spans="1:16" s="17" customFormat="1" ht="33" customHeight="1">
      <c r="A728" s="860"/>
      <c r="B728" s="399">
        <v>46303</v>
      </c>
      <c r="C728" s="4" t="s">
        <v>7357</v>
      </c>
      <c r="D728" s="4" t="s">
        <v>17</v>
      </c>
      <c r="E728" s="864" t="s">
        <v>7358</v>
      </c>
      <c r="F728" s="864" t="s">
        <v>7359</v>
      </c>
      <c r="G728" s="16" t="s">
        <v>6966</v>
      </c>
      <c r="H728" s="868" t="s">
        <v>7360</v>
      </c>
      <c r="I728" s="864" t="s">
        <v>7361</v>
      </c>
      <c r="J728" s="864" t="s">
        <v>7362</v>
      </c>
      <c r="K728" s="125" t="s">
        <v>7363</v>
      </c>
      <c r="L728" s="16" t="s">
        <v>7355</v>
      </c>
      <c r="M728" s="8">
        <v>2</v>
      </c>
      <c r="N728" s="867"/>
      <c r="O728" s="430"/>
      <c r="P728" s="864"/>
    </row>
    <row r="729" spans="1:16" s="17" customFormat="1" ht="33" customHeight="1">
      <c r="A729" s="595"/>
      <c r="B729" s="399">
        <v>46303</v>
      </c>
      <c r="C729" s="4" t="s">
        <v>21</v>
      </c>
      <c r="D729" s="4" t="s">
        <v>7274</v>
      </c>
      <c r="E729" s="840" t="s">
        <v>7279</v>
      </c>
      <c r="F729" s="31" t="s">
        <v>7275</v>
      </c>
      <c r="G729" s="16" t="s">
        <v>7276</v>
      </c>
      <c r="H729" s="193" t="s">
        <v>7285</v>
      </c>
      <c r="I729" s="31"/>
      <c r="J729" s="838" t="s">
        <v>686</v>
      </c>
      <c r="K729" s="125" t="s">
        <v>7277</v>
      </c>
      <c r="L729" s="16" t="s">
        <v>7278</v>
      </c>
      <c r="M729" s="8">
        <v>1</v>
      </c>
      <c r="N729" s="422" t="s">
        <v>7356</v>
      </c>
      <c r="O729" s="430" t="s">
        <v>4602</v>
      </c>
      <c r="P729" s="31"/>
    </row>
    <row r="730" spans="1:16" s="17" customFormat="1" ht="33" customHeight="1">
      <c r="A730" s="846"/>
      <c r="B730" s="399">
        <v>46303</v>
      </c>
      <c r="C730" s="4" t="s">
        <v>21</v>
      </c>
      <c r="D730" s="4" t="s">
        <v>14</v>
      </c>
      <c r="E730" s="848" t="s">
        <v>7305</v>
      </c>
      <c r="F730" s="848" t="s">
        <v>7313</v>
      </c>
      <c r="G730" s="16" t="s">
        <v>7307</v>
      </c>
      <c r="H730" s="853" t="s">
        <v>7312</v>
      </c>
      <c r="I730" s="848"/>
      <c r="J730" s="848" t="s">
        <v>7309</v>
      </c>
      <c r="K730" s="125" t="s">
        <v>7310</v>
      </c>
      <c r="L730" s="16" t="s">
        <v>7311</v>
      </c>
      <c r="M730" s="8">
        <v>2</v>
      </c>
      <c r="N730" s="852"/>
      <c r="O730" s="430"/>
      <c r="P730" s="848"/>
    </row>
    <row r="731" spans="1:16" s="17" customFormat="1" ht="33" customHeight="1">
      <c r="A731" s="860"/>
      <c r="B731" s="399">
        <v>46303</v>
      </c>
      <c r="C731" s="4" t="s">
        <v>6707</v>
      </c>
      <c r="D731" s="4" t="s">
        <v>25</v>
      </c>
      <c r="E731" s="864" t="s">
        <v>6709</v>
      </c>
      <c r="F731" s="864">
        <v>7065</v>
      </c>
      <c r="G731" s="16" t="s">
        <v>145</v>
      </c>
      <c r="H731" s="868" t="s">
        <v>6706</v>
      </c>
      <c r="I731" s="864" t="s">
        <v>7420</v>
      </c>
      <c r="J731" s="868"/>
      <c r="K731" s="277" t="s">
        <v>209</v>
      </c>
      <c r="L731" s="16">
        <v>9080</v>
      </c>
      <c r="M731" s="18" t="s">
        <v>209</v>
      </c>
      <c r="N731" s="867"/>
      <c r="O731" s="430"/>
      <c r="P731" s="864"/>
    </row>
    <row r="732" spans="1:16" s="17" customFormat="1" ht="33" customHeight="1">
      <c r="A732" s="846"/>
      <c r="B732" s="399">
        <v>46304</v>
      </c>
      <c r="C732" s="4" t="s">
        <v>21</v>
      </c>
      <c r="D732" s="4" t="s">
        <v>14</v>
      </c>
      <c r="E732" s="848" t="s">
        <v>7305</v>
      </c>
      <c r="F732" s="848" t="s">
        <v>7313</v>
      </c>
      <c r="G732" s="16" t="s">
        <v>7307</v>
      </c>
      <c r="H732" s="853" t="s">
        <v>7312</v>
      </c>
      <c r="I732" s="848"/>
      <c r="J732" s="848" t="s">
        <v>7309</v>
      </c>
      <c r="K732" s="125" t="s">
        <v>7310</v>
      </c>
      <c r="L732" s="16" t="s">
        <v>7311</v>
      </c>
      <c r="M732" s="8">
        <v>2</v>
      </c>
      <c r="N732" s="852"/>
      <c r="O732" s="430"/>
      <c r="P732" s="848"/>
    </row>
    <row r="733" spans="1:16" s="17" customFormat="1" ht="33" customHeight="1">
      <c r="A733" s="860"/>
      <c r="B733" s="399">
        <v>46304</v>
      </c>
      <c r="C733" s="4" t="s">
        <v>138</v>
      </c>
      <c r="D733" s="4" t="s">
        <v>14</v>
      </c>
      <c r="E733" s="864" t="s">
        <v>1787</v>
      </c>
      <c r="F733" s="864" t="s">
        <v>2978</v>
      </c>
      <c r="G733" s="16" t="s">
        <v>23</v>
      </c>
      <c r="H733" s="868" t="s">
        <v>7340</v>
      </c>
      <c r="I733" s="864"/>
      <c r="J733" s="864" t="s">
        <v>641</v>
      </c>
      <c r="K733" s="125" t="s">
        <v>84</v>
      </c>
      <c r="L733" s="16" t="s">
        <v>6287</v>
      </c>
      <c r="M733" s="8">
        <v>2</v>
      </c>
      <c r="N733" s="867"/>
      <c r="O733" s="430"/>
      <c r="P733" s="864"/>
    </row>
    <row r="734" spans="1:16" s="17" customFormat="1" ht="33" customHeight="1">
      <c r="A734" s="595"/>
      <c r="B734" s="399">
        <v>46304</v>
      </c>
      <c r="C734" s="4"/>
      <c r="D734" s="4"/>
      <c r="E734" s="806"/>
      <c r="F734" s="806"/>
      <c r="G734" s="16"/>
      <c r="H734" s="817" t="s">
        <v>7258</v>
      </c>
      <c r="I734" s="31"/>
      <c r="J734" s="193"/>
      <c r="K734" s="125"/>
      <c r="L734" s="16"/>
      <c r="M734" s="8"/>
      <c r="N734" s="422"/>
      <c r="O734" s="430"/>
      <c r="P734" s="31"/>
    </row>
    <row r="735" spans="1:16" s="17" customFormat="1" ht="33" customHeight="1">
      <c r="A735" s="846"/>
      <c r="B735" s="872">
        <v>46305</v>
      </c>
      <c r="C735" s="4" t="s">
        <v>21</v>
      </c>
      <c r="D735" s="4" t="s">
        <v>14</v>
      </c>
      <c r="E735" s="848" t="s">
        <v>7305</v>
      </c>
      <c r="F735" s="848" t="s">
        <v>7306</v>
      </c>
      <c r="G735" s="16" t="s">
        <v>7307</v>
      </c>
      <c r="H735" s="853" t="s">
        <v>7314</v>
      </c>
      <c r="I735" s="848"/>
      <c r="J735" s="848" t="s">
        <v>7309</v>
      </c>
      <c r="K735" s="125" t="s">
        <v>7310</v>
      </c>
      <c r="L735" s="16" t="s">
        <v>7311</v>
      </c>
      <c r="M735" s="8">
        <v>2</v>
      </c>
      <c r="N735" s="852"/>
      <c r="O735" s="430"/>
      <c r="P735" s="848"/>
    </row>
    <row r="736" spans="1:16" s="17" customFormat="1" ht="33" customHeight="1">
      <c r="A736" s="860"/>
      <c r="B736" s="872">
        <v>46305</v>
      </c>
      <c r="C736" s="4" t="s">
        <v>6707</v>
      </c>
      <c r="D736" s="4" t="s">
        <v>25</v>
      </c>
      <c r="E736" s="864" t="s">
        <v>6709</v>
      </c>
      <c r="F736" s="864">
        <v>7065</v>
      </c>
      <c r="G736" s="16" t="s">
        <v>145</v>
      </c>
      <c r="H736" s="868" t="s">
        <v>6706</v>
      </c>
      <c r="I736" s="864" t="s">
        <v>7420</v>
      </c>
      <c r="J736" s="868"/>
      <c r="K736" s="277" t="s">
        <v>209</v>
      </c>
      <c r="L736" s="16">
        <v>9080</v>
      </c>
      <c r="M736" s="18" t="s">
        <v>209</v>
      </c>
      <c r="N736" s="886"/>
      <c r="O736" s="430"/>
      <c r="P736" s="864"/>
    </row>
    <row r="737" spans="1:16" s="17" customFormat="1" ht="33" customHeight="1">
      <c r="A737" s="847"/>
      <c r="B737" s="872">
        <v>46306</v>
      </c>
      <c r="C737" s="4" t="s">
        <v>21</v>
      </c>
      <c r="D737" s="4" t="s">
        <v>14</v>
      </c>
      <c r="E737" s="848" t="s">
        <v>7305</v>
      </c>
      <c r="F737" s="848" t="s">
        <v>7306</v>
      </c>
      <c r="G737" s="16" t="s">
        <v>7307</v>
      </c>
      <c r="H737" s="853" t="s">
        <v>7314</v>
      </c>
      <c r="I737" s="848"/>
      <c r="J737" s="848" t="s">
        <v>7309</v>
      </c>
      <c r="K737" s="125" t="s">
        <v>7310</v>
      </c>
      <c r="L737" s="16" t="s">
        <v>7311</v>
      </c>
      <c r="M737" s="8">
        <v>2</v>
      </c>
      <c r="N737" s="755"/>
      <c r="O737" s="430"/>
      <c r="P737" s="848"/>
    </row>
    <row r="738" spans="1:16" s="17" customFormat="1" ht="33" customHeight="1">
      <c r="A738" s="322" t="s">
        <v>0</v>
      </c>
      <c r="B738" s="323" t="s">
        <v>1</v>
      </c>
      <c r="C738" s="322" t="s">
        <v>2</v>
      </c>
      <c r="D738" s="322" t="s">
        <v>3</v>
      </c>
      <c r="E738" s="322" t="s">
        <v>4</v>
      </c>
      <c r="F738" s="322" t="s">
        <v>5</v>
      </c>
      <c r="G738" s="322" t="s">
        <v>6</v>
      </c>
      <c r="H738" s="324" t="s">
        <v>7</v>
      </c>
      <c r="I738" s="322" t="s">
        <v>8</v>
      </c>
      <c r="J738" s="322" t="s">
        <v>9</v>
      </c>
      <c r="K738" s="325" t="s">
        <v>10</v>
      </c>
      <c r="L738" s="326" t="s">
        <v>11</v>
      </c>
      <c r="M738" s="322" t="s">
        <v>12</v>
      </c>
      <c r="N738" s="327" t="s">
        <v>13</v>
      </c>
      <c r="O738" s="427" t="s">
        <v>63</v>
      </c>
      <c r="P738" s="322" t="s">
        <v>123</v>
      </c>
    </row>
    <row r="739" spans="1:16" s="17" customFormat="1" ht="33" customHeight="1">
      <c r="A739" s="594" t="s">
        <v>7265</v>
      </c>
      <c r="B739" s="399">
        <v>46307</v>
      </c>
      <c r="C739" s="4" t="s">
        <v>7290</v>
      </c>
      <c r="D739" s="4" t="s">
        <v>7291</v>
      </c>
      <c r="E739" s="31" t="s">
        <v>7292</v>
      </c>
      <c r="F739" s="31" t="s">
        <v>7293</v>
      </c>
      <c r="G739" s="16" t="s">
        <v>7294</v>
      </c>
      <c r="H739" s="193" t="s">
        <v>7344</v>
      </c>
      <c r="I739" s="31"/>
      <c r="J739" s="853" t="s">
        <v>7298</v>
      </c>
      <c r="K739" s="125" t="s">
        <v>7295</v>
      </c>
      <c r="L739" s="16" t="s">
        <v>7296</v>
      </c>
      <c r="M739" s="8">
        <v>2</v>
      </c>
      <c r="N739" s="31"/>
      <c r="O739" s="430" t="s">
        <v>6766</v>
      </c>
      <c r="P739" s="31"/>
    </row>
    <row r="740" spans="1:16" s="17" customFormat="1" ht="54">
      <c r="A740" s="846"/>
      <c r="B740" s="399">
        <v>46307</v>
      </c>
      <c r="C740" s="4" t="s">
        <v>7290</v>
      </c>
      <c r="D740" s="4" t="s">
        <v>7291</v>
      </c>
      <c r="E740" s="848" t="s">
        <v>7292</v>
      </c>
      <c r="F740" s="848" t="s">
        <v>7293</v>
      </c>
      <c r="G740" s="16" t="s">
        <v>7341</v>
      </c>
      <c r="H740" s="853" t="s">
        <v>7343</v>
      </c>
      <c r="I740" s="848"/>
      <c r="J740" s="853" t="s">
        <v>7342</v>
      </c>
      <c r="K740" s="125" t="s">
        <v>15</v>
      </c>
      <c r="L740" s="16" t="s">
        <v>7318</v>
      </c>
      <c r="M740" s="8">
        <v>1</v>
      </c>
      <c r="N740" s="848"/>
      <c r="O740" s="429"/>
      <c r="P740" s="848"/>
    </row>
    <row r="741" spans="1:16" s="17" customFormat="1" ht="33" customHeight="1">
      <c r="A741" s="846"/>
      <c r="B741" s="399">
        <v>46307</v>
      </c>
      <c r="C741" s="4" t="s">
        <v>21</v>
      </c>
      <c r="D741" s="4" t="s">
        <v>14</v>
      </c>
      <c r="E741" s="848" t="s">
        <v>7305</v>
      </c>
      <c r="F741" s="848" t="s">
        <v>7306</v>
      </c>
      <c r="G741" s="16" t="s">
        <v>7307</v>
      </c>
      <c r="H741" s="853" t="s">
        <v>7314</v>
      </c>
      <c r="I741" s="848"/>
      <c r="J741" s="848" t="s">
        <v>7309</v>
      </c>
      <c r="K741" s="125" t="s">
        <v>7310</v>
      </c>
      <c r="L741" s="16" t="s">
        <v>7311</v>
      </c>
      <c r="M741" s="8">
        <v>2</v>
      </c>
      <c r="N741" s="848"/>
      <c r="O741" s="429"/>
      <c r="P741" s="848"/>
    </row>
    <row r="742" spans="1:16" s="17" customFormat="1" ht="33" customHeight="1">
      <c r="A742" s="860"/>
      <c r="B742" s="399">
        <v>46307</v>
      </c>
      <c r="C742" s="3" t="s">
        <v>21</v>
      </c>
      <c r="D742" s="3" t="s">
        <v>14</v>
      </c>
      <c r="E742" s="454" t="s">
        <v>211</v>
      </c>
      <c r="F742" s="454" t="s">
        <v>2916</v>
      </c>
      <c r="G742" s="459" t="s">
        <v>2917</v>
      </c>
      <c r="H742" s="868" t="s">
        <v>7353</v>
      </c>
      <c r="I742" s="864" t="s">
        <v>7394</v>
      </c>
      <c r="J742" s="864" t="s">
        <v>7354</v>
      </c>
      <c r="K742" s="125" t="s">
        <v>84</v>
      </c>
      <c r="L742" s="16" t="s">
        <v>7355</v>
      </c>
      <c r="M742" s="8">
        <v>3</v>
      </c>
      <c r="N742" s="864"/>
      <c r="O742" s="429"/>
      <c r="P742" s="864"/>
    </row>
    <row r="743" spans="1:16" s="17" customFormat="1" ht="33" customHeight="1">
      <c r="A743" s="860"/>
      <c r="B743" s="399">
        <v>46307</v>
      </c>
      <c r="C743" s="3" t="s">
        <v>7410</v>
      </c>
      <c r="D743" s="3" t="s">
        <v>17</v>
      </c>
      <c r="E743" s="454" t="s">
        <v>7411</v>
      </c>
      <c r="F743" s="454" t="s">
        <v>5243</v>
      </c>
      <c r="G743" s="459" t="s">
        <v>7412</v>
      </c>
      <c r="H743" s="868" t="s">
        <v>7413</v>
      </c>
      <c r="I743" s="864" t="s">
        <v>7414</v>
      </c>
      <c r="J743" s="864" t="s">
        <v>7415</v>
      </c>
      <c r="K743" s="125" t="s">
        <v>7416</v>
      </c>
      <c r="L743" s="16" t="s">
        <v>7406</v>
      </c>
      <c r="M743" s="8">
        <v>6</v>
      </c>
      <c r="N743" s="864"/>
      <c r="O743" s="429"/>
      <c r="P743" s="864"/>
    </row>
    <row r="744" spans="1:16" s="17" customFormat="1" ht="33" customHeight="1">
      <c r="A744" s="860"/>
      <c r="B744" s="399">
        <v>46307</v>
      </c>
      <c r="C744" s="4" t="s">
        <v>6707</v>
      </c>
      <c r="D744" s="4" t="s">
        <v>25</v>
      </c>
      <c r="E744" s="864" t="s">
        <v>6709</v>
      </c>
      <c r="F744" s="864">
        <v>7065</v>
      </c>
      <c r="G744" s="16" t="s">
        <v>145</v>
      </c>
      <c r="H744" s="868" t="s">
        <v>6706</v>
      </c>
      <c r="I744" s="864" t="s">
        <v>7417</v>
      </c>
      <c r="J744" s="868"/>
      <c r="K744" s="277" t="s">
        <v>209</v>
      </c>
      <c r="L744" s="16">
        <v>9080</v>
      </c>
      <c r="M744" s="18" t="s">
        <v>209</v>
      </c>
      <c r="N744" s="864"/>
      <c r="O744" s="429"/>
      <c r="P744" s="864"/>
    </row>
    <row r="745" spans="1:16" s="17" customFormat="1" ht="33" customHeight="1">
      <c r="A745" s="595"/>
      <c r="B745" s="399">
        <v>46308</v>
      </c>
      <c r="C745" s="3" t="s">
        <v>7410</v>
      </c>
      <c r="D745" s="3" t="s">
        <v>17</v>
      </c>
      <c r="E745" s="454" t="s">
        <v>7411</v>
      </c>
      <c r="F745" s="454" t="s">
        <v>5243</v>
      </c>
      <c r="G745" s="459" t="s">
        <v>7412</v>
      </c>
      <c r="H745" s="868" t="s">
        <v>7413</v>
      </c>
      <c r="I745" s="864" t="s">
        <v>7414</v>
      </c>
      <c r="J745" s="864" t="s">
        <v>7415</v>
      </c>
      <c r="K745" s="125" t="s">
        <v>7416</v>
      </c>
      <c r="L745" s="16" t="s">
        <v>7418</v>
      </c>
      <c r="M745" s="8">
        <v>6</v>
      </c>
      <c r="N745" s="31"/>
      <c r="O745" s="429"/>
      <c r="P745" s="31"/>
    </row>
    <row r="746" spans="1:16" s="17" customFormat="1" ht="33" customHeight="1">
      <c r="A746" s="846"/>
      <c r="B746" s="399">
        <v>46308</v>
      </c>
      <c r="C746" s="4" t="s">
        <v>21</v>
      </c>
      <c r="D746" s="4" t="s">
        <v>14</v>
      </c>
      <c r="E746" s="848" t="s">
        <v>7305</v>
      </c>
      <c r="F746" s="848" t="s">
        <v>7306</v>
      </c>
      <c r="G746" s="16" t="s">
        <v>7307</v>
      </c>
      <c r="H746" s="853" t="s">
        <v>7314</v>
      </c>
      <c r="I746" s="848"/>
      <c r="J746" s="848" t="s">
        <v>7309</v>
      </c>
      <c r="K746" s="125" t="s">
        <v>7310</v>
      </c>
      <c r="L746" s="16" t="s">
        <v>7311</v>
      </c>
      <c r="M746" s="8">
        <v>2</v>
      </c>
      <c r="N746" s="848"/>
      <c r="O746" s="429"/>
      <c r="P746" s="848"/>
    </row>
    <row r="747" spans="1:16" s="17" customFormat="1" ht="33" customHeight="1">
      <c r="A747" s="860"/>
      <c r="B747" s="399">
        <v>46308</v>
      </c>
      <c r="C747" s="4" t="s">
        <v>6707</v>
      </c>
      <c r="D747" s="4" t="s">
        <v>25</v>
      </c>
      <c r="E747" s="864" t="s">
        <v>6709</v>
      </c>
      <c r="F747" s="864">
        <v>7065</v>
      </c>
      <c r="G747" s="16" t="s">
        <v>145</v>
      </c>
      <c r="H747" s="868" t="s">
        <v>6706</v>
      </c>
      <c r="I747" s="864" t="s">
        <v>7417</v>
      </c>
      <c r="J747" s="868"/>
      <c r="K747" s="277" t="s">
        <v>209</v>
      </c>
      <c r="L747" s="16">
        <v>9080</v>
      </c>
      <c r="M747" s="18" t="s">
        <v>209</v>
      </c>
      <c r="N747" s="864"/>
      <c r="O747" s="429"/>
      <c r="P747" s="864"/>
    </row>
    <row r="748" spans="1:16" s="17" customFormat="1" ht="33" customHeight="1">
      <c r="A748" s="595"/>
      <c r="B748" s="399">
        <v>46309</v>
      </c>
      <c r="C748" s="4" t="s">
        <v>21</v>
      </c>
      <c r="D748" s="4" t="s">
        <v>17</v>
      </c>
      <c r="E748" s="868" t="s">
        <v>7279</v>
      </c>
      <c r="F748" s="454" t="s">
        <v>270</v>
      </c>
      <c r="G748" s="16" t="s">
        <v>6284</v>
      </c>
      <c r="H748" s="868" t="s">
        <v>7285</v>
      </c>
      <c r="I748" s="864"/>
      <c r="J748" s="864" t="s">
        <v>7393</v>
      </c>
      <c r="K748" s="125" t="s">
        <v>7387</v>
      </c>
      <c r="L748" s="16" t="s">
        <v>7388</v>
      </c>
      <c r="M748" s="8">
        <v>2</v>
      </c>
      <c r="N748" s="422"/>
      <c r="O748" s="430"/>
      <c r="P748" s="31"/>
    </row>
    <row r="749" spans="1:16" s="17" customFormat="1" ht="33" customHeight="1">
      <c r="A749" s="846"/>
      <c r="B749" s="399">
        <v>46309</v>
      </c>
      <c r="C749" s="4" t="s">
        <v>21</v>
      </c>
      <c r="D749" s="4" t="s">
        <v>14</v>
      </c>
      <c r="E749" s="848" t="s">
        <v>7305</v>
      </c>
      <c r="F749" s="848" t="s">
        <v>7306</v>
      </c>
      <c r="G749" s="16" t="s">
        <v>7307</v>
      </c>
      <c r="H749" s="853" t="s">
        <v>7315</v>
      </c>
      <c r="I749" s="848"/>
      <c r="J749" s="848" t="s">
        <v>7309</v>
      </c>
      <c r="K749" s="125" t="s">
        <v>7310</v>
      </c>
      <c r="L749" s="16" t="s">
        <v>7311</v>
      </c>
      <c r="M749" s="8">
        <v>2</v>
      </c>
      <c r="N749" s="852"/>
      <c r="O749" s="430"/>
      <c r="P749" s="848"/>
    </row>
    <row r="750" spans="1:16" s="17" customFormat="1" ht="33" customHeight="1">
      <c r="A750" s="860"/>
      <c r="B750" s="399">
        <v>46309</v>
      </c>
      <c r="C750" s="3" t="s">
        <v>7410</v>
      </c>
      <c r="D750" s="3" t="s">
        <v>17</v>
      </c>
      <c r="E750" s="454" t="s">
        <v>7411</v>
      </c>
      <c r="F750" s="454" t="s">
        <v>5243</v>
      </c>
      <c r="G750" s="459" t="s">
        <v>7412</v>
      </c>
      <c r="H750" s="868" t="s">
        <v>7413</v>
      </c>
      <c r="I750" s="864" t="s">
        <v>7414</v>
      </c>
      <c r="J750" s="864" t="s">
        <v>7415</v>
      </c>
      <c r="K750" s="125" t="s">
        <v>7416</v>
      </c>
      <c r="L750" s="16" t="s">
        <v>7418</v>
      </c>
      <c r="M750" s="8">
        <v>6</v>
      </c>
      <c r="N750" s="867"/>
      <c r="O750" s="430"/>
      <c r="P750" s="864"/>
    </row>
    <row r="751" spans="1:16" s="17" customFormat="1" ht="33" customHeight="1">
      <c r="A751" s="860"/>
      <c r="B751" s="399">
        <v>46309</v>
      </c>
      <c r="C751" s="4" t="s">
        <v>6707</v>
      </c>
      <c r="D751" s="4" t="s">
        <v>25</v>
      </c>
      <c r="E751" s="864" t="s">
        <v>6709</v>
      </c>
      <c r="F751" s="864">
        <v>7065</v>
      </c>
      <c r="G751" s="16" t="s">
        <v>145</v>
      </c>
      <c r="H751" s="868" t="s">
        <v>6706</v>
      </c>
      <c r="I751" s="864" t="s">
        <v>7417</v>
      </c>
      <c r="J751" s="868"/>
      <c r="K751" s="277" t="s">
        <v>209</v>
      </c>
      <c r="L751" s="16">
        <v>9080</v>
      </c>
      <c r="M751" s="18" t="s">
        <v>209</v>
      </c>
      <c r="N751" s="867"/>
      <c r="O751" s="430"/>
      <c r="P751" s="864"/>
    </row>
    <row r="752" spans="1:16" s="17" customFormat="1" ht="33" customHeight="1">
      <c r="A752" s="860"/>
      <c r="B752" s="399">
        <v>46310</v>
      </c>
      <c r="C752" s="4" t="s">
        <v>7377</v>
      </c>
      <c r="D752" s="4" t="s">
        <v>7378</v>
      </c>
      <c r="E752" s="864" t="s">
        <v>7379</v>
      </c>
      <c r="F752" s="454">
        <v>3307</v>
      </c>
      <c r="G752" s="16" t="s">
        <v>7380</v>
      </c>
      <c r="H752" s="868" t="s">
        <v>6975</v>
      </c>
      <c r="I752" s="864" t="s">
        <v>7381</v>
      </c>
      <c r="J752" s="864" t="s">
        <v>7382</v>
      </c>
      <c r="K752" s="125" t="s">
        <v>7383</v>
      </c>
      <c r="L752" s="16" t="s">
        <v>209</v>
      </c>
      <c r="M752" s="8">
        <v>4</v>
      </c>
      <c r="N752" s="867"/>
      <c r="O752" s="430"/>
      <c r="P752" s="864"/>
    </row>
    <row r="753" spans="1:16" s="17" customFormat="1" ht="33" customHeight="1">
      <c r="A753" s="595"/>
      <c r="B753" s="399">
        <v>46310</v>
      </c>
      <c r="C753" s="3" t="s">
        <v>21</v>
      </c>
      <c r="D753" s="3" t="s">
        <v>14</v>
      </c>
      <c r="E753" s="454" t="s">
        <v>211</v>
      </c>
      <c r="F753" s="454" t="s">
        <v>2916</v>
      </c>
      <c r="G753" s="459" t="s">
        <v>2917</v>
      </c>
      <c r="H753" s="868" t="s">
        <v>7396</v>
      </c>
      <c r="I753" s="864" t="s">
        <v>7394</v>
      </c>
      <c r="J753" s="864" t="s">
        <v>7395</v>
      </c>
      <c r="K753" s="125" t="s">
        <v>84</v>
      </c>
      <c r="L753" s="16" t="s">
        <v>7397</v>
      </c>
      <c r="M753" s="8">
        <v>2</v>
      </c>
      <c r="N753" s="422"/>
      <c r="O753" s="430" t="s">
        <v>7407</v>
      </c>
      <c r="P753" s="31"/>
    </row>
    <row r="754" spans="1:16" s="17" customFormat="1" ht="33" customHeight="1">
      <c r="A754" s="860"/>
      <c r="B754" s="399">
        <v>46310</v>
      </c>
      <c r="C754" s="4" t="s">
        <v>21</v>
      </c>
      <c r="D754" s="4" t="s">
        <v>14</v>
      </c>
      <c r="E754" s="864" t="s">
        <v>7371</v>
      </c>
      <c r="F754" s="453" t="s">
        <v>4902</v>
      </c>
      <c r="G754" s="16" t="s">
        <v>7376</v>
      </c>
      <c r="H754" s="869" t="s">
        <v>7372</v>
      </c>
      <c r="I754" s="864"/>
      <c r="J754" s="864" t="s">
        <v>7373</v>
      </c>
      <c r="K754" s="125" t="s">
        <v>7374</v>
      </c>
      <c r="L754" s="16" t="s">
        <v>4550</v>
      </c>
      <c r="M754" s="8">
        <v>1</v>
      </c>
      <c r="N754" s="867"/>
      <c r="O754" s="430" t="s">
        <v>7375</v>
      </c>
      <c r="P754" s="864"/>
    </row>
    <row r="755" spans="1:16" s="17" customFormat="1" ht="33" customHeight="1">
      <c r="A755" s="846"/>
      <c r="B755" s="399">
        <v>46310</v>
      </c>
      <c r="C755" s="4" t="s">
        <v>21</v>
      </c>
      <c r="D755" s="4" t="s">
        <v>14</v>
      </c>
      <c r="E755" s="848" t="s">
        <v>7305</v>
      </c>
      <c r="F755" s="454" t="s">
        <v>7306</v>
      </c>
      <c r="G755" s="16" t="s">
        <v>7307</v>
      </c>
      <c r="H755" s="853" t="s">
        <v>7398</v>
      </c>
      <c r="I755" s="848"/>
      <c r="J755" s="848" t="s">
        <v>7309</v>
      </c>
      <c r="K755" s="125" t="s">
        <v>7310</v>
      </c>
      <c r="L755" s="16" t="s">
        <v>7311</v>
      </c>
      <c r="M755" s="8">
        <v>2</v>
      </c>
      <c r="N755" s="852"/>
      <c r="O755" s="430"/>
      <c r="P755" s="848"/>
    </row>
    <row r="756" spans="1:16" s="17" customFormat="1" ht="33" customHeight="1">
      <c r="A756" s="837"/>
      <c r="B756" s="399">
        <v>46310</v>
      </c>
      <c r="C756" s="4" t="s">
        <v>64</v>
      </c>
      <c r="D756" s="4" t="s">
        <v>30</v>
      </c>
      <c r="E756" s="864" t="s">
        <v>1895</v>
      </c>
      <c r="F756" s="454">
        <v>7062</v>
      </c>
      <c r="G756" s="16" t="s">
        <v>205</v>
      </c>
      <c r="H756" s="868" t="s">
        <v>7297</v>
      </c>
      <c r="I756" s="864"/>
      <c r="J756" s="868" t="s">
        <v>7298</v>
      </c>
      <c r="K756" s="125" t="s">
        <v>84</v>
      </c>
      <c r="L756" s="16" t="s">
        <v>4550</v>
      </c>
      <c r="M756" s="8">
        <v>2</v>
      </c>
      <c r="N756" s="839"/>
      <c r="O756" s="430" t="s">
        <v>7408</v>
      </c>
      <c r="P756" s="838"/>
    </row>
    <row r="757" spans="1:16" s="17" customFormat="1" ht="33" customHeight="1">
      <c r="A757" s="860"/>
      <c r="B757" s="399">
        <v>46310</v>
      </c>
      <c r="C757" s="3" t="s">
        <v>7410</v>
      </c>
      <c r="D757" s="3" t="s">
        <v>17</v>
      </c>
      <c r="E757" s="454" t="s">
        <v>7411</v>
      </c>
      <c r="F757" s="454" t="s">
        <v>5243</v>
      </c>
      <c r="G757" s="459" t="s">
        <v>7412</v>
      </c>
      <c r="H757" s="868" t="s">
        <v>7413</v>
      </c>
      <c r="I757" s="864" t="s">
        <v>7414</v>
      </c>
      <c r="J757" s="864" t="s">
        <v>7415</v>
      </c>
      <c r="K757" s="125" t="s">
        <v>7416</v>
      </c>
      <c r="L757" s="16" t="s">
        <v>7418</v>
      </c>
      <c r="M757" s="8">
        <v>6</v>
      </c>
      <c r="N757" s="867"/>
      <c r="O757" s="430"/>
      <c r="P757" s="864"/>
    </row>
    <row r="758" spans="1:16" s="17" customFormat="1" ht="33" customHeight="1">
      <c r="A758" s="860"/>
      <c r="B758" s="399">
        <v>46310</v>
      </c>
      <c r="C758" s="4" t="s">
        <v>6707</v>
      </c>
      <c r="D758" s="4" t="s">
        <v>25</v>
      </c>
      <c r="E758" s="864" t="s">
        <v>6709</v>
      </c>
      <c r="F758" s="864">
        <v>7065</v>
      </c>
      <c r="G758" s="16" t="s">
        <v>145</v>
      </c>
      <c r="H758" s="868" t="s">
        <v>6706</v>
      </c>
      <c r="I758" s="864" t="s">
        <v>7417</v>
      </c>
      <c r="J758" s="868"/>
      <c r="K758" s="277" t="s">
        <v>209</v>
      </c>
      <c r="L758" s="16">
        <v>9080</v>
      </c>
      <c r="M758" s="18" t="s">
        <v>209</v>
      </c>
      <c r="N758" s="867"/>
      <c r="O758" s="430"/>
      <c r="P758" s="864"/>
    </row>
    <row r="759" spans="1:16" s="17" customFormat="1" ht="33" customHeight="1">
      <c r="A759" s="860"/>
      <c r="B759" s="399">
        <v>46311</v>
      </c>
      <c r="C759" s="4" t="s">
        <v>64</v>
      </c>
      <c r="D759" s="4" t="s">
        <v>30</v>
      </c>
      <c r="E759" s="864" t="s">
        <v>1895</v>
      </c>
      <c r="F759" s="454">
        <v>7062</v>
      </c>
      <c r="G759" s="16" t="s">
        <v>205</v>
      </c>
      <c r="H759" s="868" t="s">
        <v>7254</v>
      </c>
      <c r="I759" s="864"/>
      <c r="J759" s="868" t="s">
        <v>7298</v>
      </c>
      <c r="K759" s="125" t="s">
        <v>84</v>
      </c>
      <c r="L759" s="16" t="s">
        <v>4550</v>
      </c>
      <c r="M759" s="8">
        <v>2</v>
      </c>
      <c r="N759" s="867"/>
      <c r="O759" s="430" t="s">
        <v>7409</v>
      </c>
      <c r="P759" s="864"/>
    </row>
    <row r="760" spans="1:16" s="17" customFormat="1" ht="33" customHeight="1">
      <c r="A760" s="860"/>
      <c r="B760" s="399">
        <v>46311</v>
      </c>
      <c r="C760" s="4" t="s">
        <v>138</v>
      </c>
      <c r="D760" s="4" t="s">
        <v>177</v>
      </c>
      <c r="E760" s="874" t="s">
        <v>5890</v>
      </c>
      <c r="F760" s="874">
        <v>3307</v>
      </c>
      <c r="G760" s="16" t="s">
        <v>1328</v>
      </c>
      <c r="H760" s="880" t="s">
        <v>6970</v>
      </c>
      <c r="I760" s="874" t="s">
        <v>3730</v>
      </c>
      <c r="J760" s="874" t="s">
        <v>7457</v>
      </c>
      <c r="K760" s="125" t="s">
        <v>181</v>
      </c>
      <c r="L760" s="16" t="s">
        <v>209</v>
      </c>
      <c r="M760" s="8">
        <v>4</v>
      </c>
      <c r="N760" s="867"/>
      <c r="O760" s="430"/>
      <c r="P760" s="864"/>
    </row>
    <row r="761" spans="1:16" s="17" customFormat="1" ht="33" customHeight="1">
      <c r="A761" s="595"/>
      <c r="B761" s="399">
        <v>46311</v>
      </c>
      <c r="C761" s="4" t="s">
        <v>21</v>
      </c>
      <c r="D761" s="4" t="s">
        <v>14</v>
      </c>
      <c r="E761" s="848" t="s">
        <v>7305</v>
      </c>
      <c r="F761" s="848" t="s">
        <v>7306</v>
      </c>
      <c r="G761" s="16" t="s">
        <v>7307</v>
      </c>
      <c r="H761" s="853" t="s">
        <v>7399</v>
      </c>
      <c r="I761" s="848"/>
      <c r="J761" s="848" t="s">
        <v>7309</v>
      </c>
      <c r="K761" s="125" t="s">
        <v>7310</v>
      </c>
      <c r="L761" s="16" t="s">
        <v>7311</v>
      </c>
      <c r="M761" s="8">
        <v>2</v>
      </c>
      <c r="N761" s="422"/>
      <c r="O761" s="430"/>
      <c r="P761" s="31"/>
    </row>
    <row r="762" spans="1:16" s="17" customFormat="1" ht="33" customHeight="1">
      <c r="A762" s="846"/>
      <c r="B762" s="399">
        <v>46311</v>
      </c>
      <c r="C762" s="4" t="s">
        <v>7401</v>
      </c>
      <c r="D762" s="4" t="s">
        <v>17</v>
      </c>
      <c r="E762" s="848" t="s">
        <v>100</v>
      </c>
      <c r="F762" s="453" t="s">
        <v>7402</v>
      </c>
      <c r="G762" s="16" t="s">
        <v>37</v>
      </c>
      <c r="H762" s="853" t="s">
        <v>7403</v>
      </c>
      <c r="I762" s="848" t="s">
        <v>7404</v>
      </c>
      <c r="J762" s="848" t="s">
        <v>7405</v>
      </c>
      <c r="K762" s="125" t="s">
        <v>84</v>
      </c>
      <c r="L762" s="16" t="s">
        <v>7406</v>
      </c>
      <c r="M762" s="8">
        <v>2</v>
      </c>
      <c r="N762" s="852"/>
      <c r="O762" s="430" t="s">
        <v>5645</v>
      </c>
      <c r="P762" s="848"/>
    </row>
    <row r="763" spans="1:16" s="17" customFormat="1" ht="33" customHeight="1">
      <c r="A763" s="860"/>
      <c r="B763" s="399">
        <v>46311</v>
      </c>
      <c r="C763" s="4" t="s">
        <v>6707</v>
      </c>
      <c r="D763" s="4" t="s">
        <v>25</v>
      </c>
      <c r="E763" s="864" t="s">
        <v>6709</v>
      </c>
      <c r="F763" s="864">
        <v>7065</v>
      </c>
      <c r="G763" s="16" t="s">
        <v>145</v>
      </c>
      <c r="H763" s="868" t="s">
        <v>6706</v>
      </c>
      <c r="I763" s="864" t="s">
        <v>7419</v>
      </c>
      <c r="J763" s="868"/>
      <c r="K763" s="277" t="s">
        <v>209</v>
      </c>
      <c r="L763" s="16">
        <v>9080</v>
      </c>
      <c r="M763" s="18" t="s">
        <v>209</v>
      </c>
      <c r="N763" s="867"/>
      <c r="O763" s="430"/>
      <c r="P763" s="864"/>
    </row>
    <row r="764" spans="1:16" s="17" customFormat="1" ht="33" customHeight="1">
      <c r="A764" s="860"/>
      <c r="B764" s="369">
        <v>46312</v>
      </c>
      <c r="C764" s="4" t="s">
        <v>21</v>
      </c>
      <c r="D764" s="4" t="s">
        <v>30</v>
      </c>
      <c r="E764" s="864" t="s">
        <v>3421</v>
      </c>
      <c r="F764" s="864">
        <v>7062</v>
      </c>
      <c r="G764" s="16" t="s">
        <v>205</v>
      </c>
      <c r="H764" s="868" t="s">
        <v>7259</v>
      </c>
      <c r="I764" s="864"/>
      <c r="J764" s="868" t="s">
        <v>7392</v>
      </c>
      <c r="K764" s="125" t="s">
        <v>84</v>
      </c>
      <c r="L764" s="16" t="s">
        <v>4550</v>
      </c>
      <c r="M764" s="8">
        <v>2</v>
      </c>
      <c r="N764" s="867"/>
      <c r="O764" s="430"/>
      <c r="P764" s="864"/>
    </row>
    <row r="765" spans="1:16" s="17" customFormat="1" ht="33" customHeight="1">
      <c r="A765" s="860"/>
      <c r="B765" s="369">
        <v>46312</v>
      </c>
      <c r="C765" s="4" t="s">
        <v>138</v>
      </c>
      <c r="D765" s="4" t="s">
        <v>177</v>
      </c>
      <c r="E765" s="874" t="s">
        <v>5890</v>
      </c>
      <c r="F765" s="874">
        <v>3307</v>
      </c>
      <c r="G765" s="16" t="s">
        <v>1328</v>
      </c>
      <c r="H765" s="880" t="s">
        <v>6970</v>
      </c>
      <c r="I765" s="874" t="s">
        <v>3730</v>
      </c>
      <c r="J765" s="874" t="s">
        <v>7457</v>
      </c>
      <c r="K765" s="125" t="s">
        <v>181</v>
      </c>
      <c r="L765" s="16" t="s">
        <v>209</v>
      </c>
      <c r="M765" s="8">
        <v>4</v>
      </c>
      <c r="N765" s="867"/>
      <c r="O765" s="430"/>
      <c r="P765" s="864"/>
    </row>
    <row r="766" spans="1:16" s="17" customFormat="1" ht="33" customHeight="1">
      <c r="A766" s="860"/>
      <c r="B766" s="369">
        <v>46312</v>
      </c>
      <c r="C766" s="4" t="s">
        <v>21</v>
      </c>
      <c r="D766" s="4" t="s">
        <v>14</v>
      </c>
      <c r="E766" s="864" t="s">
        <v>7305</v>
      </c>
      <c r="F766" s="864" t="s">
        <v>7306</v>
      </c>
      <c r="G766" s="16" t="s">
        <v>207</v>
      </c>
      <c r="H766" s="868" t="s">
        <v>7400</v>
      </c>
      <c r="I766" s="864"/>
      <c r="J766" s="864" t="s">
        <v>7309</v>
      </c>
      <c r="K766" s="125" t="s">
        <v>3645</v>
      </c>
      <c r="L766" s="16" t="s">
        <v>209</v>
      </c>
      <c r="M766" s="8">
        <v>2</v>
      </c>
      <c r="N766" s="867"/>
      <c r="O766" s="430"/>
      <c r="P766" s="864"/>
    </row>
    <row r="767" spans="1:16" s="17" customFormat="1" ht="33" customHeight="1">
      <c r="A767" s="860"/>
      <c r="B767" s="369">
        <v>46313</v>
      </c>
      <c r="C767" s="4" t="s">
        <v>138</v>
      </c>
      <c r="D767" s="4" t="s">
        <v>177</v>
      </c>
      <c r="E767" s="874" t="s">
        <v>5890</v>
      </c>
      <c r="F767" s="874">
        <v>3307</v>
      </c>
      <c r="G767" s="16" t="s">
        <v>1328</v>
      </c>
      <c r="H767" s="880" t="s">
        <v>6970</v>
      </c>
      <c r="I767" s="874" t="s">
        <v>3730</v>
      </c>
      <c r="J767" s="874" t="s">
        <v>7457</v>
      </c>
      <c r="K767" s="125" t="s">
        <v>181</v>
      </c>
      <c r="L767" s="16" t="s">
        <v>209</v>
      </c>
      <c r="M767" s="8">
        <v>4</v>
      </c>
      <c r="N767" s="867"/>
      <c r="O767" s="430"/>
      <c r="P767" s="864"/>
    </row>
    <row r="768" spans="1:16" s="17" customFormat="1" ht="33" customHeight="1">
      <c r="A768" s="596"/>
      <c r="B768" s="369">
        <v>46313</v>
      </c>
      <c r="C768" s="4" t="s">
        <v>21</v>
      </c>
      <c r="D768" s="4" t="s">
        <v>14</v>
      </c>
      <c r="E768" s="848" t="s">
        <v>7305</v>
      </c>
      <c r="F768" s="848" t="s">
        <v>7306</v>
      </c>
      <c r="G768" s="16" t="s">
        <v>7307</v>
      </c>
      <c r="H768" s="868" t="s">
        <v>7400</v>
      </c>
      <c r="I768" s="848"/>
      <c r="J768" s="848" t="s">
        <v>7309</v>
      </c>
      <c r="K768" s="125" t="s">
        <v>7310</v>
      </c>
      <c r="L768" s="16" t="s">
        <v>7311</v>
      </c>
      <c r="M768" s="8">
        <v>2</v>
      </c>
      <c r="N768" s="31"/>
      <c r="O768" s="432"/>
      <c r="P768" s="31"/>
    </row>
    <row r="769" spans="1:16" s="17" customFormat="1" ht="33" customHeight="1">
      <c r="A769" s="322" t="s">
        <v>0</v>
      </c>
      <c r="B769" s="323" t="s">
        <v>1</v>
      </c>
      <c r="C769" s="322" t="s">
        <v>2</v>
      </c>
      <c r="D769" s="322" t="s">
        <v>3</v>
      </c>
      <c r="E769" s="322" t="s">
        <v>4</v>
      </c>
      <c r="F769" s="322" t="s">
        <v>5</v>
      </c>
      <c r="G769" s="322" t="s">
        <v>6</v>
      </c>
      <c r="H769" s="324" t="s">
        <v>7</v>
      </c>
      <c r="I769" s="322" t="s">
        <v>8</v>
      </c>
      <c r="J769" s="322" t="s">
        <v>9</v>
      </c>
      <c r="K769" s="325" t="s">
        <v>10</v>
      </c>
      <c r="L769" s="326" t="s">
        <v>11</v>
      </c>
      <c r="M769" s="322" t="s">
        <v>12</v>
      </c>
      <c r="N769" s="327" t="s">
        <v>13</v>
      </c>
      <c r="O769" s="427" t="s">
        <v>63</v>
      </c>
      <c r="P769" s="322" t="s">
        <v>123</v>
      </c>
    </row>
    <row r="770" spans="1:16" s="17" customFormat="1" ht="33" customHeight="1">
      <c r="A770" s="792" t="s">
        <v>7266</v>
      </c>
      <c r="B770" s="399">
        <v>46314</v>
      </c>
      <c r="C770" s="4" t="s">
        <v>138</v>
      </c>
      <c r="D770" s="4" t="s">
        <v>7299</v>
      </c>
      <c r="E770" s="796" t="s">
        <v>7300</v>
      </c>
      <c r="F770" s="796" t="s">
        <v>7301</v>
      </c>
      <c r="G770" s="16" t="s">
        <v>7294</v>
      </c>
      <c r="H770" s="799" t="s">
        <v>7302</v>
      </c>
      <c r="I770" s="796" t="s">
        <v>7433</v>
      </c>
      <c r="J770" s="796" t="s">
        <v>7432</v>
      </c>
      <c r="K770" s="125" t="s">
        <v>7295</v>
      </c>
      <c r="L770" s="16">
        <v>9080</v>
      </c>
      <c r="M770" s="8">
        <v>7</v>
      </c>
      <c r="N770" s="796"/>
      <c r="O770" s="431"/>
      <c r="P770" s="796"/>
    </row>
    <row r="771" spans="1:16" s="17" customFormat="1" ht="33" customHeight="1">
      <c r="A771" s="873"/>
      <c r="B771" s="399">
        <v>46314</v>
      </c>
      <c r="C771" s="4" t="s">
        <v>138</v>
      </c>
      <c r="D771" s="4" t="s">
        <v>177</v>
      </c>
      <c r="E771" s="874" t="s">
        <v>5890</v>
      </c>
      <c r="F771" s="874">
        <v>3307</v>
      </c>
      <c r="G771" s="16" t="s">
        <v>1328</v>
      </c>
      <c r="H771" s="880" t="s">
        <v>6970</v>
      </c>
      <c r="I771" s="874" t="s">
        <v>3730</v>
      </c>
      <c r="J771" s="874" t="s">
        <v>7457</v>
      </c>
      <c r="K771" s="125" t="s">
        <v>181</v>
      </c>
      <c r="L771" s="16" t="s">
        <v>209</v>
      </c>
      <c r="M771" s="8">
        <v>4</v>
      </c>
      <c r="N771" s="874"/>
      <c r="O771" s="431"/>
      <c r="P771" s="874"/>
    </row>
    <row r="772" spans="1:16" s="17" customFormat="1" ht="33" customHeight="1">
      <c r="A772" s="860"/>
      <c r="B772" s="399">
        <v>46314</v>
      </c>
      <c r="C772" s="4" t="s">
        <v>6707</v>
      </c>
      <c r="D772" s="4" t="s">
        <v>25</v>
      </c>
      <c r="E772" s="864" t="s">
        <v>6709</v>
      </c>
      <c r="F772" s="864">
        <v>7065</v>
      </c>
      <c r="G772" s="16" t="s">
        <v>145</v>
      </c>
      <c r="H772" s="868" t="s">
        <v>7440</v>
      </c>
      <c r="I772" s="864" t="s">
        <v>7441</v>
      </c>
      <c r="J772" s="868"/>
      <c r="K772" s="277" t="s">
        <v>209</v>
      </c>
      <c r="L772" s="16" t="s">
        <v>4550</v>
      </c>
      <c r="M772" s="18" t="s">
        <v>209</v>
      </c>
      <c r="N772" s="864"/>
      <c r="O772" s="431"/>
      <c r="P772" s="864"/>
    </row>
    <row r="773" spans="1:16" s="17" customFormat="1" ht="40.5">
      <c r="A773" s="860"/>
      <c r="B773" s="399">
        <v>46314</v>
      </c>
      <c r="C773" s="4" t="s">
        <v>21</v>
      </c>
      <c r="D773" s="4" t="s">
        <v>7384</v>
      </c>
      <c r="E773" s="864" t="s">
        <v>7385</v>
      </c>
      <c r="F773" s="864" t="s">
        <v>7386</v>
      </c>
      <c r="G773" s="16" t="s">
        <v>7455</v>
      </c>
      <c r="H773" s="880" t="s">
        <v>7456</v>
      </c>
      <c r="I773" s="864" t="s">
        <v>7404</v>
      </c>
      <c r="J773" s="864"/>
      <c r="K773" s="125" t="s">
        <v>7374</v>
      </c>
      <c r="L773" s="16" t="s">
        <v>7406</v>
      </c>
      <c r="M773" s="8">
        <v>1</v>
      </c>
      <c r="N773" s="864"/>
      <c r="O773" s="431"/>
      <c r="P773" s="864"/>
    </row>
    <row r="774" spans="1:16" s="17" customFormat="1" ht="33" customHeight="1">
      <c r="A774" s="860"/>
      <c r="B774" s="399">
        <v>46315</v>
      </c>
      <c r="C774" s="4" t="s">
        <v>6707</v>
      </c>
      <c r="D774" s="4" t="s">
        <v>25</v>
      </c>
      <c r="E774" s="864" t="s">
        <v>6709</v>
      </c>
      <c r="F774" s="864">
        <v>7065</v>
      </c>
      <c r="G774" s="16" t="s">
        <v>145</v>
      </c>
      <c r="H774" s="868" t="s">
        <v>7440</v>
      </c>
      <c r="I774" s="864" t="s">
        <v>7441</v>
      </c>
      <c r="J774" s="868"/>
      <c r="K774" s="277" t="s">
        <v>209</v>
      </c>
      <c r="L774" s="16" t="s">
        <v>4550</v>
      </c>
      <c r="M774" s="18" t="s">
        <v>209</v>
      </c>
      <c r="N774" s="864"/>
      <c r="O774" s="431"/>
      <c r="P774" s="864"/>
    </row>
    <row r="775" spans="1:16" s="17" customFormat="1" ht="33" customHeight="1">
      <c r="A775" s="873"/>
      <c r="B775" s="399">
        <v>46315</v>
      </c>
      <c r="C775" s="4" t="s">
        <v>138</v>
      </c>
      <c r="D775" s="4" t="s">
        <v>7448</v>
      </c>
      <c r="E775" s="874" t="s">
        <v>7449</v>
      </c>
      <c r="F775" s="874" t="s">
        <v>7450</v>
      </c>
      <c r="G775" s="16" t="s">
        <v>7451</v>
      </c>
      <c r="H775" s="880" t="s">
        <v>7452</v>
      </c>
      <c r="I775" s="874"/>
      <c r="J775" s="880" t="s">
        <v>7453</v>
      </c>
      <c r="K775" s="277" t="s">
        <v>181</v>
      </c>
      <c r="L775" s="16" t="s">
        <v>7454</v>
      </c>
      <c r="M775" s="18">
        <v>1</v>
      </c>
      <c r="N775" s="874"/>
      <c r="O775" s="431"/>
      <c r="P775" s="874"/>
    </row>
    <row r="776" spans="1:16" s="17" customFormat="1" ht="33" customHeight="1">
      <c r="A776" s="860"/>
      <c r="B776" s="399">
        <v>46315</v>
      </c>
      <c r="C776" s="4" t="s">
        <v>21</v>
      </c>
      <c r="D776" s="4" t="s">
        <v>14</v>
      </c>
      <c r="E776" s="291" t="s">
        <v>107</v>
      </c>
      <c r="F776" s="864" t="s">
        <v>3420</v>
      </c>
      <c r="G776" s="16" t="s">
        <v>143</v>
      </c>
      <c r="H776" s="868" t="s">
        <v>7435</v>
      </c>
      <c r="I776" s="864" t="s">
        <v>120</v>
      </c>
      <c r="J776" s="864" t="s">
        <v>7434</v>
      </c>
      <c r="K776" s="125" t="s">
        <v>66</v>
      </c>
      <c r="L776" s="16" t="s">
        <v>4379</v>
      </c>
      <c r="M776" s="8">
        <v>2</v>
      </c>
      <c r="N776" s="864"/>
      <c r="O776" s="431"/>
      <c r="P776" s="864"/>
    </row>
    <row r="777" spans="1:16" s="17" customFormat="1" ht="33" customHeight="1">
      <c r="A777" s="793"/>
      <c r="B777" s="399">
        <v>46315</v>
      </c>
      <c r="C777" s="4" t="s">
        <v>138</v>
      </c>
      <c r="D777" s="4" t="s">
        <v>7299</v>
      </c>
      <c r="E777" s="848" t="s">
        <v>7300</v>
      </c>
      <c r="F777" s="848" t="s">
        <v>7301</v>
      </c>
      <c r="G777" s="16" t="s">
        <v>7294</v>
      </c>
      <c r="H777" s="853" t="s">
        <v>7302</v>
      </c>
      <c r="I777" s="864" t="s">
        <v>7433</v>
      </c>
      <c r="J777" s="864" t="s">
        <v>7432</v>
      </c>
      <c r="K777" s="125" t="s">
        <v>84</v>
      </c>
      <c r="L777" s="16">
        <v>9080</v>
      </c>
      <c r="M777" s="8">
        <v>7</v>
      </c>
      <c r="N777" s="796"/>
      <c r="O777" s="431"/>
      <c r="P777" s="796"/>
    </row>
    <row r="778" spans="1:16" s="17" customFormat="1" ht="33" customHeight="1">
      <c r="A778" s="873"/>
      <c r="B778" s="399">
        <v>46315</v>
      </c>
      <c r="C778" s="4" t="s">
        <v>138</v>
      </c>
      <c r="D778" s="4" t="s">
        <v>177</v>
      </c>
      <c r="E778" s="874" t="s">
        <v>5890</v>
      </c>
      <c r="F778" s="874">
        <v>3307</v>
      </c>
      <c r="G778" s="16" t="s">
        <v>1328</v>
      </c>
      <c r="H778" s="880" t="s">
        <v>6970</v>
      </c>
      <c r="I778" s="874" t="s">
        <v>3730</v>
      </c>
      <c r="J778" s="874" t="s">
        <v>7457</v>
      </c>
      <c r="K778" s="125" t="s">
        <v>181</v>
      </c>
      <c r="L778" s="16" t="s">
        <v>209</v>
      </c>
      <c r="M778" s="8">
        <v>4</v>
      </c>
      <c r="N778" s="874"/>
      <c r="O778" s="431"/>
      <c r="P778" s="874"/>
    </row>
    <row r="779" spans="1:16" s="17" customFormat="1" ht="33" customHeight="1">
      <c r="A779" s="873"/>
      <c r="B779" s="399">
        <v>46316</v>
      </c>
      <c r="C779" s="4" t="s">
        <v>138</v>
      </c>
      <c r="D779" s="4" t="s">
        <v>7448</v>
      </c>
      <c r="E779" s="874" t="s">
        <v>7449</v>
      </c>
      <c r="F779" s="874" t="s">
        <v>7450</v>
      </c>
      <c r="G779" s="16" t="s">
        <v>7451</v>
      </c>
      <c r="H779" s="880" t="s">
        <v>7452</v>
      </c>
      <c r="I779" s="874"/>
      <c r="J779" s="880" t="s">
        <v>7453</v>
      </c>
      <c r="K779" s="277" t="s">
        <v>181</v>
      </c>
      <c r="L779" s="16" t="s">
        <v>7454</v>
      </c>
      <c r="M779" s="18">
        <v>1</v>
      </c>
      <c r="N779" s="874"/>
      <c r="O779" s="431"/>
      <c r="P779" s="874"/>
    </row>
    <row r="780" spans="1:16" s="17" customFormat="1" ht="33" customHeight="1">
      <c r="A780" s="793"/>
      <c r="B780" s="399">
        <v>46316</v>
      </c>
      <c r="C780" s="4" t="s">
        <v>138</v>
      </c>
      <c r="D780" s="4" t="s">
        <v>7299</v>
      </c>
      <c r="E780" s="848" t="s">
        <v>7300</v>
      </c>
      <c r="F780" s="848" t="s">
        <v>7301</v>
      </c>
      <c r="G780" s="16" t="s">
        <v>7294</v>
      </c>
      <c r="H780" s="853" t="s">
        <v>7302</v>
      </c>
      <c r="I780" s="864" t="s">
        <v>7433</v>
      </c>
      <c r="J780" s="864" t="s">
        <v>7432</v>
      </c>
      <c r="K780" s="125" t="s">
        <v>84</v>
      </c>
      <c r="L780" s="16">
        <v>9080</v>
      </c>
      <c r="M780" s="8">
        <v>7</v>
      </c>
      <c r="N780" s="798"/>
      <c r="O780" s="430"/>
      <c r="P780" s="796"/>
    </row>
    <row r="781" spans="1:16" s="17" customFormat="1" ht="33" customHeight="1">
      <c r="A781" s="860"/>
      <c r="B781" s="399">
        <v>46316</v>
      </c>
      <c r="C781" s="4" t="s">
        <v>6707</v>
      </c>
      <c r="D781" s="4" t="s">
        <v>25</v>
      </c>
      <c r="E781" s="864" t="s">
        <v>6709</v>
      </c>
      <c r="F781" s="864">
        <v>7065</v>
      </c>
      <c r="G781" s="16" t="s">
        <v>145</v>
      </c>
      <c r="H781" s="868" t="s">
        <v>7440</v>
      </c>
      <c r="I781" s="868" t="s">
        <v>7443</v>
      </c>
      <c r="J781" s="868"/>
      <c r="K781" s="277" t="s">
        <v>209</v>
      </c>
      <c r="L781" s="16" t="s">
        <v>4550</v>
      </c>
      <c r="M781" s="18" t="s">
        <v>209</v>
      </c>
      <c r="N781" s="867"/>
      <c r="O781" s="430"/>
      <c r="P781" s="864"/>
    </row>
    <row r="782" spans="1:16" s="17" customFormat="1" ht="33" customHeight="1">
      <c r="A782" s="873"/>
      <c r="B782" s="399">
        <v>46316</v>
      </c>
      <c r="C782" s="4" t="s">
        <v>138</v>
      </c>
      <c r="D782" s="4" t="s">
        <v>177</v>
      </c>
      <c r="E782" s="874" t="s">
        <v>5890</v>
      </c>
      <c r="F782" s="874">
        <v>3307</v>
      </c>
      <c r="G782" s="16" t="s">
        <v>1328</v>
      </c>
      <c r="H782" s="880" t="s">
        <v>6970</v>
      </c>
      <c r="I782" s="874" t="s">
        <v>3730</v>
      </c>
      <c r="J782" s="874" t="s">
        <v>7457</v>
      </c>
      <c r="K782" s="125" t="s">
        <v>181</v>
      </c>
      <c r="L782" s="16" t="s">
        <v>209</v>
      </c>
      <c r="M782" s="8">
        <v>4</v>
      </c>
      <c r="N782" s="878"/>
      <c r="O782" s="430"/>
      <c r="P782" s="874"/>
    </row>
    <row r="783" spans="1:16" s="17" customFormat="1" ht="33" customHeight="1">
      <c r="A783" s="793"/>
      <c r="B783" s="399">
        <v>46317</v>
      </c>
      <c r="C783" s="4" t="s">
        <v>138</v>
      </c>
      <c r="D783" s="4" t="s">
        <v>7299</v>
      </c>
      <c r="E783" s="848" t="s">
        <v>7300</v>
      </c>
      <c r="F783" s="848" t="s">
        <v>7301</v>
      </c>
      <c r="G783" s="16" t="s">
        <v>7294</v>
      </c>
      <c r="H783" s="853" t="s">
        <v>7302</v>
      </c>
      <c r="I783" s="864" t="s">
        <v>7433</v>
      </c>
      <c r="J783" s="864" t="s">
        <v>7432</v>
      </c>
      <c r="K783" s="125" t="s">
        <v>84</v>
      </c>
      <c r="L783" s="16">
        <v>9080</v>
      </c>
      <c r="M783" s="8">
        <v>7</v>
      </c>
      <c r="N783" s="798"/>
      <c r="O783" s="430"/>
      <c r="P783" s="796"/>
    </row>
    <row r="784" spans="1:16" s="17" customFormat="1" ht="33" customHeight="1">
      <c r="A784" s="873"/>
      <c r="B784" s="399">
        <v>46317</v>
      </c>
      <c r="C784" s="4" t="s">
        <v>138</v>
      </c>
      <c r="D784" s="4" t="s">
        <v>7448</v>
      </c>
      <c r="E784" s="874" t="s">
        <v>7449</v>
      </c>
      <c r="F784" s="874" t="s">
        <v>7450</v>
      </c>
      <c r="G784" s="16" t="s">
        <v>7451</v>
      </c>
      <c r="H784" s="880" t="s">
        <v>7452</v>
      </c>
      <c r="I784" s="874"/>
      <c r="J784" s="880" t="s">
        <v>7453</v>
      </c>
      <c r="K784" s="277" t="s">
        <v>181</v>
      </c>
      <c r="L784" s="16" t="s">
        <v>7454</v>
      </c>
      <c r="M784" s="18">
        <v>1</v>
      </c>
      <c r="N784" s="878"/>
      <c r="O784" s="430"/>
      <c r="P784" s="874"/>
    </row>
    <row r="785" spans="1:16" s="17" customFormat="1" ht="33" customHeight="1">
      <c r="A785" s="860"/>
      <c r="B785" s="399">
        <v>46317</v>
      </c>
      <c r="C785" s="4" t="s">
        <v>6707</v>
      </c>
      <c r="D785" s="4" t="s">
        <v>25</v>
      </c>
      <c r="E785" s="864" t="s">
        <v>6709</v>
      </c>
      <c r="F785" s="864">
        <v>7065</v>
      </c>
      <c r="G785" s="16" t="s">
        <v>145</v>
      </c>
      <c r="H785" s="868" t="s">
        <v>7440</v>
      </c>
      <c r="I785" s="864" t="s">
        <v>7441</v>
      </c>
      <c r="J785" s="868"/>
      <c r="K785" s="277" t="s">
        <v>209</v>
      </c>
      <c r="L785" s="16" t="s">
        <v>7504</v>
      </c>
      <c r="M785" s="18" t="s">
        <v>209</v>
      </c>
      <c r="N785" s="867"/>
      <c r="O785" s="430"/>
      <c r="P785" s="864"/>
    </row>
    <row r="786" spans="1:16" s="17" customFormat="1" ht="33" customHeight="1">
      <c r="A786" s="860"/>
      <c r="B786" s="399">
        <v>46317</v>
      </c>
      <c r="C786" s="4" t="s">
        <v>7401</v>
      </c>
      <c r="D786" s="4" t="s">
        <v>30</v>
      </c>
      <c r="E786" s="864" t="s">
        <v>7422</v>
      </c>
      <c r="F786" s="864" t="s">
        <v>7423</v>
      </c>
      <c r="G786" s="16" t="s">
        <v>7424</v>
      </c>
      <c r="H786" s="868" t="s">
        <v>7494</v>
      </c>
      <c r="I786" s="864" t="s">
        <v>7426</v>
      </c>
      <c r="J786" s="864" t="s">
        <v>7425</v>
      </c>
      <c r="K786" s="125" t="s">
        <v>84</v>
      </c>
      <c r="L786" s="16" t="s">
        <v>6287</v>
      </c>
      <c r="M786" s="8">
        <v>2</v>
      </c>
      <c r="N786" s="867"/>
      <c r="O786" s="430" t="s">
        <v>7495</v>
      </c>
      <c r="P786" s="864"/>
    </row>
    <row r="787" spans="1:16" s="17" customFormat="1" ht="33" customHeight="1">
      <c r="A787" s="873"/>
      <c r="B787" s="399">
        <v>46317</v>
      </c>
      <c r="C787" s="4" t="s">
        <v>138</v>
      </c>
      <c r="D787" s="4" t="s">
        <v>177</v>
      </c>
      <c r="E787" s="874" t="s">
        <v>5890</v>
      </c>
      <c r="F787" s="874">
        <v>3307</v>
      </c>
      <c r="G787" s="16" t="s">
        <v>1328</v>
      </c>
      <c r="H787" s="880" t="s">
        <v>7496</v>
      </c>
      <c r="I787" s="874" t="s">
        <v>3730</v>
      </c>
      <c r="J787" s="874" t="s">
        <v>7457</v>
      </c>
      <c r="K787" s="125" t="s">
        <v>181</v>
      </c>
      <c r="L787" s="16" t="s">
        <v>209</v>
      </c>
      <c r="M787" s="8">
        <v>4</v>
      </c>
      <c r="N787" s="878"/>
      <c r="O787" s="430"/>
      <c r="P787" s="874"/>
    </row>
    <row r="788" spans="1:16" s="17" customFormat="1" ht="33" customHeight="1">
      <c r="A788" s="887"/>
      <c r="B788" s="399">
        <v>46318</v>
      </c>
      <c r="C788" s="4" t="s">
        <v>7401</v>
      </c>
      <c r="D788" s="4" t="s">
        <v>14</v>
      </c>
      <c r="E788" s="888" t="s">
        <v>7422</v>
      </c>
      <c r="F788" s="888" t="s">
        <v>2959</v>
      </c>
      <c r="G788" s="16" t="s">
        <v>143</v>
      </c>
      <c r="H788" s="890" t="s">
        <v>7505</v>
      </c>
      <c r="I788" s="888"/>
      <c r="J788" s="888" t="s">
        <v>7509</v>
      </c>
      <c r="K788" s="125" t="s">
        <v>7506</v>
      </c>
      <c r="L788" s="16" t="s">
        <v>6287</v>
      </c>
      <c r="M788" s="8">
        <v>2</v>
      </c>
      <c r="N788" s="889"/>
      <c r="O788" s="430" t="s">
        <v>7510</v>
      </c>
      <c r="P788" s="888"/>
    </row>
    <row r="789" spans="1:16" s="17" customFormat="1" ht="40.5">
      <c r="A789" s="860"/>
      <c r="B789" s="399">
        <v>46318</v>
      </c>
      <c r="C789" s="4" t="s">
        <v>7427</v>
      </c>
      <c r="D789" s="4" t="s">
        <v>7428</v>
      </c>
      <c r="E789" s="864" t="s">
        <v>7429</v>
      </c>
      <c r="F789" s="864" t="s">
        <v>7430</v>
      </c>
      <c r="G789" s="16" t="s">
        <v>7431</v>
      </c>
      <c r="H789" s="868" t="s">
        <v>7503</v>
      </c>
      <c r="I789" s="864" t="s">
        <v>120</v>
      </c>
      <c r="J789" s="864"/>
      <c r="K789" s="125" t="s">
        <v>7374</v>
      </c>
      <c r="L789" s="16" t="s">
        <v>7406</v>
      </c>
      <c r="M789" s="8">
        <v>1</v>
      </c>
      <c r="N789" s="867"/>
      <c r="O789" s="430"/>
      <c r="P789" s="864"/>
    </row>
    <row r="790" spans="1:16" s="17" customFormat="1" ht="33" customHeight="1">
      <c r="A790" s="793"/>
      <c r="B790" s="399">
        <v>46318</v>
      </c>
      <c r="C790" s="4" t="s">
        <v>6707</v>
      </c>
      <c r="D790" s="4" t="s">
        <v>25</v>
      </c>
      <c r="E790" s="864" t="s">
        <v>6709</v>
      </c>
      <c r="F790" s="864">
        <v>7065</v>
      </c>
      <c r="G790" s="16" t="s">
        <v>145</v>
      </c>
      <c r="H790" s="868" t="s">
        <v>7440</v>
      </c>
      <c r="I790" s="864" t="s">
        <v>7441</v>
      </c>
      <c r="J790" s="868"/>
      <c r="K790" s="277" t="s">
        <v>209</v>
      </c>
      <c r="L790" s="16" t="s">
        <v>4550</v>
      </c>
      <c r="M790" s="18" t="s">
        <v>209</v>
      </c>
      <c r="N790" s="798"/>
      <c r="O790" s="430"/>
      <c r="P790" s="796"/>
    </row>
    <row r="791" spans="1:16" s="17" customFormat="1" ht="33" customHeight="1">
      <c r="A791" s="873"/>
      <c r="B791" s="399">
        <v>46318</v>
      </c>
      <c r="C791" s="4"/>
      <c r="D791" s="4"/>
      <c r="E791" s="874"/>
      <c r="F791" s="874"/>
      <c r="G791" s="16"/>
      <c r="H791" s="880"/>
      <c r="I791" s="874"/>
      <c r="J791" s="874"/>
      <c r="K791" s="125"/>
      <c r="L791" s="16"/>
      <c r="M791" s="8"/>
      <c r="N791" s="878"/>
      <c r="O791" s="430"/>
      <c r="P791" s="874"/>
    </row>
    <row r="792" spans="1:16" s="17" customFormat="1" ht="33" customHeight="1">
      <c r="A792" s="322" t="s">
        <v>0</v>
      </c>
      <c r="B792" s="323" t="s">
        <v>1</v>
      </c>
      <c r="C792" s="322" t="s">
        <v>2</v>
      </c>
      <c r="D792" s="322" t="s">
        <v>3</v>
      </c>
      <c r="E792" s="322" t="s">
        <v>4</v>
      </c>
      <c r="F792" s="322" t="s">
        <v>5</v>
      </c>
      <c r="G792" s="322" t="s">
        <v>6</v>
      </c>
      <c r="H792" s="324" t="s">
        <v>7</v>
      </c>
      <c r="I792" s="322" t="s">
        <v>8</v>
      </c>
      <c r="J792" s="322" t="s">
        <v>9</v>
      </c>
      <c r="K792" s="325" t="s">
        <v>10</v>
      </c>
      <c r="L792" s="326" t="s">
        <v>11</v>
      </c>
      <c r="M792" s="322" t="s">
        <v>12</v>
      </c>
      <c r="N792" s="327" t="s">
        <v>13</v>
      </c>
      <c r="O792" s="427" t="s">
        <v>63</v>
      </c>
      <c r="P792" s="322" t="s">
        <v>123</v>
      </c>
    </row>
    <row r="793" spans="1:16" s="17" customFormat="1" ht="33" customHeight="1">
      <c r="A793" s="845" t="s">
        <v>7319</v>
      </c>
      <c r="B793" s="399">
        <v>46321</v>
      </c>
      <c r="C793" s="4" t="s">
        <v>6707</v>
      </c>
      <c r="D793" s="4" t="s">
        <v>25</v>
      </c>
      <c r="E793" s="914" t="s">
        <v>6709</v>
      </c>
      <c r="F793" s="914">
        <v>7065</v>
      </c>
      <c r="G793" s="16" t="s">
        <v>145</v>
      </c>
      <c r="H793" s="917" t="s">
        <v>7519</v>
      </c>
      <c r="I793" s="914" t="s">
        <v>7577</v>
      </c>
      <c r="J793" s="914"/>
      <c r="K793" s="277" t="s">
        <v>209</v>
      </c>
      <c r="L793" s="16">
        <v>9080</v>
      </c>
      <c r="M793" s="18" t="s">
        <v>209</v>
      </c>
      <c r="N793" s="848" t="s">
        <v>7599</v>
      </c>
      <c r="O793" s="431"/>
      <c r="P793" s="848"/>
    </row>
    <row r="794" spans="1:16" s="17" customFormat="1" ht="33" customHeight="1">
      <c r="A794" s="913"/>
      <c r="B794" s="399">
        <v>46321</v>
      </c>
      <c r="C794" s="4" t="s">
        <v>6707</v>
      </c>
      <c r="D794" s="4" t="s">
        <v>25</v>
      </c>
      <c r="E794" s="914" t="s">
        <v>7574</v>
      </c>
      <c r="F794" s="914" t="s">
        <v>7578</v>
      </c>
      <c r="G794" s="16" t="s">
        <v>7579</v>
      </c>
      <c r="H794" s="917" t="s">
        <v>7580</v>
      </c>
      <c r="I794" s="914" t="s">
        <v>7581</v>
      </c>
      <c r="J794" s="914"/>
      <c r="K794" s="277" t="s">
        <v>7582</v>
      </c>
      <c r="L794" s="16" t="s">
        <v>7583</v>
      </c>
      <c r="M794" s="18" t="s">
        <v>7583</v>
      </c>
      <c r="N794" s="914"/>
      <c r="O794" s="431"/>
      <c r="P794" s="914"/>
    </row>
    <row r="795" spans="1:16" s="17" customFormat="1" ht="33" customHeight="1">
      <c r="A795" s="860"/>
      <c r="B795" s="399">
        <v>46321</v>
      </c>
      <c r="C795" s="4" t="s">
        <v>7436</v>
      </c>
      <c r="D795" s="4" t="s">
        <v>7437</v>
      </c>
      <c r="E795" s="868" t="s">
        <v>6551</v>
      </c>
      <c r="F795" s="864">
        <v>8262</v>
      </c>
      <c r="G795" s="16" t="s">
        <v>7438</v>
      </c>
      <c r="H795" s="868" t="s">
        <v>7570</v>
      </c>
      <c r="I795" s="864"/>
      <c r="J795" s="864" t="s">
        <v>7439</v>
      </c>
      <c r="K795" s="125" t="s">
        <v>84</v>
      </c>
      <c r="L795" s="16" t="s">
        <v>7388</v>
      </c>
      <c r="M795" s="8">
        <v>1</v>
      </c>
      <c r="N795" s="864"/>
      <c r="O795" s="431"/>
      <c r="P795" s="864"/>
    </row>
    <row r="796" spans="1:16" s="17" customFormat="1" ht="33" customHeight="1">
      <c r="A796" s="903"/>
      <c r="B796" s="399">
        <v>46321</v>
      </c>
      <c r="C796" s="4" t="s">
        <v>24</v>
      </c>
      <c r="D796" s="4" t="s">
        <v>14</v>
      </c>
      <c r="E796" s="904" t="s">
        <v>107</v>
      </c>
      <c r="F796" s="904" t="s">
        <v>7423</v>
      </c>
      <c r="G796" s="16" t="s">
        <v>143</v>
      </c>
      <c r="H796" s="906" t="s">
        <v>7512</v>
      </c>
      <c r="I796" s="904"/>
      <c r="J796" s="904" t="s">
        <v>7511</v>
      </c>
      <c r="K796" s="125" t="s">
        <v>15</v>
      </c>
      <c r="L796" s="16" t="s">
        <v>6287</v>
      </c>
      <c r="M796" s="8">
        <v>2</v>
      </c>
      <c r="N796" s="904"/>
      <c r="O796" s="431"/>
      <c r="P796" s="904"/>
    </row>
    <row r="797" spans="1:16" s="17" customFormat="1" ht="33" customHeight="1">
      <c r="A797" s="913"/>
      <c r="B797" s="399">
        <v>46322</v>
      </c>
      <c r="C797" s="4" t="s">
        <v>21</v>
      </c>
      <c r="D797" s="4" t="s">
        <v>7573</v>
      </c>
      <c r="E797" s="914" t="s">
        <v>7574</v>
      </c>
      <c r="F797" s="914">
        <v>3306</v>
      </c>
      <c r="G797" s="16" t="s">
        <v>7572</v>
      </c>
      <c r="H797" s="917" t="s">
        <v>7571</v>
      </c>
      <c r="I797" s="914"/>
      <c r="J797" s="914" t="s">
        <v>7575</v>
      </c>
      <c r="K797" s="277" t="s">
        <v>7576</v>
      </c>
      <c r="L797" s="277" t="s">
        <v>7576</v>
      </c>
      <c r="M797" s="277" t="s">
        <v>7576</v>
      </c>
      <c r="N797" s="914"/>
      <c r="O797" s="431"/>
      <c r="P797" s="914"/>
    </row>
    <row r="798" spans="1:16" s="17" customFormat="1" ht="33" customHeight="1">
      <c r="A798" s="907"/>
      <c r="B798" s="399">
        <v>46322</v>
      </c>
      <c r="C798" s="4" t="s">
        <v>21</v>
      </c>
      <c r="D798" s="4" t="s">
        <v>14</v>
      </c>
      <c r="E798" s="912" t="s">
        <v>7497</v>
      </c>
      <c r="F798" s="910" t="s">
        <v>2916</v>
      </c>
      <c r="G798" s="16" t="s">
        <v>2965</v>
      </c>
      <c r="H798" s="912" t="s">
        <v>7498</v>
      </c>
      <c r="I798" s="912" t="s">
        <v>7499</v>
      </c>
      <c r="J798" s="912" t="s">
        <v>7500</v>
      </c>
      <c r="K798" s="125" t="s">
        <v>15</v>
      </c>
      <c r="L798" s="16" t="s">
        <v>4639</v>
      </c>
      <c r="M798" s="8">
        <v>6</v>
      </c>
      <c r="N798" s="910"/>
      <c r="O798" s="431"/>
      <c r="P798" s="910"/>
    </row>
    <row r="799" spans="1:16" s="17" customFormat="1" ht="33" customHeight="1">
      <c r="A799" s="903"/>
      <c r="B799" s="399">
        <v>46322</v>
      </c>
      <c r="C799" s="4" t="s">
        <v>21</v>
      </c>
      <c r="D799" s="4" t="s">
        <v>14</v>
      </c>
      <c r="E799" s="917" t="s">
        <v>1787</v>
      </c>
      <c r="F799" s="914" t="s">
        <v>2817</v>
      </c>
      <c r="G799" s="16" t="s">
        <v>6284</v>
      </c>
      <c r="H799" s="917" t="s">
        <v>7421</v>
      </c>
      <c r="I799" s="914"/>
      <c r="J799" s="914" t="s">
        <v>7317</v>
      </c>
      <c r="K799" s="125" t="s">
        <v>15</v>
      </c>
      <c r="L799" s="16" t="s">
        <v>4550</v>
      </c>
      <c r="M799" s="8">
        <v>1</v>
      </c>
      <c r="N799" s="904"/>
      <c r="O799" s="431"/>
      <c r="P799" s="904"/>
    </row>
    <row r="800" spans="1:16" s="17" customFormat="1" ht="33" customHeight="1">
      <c r="A800" s="860"/>
      <c r="B800" s="399">
        <v>46322</v>
      </c>
      <c r="C800" s="4" t="s">
        <v>7436</v>
      </c>
      <c r="D800" s="4" t="s">
        <v>7437</v>
      </c>
      <c r="E800" s="868" t="s">
        <v>6551</v>
      </c>
      <c r="F800" s="864">
        <v>8263</v>
      </c>
      <c r="G800" s="16" t="s">
        <v>7438</v>
      </c>
      <c r="H800" s="917" t="s">
        <v>7570</v>
      </c>
      <c r="I800" s="864"/>
      <c r="J800" s="864" t="s">
        <v>7439</v>
      </c>
      <c r="K800" s="125" t="s">
        <v>84</v>
      </c>
      <c r="L800" s="16" t="s">
        <v>7388</v>
      </c>
      <c r="M800" s="8">
        <v>1</v>
      </c>
      <c r="N800" s="864"/>
      <c r="O800" s="431"/>
      <c r="P800" s="864"/>
    </row>
    <row r="801" spans="1:17" s="17" customFormat="1" ht="33" customHeight="1">
      <c r="A801" s="846"/>
      <c r="B801" s="399">
        <v>46322</v>
      </c>
      <c r="C801" s="4" t="s">
        <v>6707</v>
      </c>
      <c r="D801" s="4" t="s">
        <v>25</v>
      </c>
      <c r="E801" s="914" t="s">
        <v>6709</v>
      </c>
      <c r="F801" s="914">
        <v>7065</v>
      </c>
      <c r="G801" s="16" t="s">
        <v>145</v>
      </c>
      <c r="H801" s="917" t="s">
        <v>7519</v>
      </c>
      <c r="I801" s="914" t="s">
        <v>7033</v>
      </c>
      <c r="J801" s="914"/>
      <c r="K801" s="277" t="s">
        <v>209</v>
      </c>
      <c r="L801" s="16">
        <v>9080</v>
      </c>
      <c r="M801" s="18" t="s">
        <v>209</v>
      </c>
      <c r="N801" s="848"/>
      <c r="O801" s="431"/>
      <c r="P801" s="848"/>
    </row>
    <row r="802" spans="1:17" s="17" customFormat="1" ht="33" customHeight="1">
      <c r="A802" s="903"/>
      <c r="B802" s="399">
        <v>46323</v>
      </c>
      <c r="C802" s="4" t="s">
        <v>6707</v>
      </c>
      <c r="D802" s="4" t="s">
        <v>25</v>
      </c>
      <c r="E802" s="904" t="s">
        <v>6709</v>
      </c>
      <c r="F802" s="904">
        <v>7065</v>
      </c>
      <c r="G802" s="16" t="s">
        <v>145</v>
      </c>
      <c r="H802" s="906" t="s">
        <v>7519</v>
      </c>
      <c r="I802" s="904" t="s">
        <v>7521</v>
      </c>
      <c r="J802" s="904"/>
      <c r="K802" s="277" t="s">
        <v>209</v>
      </c>
      <c r="L802" s="16">
        <v>9080</v>
      </c>
      <c r="M802" s="18" t="s">
        <v>209</v>
      </c>
      <c r="N802" s="904"/>
      <c r="O802" s="431"/>
      <c r="P802" s="904"/>
    </row>
    <row r="803" spans="1:17" s="17" customFormat="1" ht="33" customHeight="1">
      <c r="A803" s="907"/>
      <c r="B803" s="399">
        <v>46324</v>
      </c>
      <c r="C803" s="4" t="s">
        <v>21</v>
      </c>
      <c r="D803" s="4" t="s">
        <v>14</v>
      </c>
      <c r="E803" s="917" t="s">
        <v>211</v>
      </c>
      <c r="F803" s="914" t="s">
        <v>2916</v>
      </c>
      <c r="G803" s="16" t="s">
        <v>2917</v>
      </c>
      <c r="H803" s="917" t="s">
        <v>7600</v>
      </c>
      <c r="I803" s="917" t="s">
        <v>7601</v>
      </c>
      <c r="J803" s="917" t="s">
        <v>7602</v>
      </c>
      <c r="K803" s="125" t="s">
        <v>15</v>
      </c>
      <c r="L803" s="16" t="s">
        <v>33</v>
      </c>
      <c r="M803" s="8">
        <v>2</v>
      </c>
      <c r="N803" s="910"/>
      <c r="O803" s="430" t="s">
        <v>7605</v>
      </c>
      <c r="P803" s="910"/>
    </row>
    <row r="804" spans="1:17" s="17" customFormat="1" ht="33" customHeight="1">
      <c r="A804" s="846"/>
      <c r="B804" s="399">
        <v>46324</v>
      </c>
      <c r="C804" s="4" t="s">
        <v>6707</v>
      </c>
      <c r="D804" s="4" t="s">
        <v>25</v>
      </c>
      <c r="E804" s="904" t="s">
        <v>6709</v>
      </c>
      <c r="F804" s="904">
        <v>7065</v>
      </c>
      <c r="G804" s="16" t="s">
        <v>145</v>
      </c>
      <c r="H804" s="906" t="s">
        <v>7519</v>
      </c>
      <c r="I804" s="904" t="s">
        <v>6312</v>
      </c>
      <c r="J804" s="904"/>
      <c r="K804" s="277" t="s">
        <v>209</v>
      </c>
      <c r="L804" s="16">
        <v>9080</v>
      </c>
      <c r="M804" s="18" t="s">
        <v>209</v>
      </c>
      <c r="N804" s="852"/>
      <c r="O804" s="430"/>
      <c r="P804" s="848"/>
    </row>
    <row r="805" spans="1:17" s="17" customFormat="1" ht="33" customHeight="1">
      <c r="A805" s="887"/>
      <c r="B805" s="399">
        <v>46324</v>
      </c>
      <c r="C805" s="4" t="s">
        <v>7584</v>
      </c>
      <c r="D805" s="4" t="s">
        <v>7585</v>
      </c>
      <c r="E805" s="890" t="s">
        <v>7592</v>
      </c>
      <c r="F805" s="888" t="s">
        <v>7593</v>
      </c>
      <c r="G805" s="16" t="s">
        <v>7594</v>
      </c>
      <c r="H805" s="890" t="s">
        <v>7595</v>
      </c>
      <c r="I805" s="888"/>
      <c r="J805" s="888" t="s">
        <v>7597</v>
      </c>
      <c r="K805" s="125" t="s">
        <v>7596</v>
      </c>
      <c r="L805" s="16" t="s">
        <v>7590</v>
      </c>
      <c r="M805" s="8"/>
      <c r="N805" s="889" t="s">
        <v>7598</v>
      </c>
      <c r="O805" s="430" t="s">
        <v>7604</v>
      </c>
      <c r="P805" s="888"/>
    </row>
    <row r="806" spans="1:17" s="17" customFormat="1" ht="33" customHeight="1">
      <c r="A806" s="846"/>
      <c r="B806" s="399">
        <v>46324</v>
      </c>
      <c r="C806" s="4" t="s">
        <v>6707</v>
      </c>
      <c r="D806" s="4" t="s">
        <v>25</v>
      </c>
      <c r="E806" s="904" t="s">
        <v>6709</v>
      </c>
      <c r="F806" s="904">
        <v>7065</v>
      </c>
      <c r="G806" s="16" t="s">
        <v>145</v>
      </c>
      <c r="H806" s="906" t="s">
        <v>7519</v>
      </c>
      <c r="I806" s="904" t="s">
        <v>7603</v>
      </c>
      <c r="J806" s="904"/>
      <c r="K806" s="277" t="s">
        <v>209</v>
      </c>
      <c r="L806" s="16">
        <v>9080</v>
      </c>
      <c r="M806" s="18" t="s">
        <v>209</v>
      </c>
      <c r="N806" s="852" t="s">
        <v>90</v>
      </c>
      <c r="O806" s="430"/>
      <c r="P806" s="848"/>
    </row>
    <row r="807" spans="1:17" s="17" customFormat="1" ht="33" customHeight="1">
      <c r="A807" s="846"/>
      <c r="B807" s="399">
        <v>46325</v>
      </c>
      <c r="C807" s="4" t="s">
        <v>6707</v>
      </c>
      <c r="D807" s="4" t="s">
        <v>25</v>
      </c>
      <c r="E807" s="904" t="s">
        <v>6709</v>
      </c>
      <c r="F807" s="904">
        <v>7065</v>
      </c>
      <c r="G807" s="16" t="s">
        <v>145</v>
      </c>
      <c r="H807" s="906" t="s">
        <v>7519</v>
      </c>
      <c r="I807" s="904" t="s">
        <v>6312</v>
      </c>
      <c r="J807" s="904"/>
      <c r="K807" s="277" t="s">
        <v>209</v>
      </c>
      <c r="L807" s="16">
        <v>9080</v>
      </c>
      <c r="M807" s="18" t="s">
        <v>209</v>
      </c>
      <c r="N807" s="889" t="s">
        <v>90</v>
      </c>
      <c r="O807" s="430"/>
      <c r="P807" s="848"/>
      <c r="Q807" s="17" t="s">
        <v>7442</v>
      </c>
    </row>
    <row r="808" spans="1:17" s="17" customFormat="1" ht="33" customHeight="1">
      <c r="A808" s="322" t="s">
        <v>0</v>
      </c>
      <c r="B808" s="323" t="s">
        <v>1</v>
      </c>
      <c r="C808" s="322" t="s">
        <v>2</v>
      </c>
      <c r="D808" s="322" t="s">
        <v>3</v>
      </c>
      <c r="E808" s="322" t="s">
        <v>4</v>
      </c>
      <c r="F808" s="322" t="s">
        <v>5</v>
      </c>
      <c r="G808" s="322" t="s">
        <v>6</v>
      </c>
      <c r="H808" s="324" t="s">
        <v>7</v>
      </c>
      <c r="I808" s="322" t="s">
        <v>8</v>
      </c>
      <c r="J808" s="322" t="s">
        <v>9</v>
      </c>
      <c r="K808" s="325" t="s">
        <v>10</v>
      </c>
      <c r="L808" s="326" t="s">
        <v>11</v>
      </c>
      <c r="M808" s="322" t="s">
        <v>12</v>
      </c>
      <c r="N808" s="327" t="s">
        <v>13</v>
      </c>
      <c r="O808" s="427" t="s">
        <v>63</v>
      </c>
      <c r="P808" s="322" t="s">
        <v>123</v>
      </c>
    </row>
    <row r="809" spans="1:17" s="17" customFormat="1" ht="33" customHeight="1">
      <c r="A809" s="845" t="s">
        <v>7320</v>
      </c>
      <c r="B809" s="369">
        <v>46328</v>
      </c>
      <c r="C809" s="4" t="s">
        <v>7445</v>
      </c>
      <c r="D809" s="4" t="s">
        <v>7446</v>
      </c>
      <c r="E809" s="912" t="s">
        <v>7279</v>
      </c>
      <c r="F809" s="910" t="s">
        <v>7444</v>
      </c>
      <c r="G809" s="16" t="s">
        <v>7390</v>
      </c>
      <c r="H809" s="912" t="s">
        <v>7447</v>
      </c>
      <c r="I809" s="910" t="s">
        <v>7404</v>
      </c>
      <c r="J809" s="910" t="s">
        <v>7613</v>
      </c>
      <c r="K809" s="125" t="s">
        <v>15</v>
      </c>
      <c r="L809" s="16" t="s">
        <v>4379</v>
      </c>
      <c r="M809" s="8">
        <v>2</v>
      </c>
      <c r="N809" s="848"/>
      <c r="O809" s="431"/>
      <c r="P809" s="848"/>
    </row>
    <row r="810" spans="1:17" s="17" customFormat="1" ht="40.5">
      <c r="A810" s="928"/>
      <c r="B810" s="369">
        <v>46328</v>
      </c>
      <c r="C810" s="4" t="s">
        <v>21</v>
      </c>
      <c r="D810" s="4" t="s">
        <v>17</v>
      </c>
      <c r="E810" s="935" t="s">
        <v>7279</v>
      </c>
      <c r="F810" s="935" t="s">
        <v>7607</v>
      </c>
      <c r="G810" s="16" t="s">
        <v>7608</v>
      </c>
      <c r="H810" s="935" t="s">
        <v>7609</v>
      </c>
      <c r="I810" s="930" t="s">
        <v>90</v>
      </c>
      <c r="J810" s="930" t="s">
        <v>7613</v>
      </c>
      <c r="K810" s="125" t="s">
        <v>15</v>
      </c>
      <c r="L810" s="16" t="s">
        <v>33</v>
      </c>
      <c r="M810" s="8">
        <v>2</v>
      </c>
      <c r="N810" s="930"/>
      <c r="O810" s="431"/>
      <c r="P810" s="930"/>
    </row>
    <row r="811" spans="1:17" s="17" customFormat="1" ht="33.75" customHeight="1">
      <c r="A811" s="928"/>
      <c r="B811" s="369">
        <v>46328</v>
      </c>
      <c r="C811" s="4" t="s">
        <v>6707</v>
      </c>
      <c r="D811" s="4" t="s">
        <v>25</v>
      </c>
      <c r="E811" s="930" t="s">
        <v>6709</v>
      </c>
      <c r="F811" s="930">
        <v>7065</v>
      </c>
      <c r="G811" s="16" t="s">
        <v>145</v>
      </c>
      <c r="H811" s="935" t="s">
        <v>7519</v>
      </c>
      <c r="I811" s="930" t="s">
        <v>7618</v>
      </c>
      <c r="J811" s="930"/>
      <c r="K811" s="277" t="s">
        <v>209</v>
      </c>
      <c r="L811" s="16">
        <v>9080</v>
      </c>
      <c r="M811" s="18" t="s">
        <v>209</v>
      </c>
      <c r="N811" s="930"/>
      <c r="O811" s="431"/>
      <c r="P811" s="930"/>
    </row>
    <row r="812" spans="1:17" s="17" customFormat="1" ht="33" customHeight="1">
      <c r="A812" s="846"/>
      <c r="B812" s="369">
        <v>46329</v>
      </c>
      <c r="C812" s="4" t="s">
        <v>21</v>
      </c>
      <c r="D812" s="4" t="s">
        <v>14</v>
      </c>
      <c r="E812" s="874" t="s">
        <v>107</v>
      </c>
      <c r="F812" s="453" t="s">
        <v>6745</v>
      </c>
      <c r="G812" s="16" t="s">
        <v>376</v>
      </c>
      <c r="H812" s="879" t="s">
        <v>7280</v>
      </c>
      <c r="I812" s="874" t="s">
        <v>120</v>
      </c>
      <c r="J812" s="874"/>
      <c r="K812" s="125" t="s">
        <v>15</v>
      </c>
      <c r="L812" s="16" t="s">
        <v>4379</v>
      </c>
      <c r="M812" s="8">
        <v>1</v>
      </c>
      <c r="N812" s="878"/>
      <c r="O812" s="430" t="s">
        <v>7281</v>
      </c>
      <c r="P812" s="848"/>
    </row>
    <row r="813" spans="1:17" s="17" customFormat="1" ht="33" customHeight="1">
      <c r="A813" s="928"/>
      <c r="B813" s="369">
        <v>46329</v>
      </c>
      <c r="C813" s="4" t="s">
        <v>6707</v>
      </c>
      <c r="D813" s="4" t="s">
        <v>25</v>
      </c>
      <c r="E813" s="930" t="s">
        <v>6709</v>
      </c>
      <c r="F813" s="930">
        <v>7065</v>
      </c>
      <c r="G813" s="16" t="s">
        <v>145</v>
      </c>
      <c r="H813" s="935" t="s">
        <v>7519</v>
      </c>
      <c r="I813" s="930" t="s">
        <v>7618</v>
      </c>
      <c r="J813" s="930"/>
      <c r="K813" s="277" t="s">
        <v>209</v>
      </c>
      <c r="L813" s="16">
        <v>9080</v>
      </c>
      <c r="M813" s="18" t="s">
        <v>209</v>
      </c>
      <c r="N813" s="933"/>
      <c r="O813" s="430"/>
      <c r="P813" s="930"/>
    </row>
    <row r="814" spans="1:17" s="17" customFormat="1" ht="33" customHeight="1">
      <c r="A814" s="846"/>
      <c r="B814" s="369">
        <v>46330</v>
      </c>
      <c r="C814" s="4" t="s">
        <v>21</v>
      </c>
      <c r="D814" s="4" t="s">
        <v>7619</v>
      </c>
      <c r="E814" s="912" t="s">
        <v>1895</v>
      </c>
      <c r="F814" s="910">
        <v>7062</v>
      </c>
      <c r="G814" s="16" t="s">
        <v>7620</v>
      </c>
      <c r="H814" s="912" t="s">
        <v>7621</v>
      </c>
      <c r="I814" s="910"/>
      <c r="J814" s="910" t="s">
        <v>7622</v>
      </c>
      <c r="K814" s="125" t="s">
        <v>15</v>
      </c>
      <c r="L814" s="16" t="s">
        <v>7623</v>
      </c>
      <c r="M814" s="8">
        <v>2</v>
      </c>
      <c r="N814" s="852"/>
      <c r="O814" s="430" t="s">
        <v>7624</v>
      </c>
      <c r="P814" s="848"/>
    </row>
    <row r="815" spans="1:17" s="17" customFormat="1" ht="33" customHeight="1">
      <c r="A815" s="928"/>
      <c r="B815" s="369">
        <v>46330</v>
      </c>
      <c r="C815" s="4" t="s">
        <v>6707</v>
      </c>
      <c r="D815" s="4" t="s">
        <v>25</v>
      </c>
      <c r="E815" s="930" t="s">
        <v>6709</v>
      </c>
      <c r="F815" s="930">
        <v>7065</v>
      </c>
      <c r="G815" s="16" t="s">
        <v>145</v>
      </c>
      <c r="H815" s="935" t="s">
        <v>7519</v>
      </c>
      <c r="I815" s="930" t="s">
        <v>7618</v>
      </c>
      <c r="J815" s="930"/>
      <c r="K815" s="277" t="s">
        <v>209</v>
      </c>
      <c r="L815" s="16">
        <v>9080</v>
      </c>
      <c r="M815" s="18" t="s">
        <v>209</v>
      </c>
      <c r="N815" s="933"/>
      <c r="O815" s="430"/>
      <c r="P815" s="930"/>
    </row>
    <row r="816" spans="1:17" s="17" customFormat="1" ht="33" customHeight="1">
      <c r="A816" s="846"/>
      <c r="B816" s="369">
        <v>46331</v>
      </c>
      <c r="C816" s="4" t="s">
        <v>21</v>
      </c>
      <c r="D816" s="4" t="s">
        <v>14</v>
      </c>
      <c r="E816" s="888" t="s">
        <v>7508</v>
      </c>
      <c r="F816" s="848" t="s">
        <v>6816</v>
      </c>
      <c r="G816" s="16" t="s">
        <v>7507</v>
      </c>
      <c r="H816" s="853" t="s">
        <v>7612</v>
      </c>
      <c r="I816" s="848" t="s">
        <v>7610</v>
      </c>
      <c r="J816" s="935" t="s">
        <v>7611</v>
      </c>
      <c r="K816" s="125" t="s">
        <v>15</v>
      </c>
      <c r="L816" s="16" t="s">
        <v>33</v>
      </c>
      <c r="M816" s="8">
        <v>3</v>
      </c>
      <c r="N816" s="852"/>
      <c r="O816" s="430" t="s">
        <v>7566</v>
      </c>
      <c r="P816" s="848"/>
    </row>
    <row r="817" spans="1:16" s="17" customFormat="1" ht="33" customHeight="1">
      <c r="A817" s="928"/>
      <c r="B817" s="369">
        <v>46331</v>
      </c>
      <c r="C817" s="4" t="s">
        <v>6707</v>
      </c>
      <c r="D817" s="4" t="s">
        <v>25</v>
      </c>
      <c r="E817" s="930" t="s">
        <v>6709</v>
      </c>
      <c r="F817" s="930">
        <v>7065</v>
      </c>
      <c r="G817" s="16" t="s">
        <v>145</v>
      </c>
      <c r="H817" s="935" t="s">
        <v>7519</v>
      </c>
      <c r="I817" s="930" t="s">
        <v>7618</v>
      </c>
      <c r="J817" s="930"/>
      <c r="K817" s="277" t="s">
        <v>209</v>
      </c>
      <c r="L817" s="16">
        <v>9080</v>
      </c>
      <c r="M817" s="18" t="s">
        <v>209</v>
      </c>
      <c r="N817" s="933"/>
      <c r="O817" s="430"/>
      <c r="P817" s="930"/>
    </row>
    <row r="818" spans="1:16" s="17" customFormat="1" ht="33" customHeight="1">
      <c r="A818" s="846"/>
      <c r="B818" s="369">
        <v>46332</v>
      </c>
      <c r="C818" s="4"/>
      <c r="D818" s="4"/>
      <c r="E818" s="848"/>
      <c r="F818" s="848"/>
      <c r="G818" s="16"/>
      <c r="H818" s="853"/>
      <c r="I818" s="848"/>
      <c r="J818" s="853"/>
      <c r="K818" s="125"/>
      <c r="L818" s="16"/>
      <c r="M818" s="8"/>
      <c r="N818" s="852"/>
      <c r="O818" s="430"/>
      <c r="P818" s="848"/>
    </row>
    <row r="819" spans="1:16" s="17" customFormat="1" ht="33" customHeight="1">
      <c r="A819" s="928"/>
      <c r="B819" s="369">
        <v>46332</v>
      </c>
      <c r="C819" s="4" t="s">
        <v>6707</v>
      </c>
      <c r="D819" s="4" t="s">
        <v>25</v>
      </c>
      <c r="E819" s="930" t="s">
        <v>6709</v>
      </c>
      <c r="F819" s="930">
        <v>7065</v>
      </c>
      <c r="G819" s="16" t="s">
        <v>145</v>
      </c>
      <c r="H819" s="935" t="s">
        <v>7519</v>
      </c>
      <c r="I819" s="930" t="s">
        <v>7618</v>
      </c>
      <c r="J819" s="930"/>
      <c r="K819" s="277" t="s">
        <v>209</v>
      </c>
      <c r="L819" s="16">
        <v>9080</v>
      </c>
      <c r="M819" s="18" t="s">
        <v>209</v>
      </c>
      <c r="N819" s="933"/>
      <c r="O819" s="430"/>
      <c r="P819" s="930"/>
    </row>
    <row r="820" spans="1:16" s="17" customFormat="1" ht="33" customHeight="1">
      <c r="A820" s="847"/>
      <c r="B820" s="369">
        <v>46333</v>
      </c>
      <c r="C820" s="4"/>
      <c r="D820" s="4"/>
      <c r="E820" s="291"/>
      <c r="F820" s="848"/>
      <c r="G820" s="16"/>
      <c r="H820" s="853"/>
      <c r="I820" s="848"/>
      <c r="J820" s="848"/>
      <c r="K820" s="125"/>
      <c r="L820" s="16"/>
      <c r="M820" s="8"/>
      <c r="N820" s="848"/>
      <c r="O820" s="432"/>
      <c r="P820" s="848"/>
    </row>
    <row r="821" spans="1:16" s="17" customFormat="1" ht="33" customHeight="1">
      <c r="A821" s="322" t="s">
        <v>0</v>
      </c>
      <c r="B821" s="323" t="s">
        <v>1</v>
      </c>
      <c r="C821" s="322" t="s">
        <v>2</v>
      </c>
      <c r="D821" s="322" t="s">
        <v>3</v>
      </c>
      <c r="E821" s="322" t="s">
        <v>4</v>
      </c>
      <c r="F821" s="322" t="s">
        <v>5</v>
      </c>
      <c r="G821" s="322" t="s">
        <v>6</v>
      </c>
      <c r="H821" s="324" t="s">
        <v>7</v>
      </c>
      <c r="I821" s="322" t="s">
        <v>8</v>
      </c>
      <c r="J821" s="322" t="s">
        <v>9</v>
      </c>
      <c r="K821" s="325" t="s">
        <v>10</v>
      </c>
      <c r="L821" s="326" t="s">
        <v>11</v>
      </c>
      <c r="M821" s="322" t="s">
        <v>12</v>
      </c>
      <c r="N821" s="327" t="s">
        <v>13</v>
      </c>
      <c r="O821" s="427" t="s">
        <v>63</v>
      </c>
      <c r="P821" s="322" t="s">
        <v>123</v>
      </c>
    </row>
    <row r="822" spans="1:16" s="17" customFormat="1" ht="33" customHeight="1">
      <c r="A822" s="845" t="s">
        <v>7321</v>
      </c>
      <c r="B822" s="369">
        <v>46335</v>
      </c>
      <c r="C822" s="4" t="s">
        <v>7584</v>
      </c>
      <c r="D822" s="4" t="s">
        <v>7585</v>
      </c>
      <c r="E822" s="848" t="s">
        <v>7586</v>
      </c>
      <c r="F822" s="848" t="s">
        <v>7587</v>
      </c>
      <c r="G822" s="16" t="s">
        <v>7588</v>
      </c>
      <c r="H822" s="853" t="s">
        <v>7589</v>
      </c>
      <c r="I822" s="848" t="s">
        <v>7591</v>
      </c>
      <c r="J822" s="848"/>
      <c r="K822" s="125" t="s">
        <v>15</v>
      </c>
      <c r="L822" s="16" t="s">
        <v>7590</v>
      </c>
      <c r="M822" s="8">
        <v>1</v>
      </c>
      <c r="N822" s="848"/>
      <c r="O822" s="431"/>
      <c r="P822" s="848"/>
    </row>
    <row r="823" spans="1:16" s="17" customFormat="1" ht="40.5">
      <c r="A823" s="846"/>
      <c r="B823" s="369">
        <v>46336</v>
      </c>
      <c r="C823" s="4" t="s">
        <v>7522</v>
      </c>
      <c r="D823" s="4" t="s">
        <v>7523</v>
      </c>
      <c r="E823" s="904" t="s">
        <v>7524</v>
      </c>
      <c r="F823" s="904" t="s">
        <v>7525</v>
      </c>
      <c r="G823" s="16" t="s">
        <v>7526</v>
      </c>
      <c r="H823" s="906" t="s">
        <v>7527</v>
      </c>
      <c r="I823" s="848" t="s">
        <v>7520</v>
      </c>
      <c r="J823" s="848"/>
      <c r="K823" s="125" t="s">
        <v>7528</v>
      </c>
      <c r="L823" s="16" t="s">
        <v>7529</v>
      </c>
      <c r="M823" s="8">
        <v>2</v>
      </c>
      <c r="N823" s="848"/>
      <c r="O823" s="431"/>
      <c r="P823" s="848"/>
    </row>
    <row r="824" spans="1:16" s="17" customFormat="1" ht="33" customHeight="1">
      <c r="A824" s="846"/>
      <c r="B824" s="369">
        <v>46337</v>
      </c>
      <c r="C824" s="4"/>
      <c r="D824" s="4"/>
      <c r="E824" s="848"/>
      <c r="F824" s="848"/>
      <c r="G824" s="16"/>
      <c r="H824" s="853"/>
      <c r="I824" s="848"/>
      <c r="J824" s="848"/>
      <c r="K824" s="125"/>
      <c r="L824" s="16"/>
      <c r="M824" s="8"/>
      <c r="N824" s="852"/>
      <c r="O824" s="430"/>
      <c r="P824" s="848"/>
    </row>
    <row r="825" spans="1:16" s="17" customFormat="1" ht="33" customHeight="1">
      <c r="A825" s="846"/>
      <c r="B825" s="369">
        <v>46338</v>
      </c>
      <c r="C825" s="4" t="s">
        <v>7486</v>
      </c>
      <c r="D825" s="4" t="s">
        <v>7487</v>
      </c>
      <c r="E825" s="848" t="s">
        <v>1787</v>
      </c>
      <c r="F825" s="848" t="s">
        <v>7488</v>
      </c>
      <c r="G825" s="16" t="s">
        <v>7489</v>
      </c>
      <c r="H825" s="853" t="s">
        <v>7490</v>
      </c>
      <c r="I825" s="848" t="s">
        <v>7491</v>
      </c>
      <c r="J825" s="848"/>
      <c r="K825" s="125" t="s">
        <v>7492</v>
      </c>
      <c r="L825" s="16" t="s">
        <v>7493</v>
      </c>
      <c r="M825" s="8">
        <v>1</v>
      </c>
      <c r="N825" s="852"/>
      <c r="O825" s="430"/>
      <c r="P825" s="848"/>
    </row>
    <row r="826" spans="1:16" s="17" customFormat="1" ht="33" customHeight="1">
      <c r="A826" s="903"/>
      <c r="B826" s="369">
        <v>46338</v>
      </c>
      <c r="C826" s="4" t="s">
        <v>24</v>
      </c>
      <c r="D826" s="4" t="s">
        <v>14</v>
      </c>
      <c r="E826" s="904" t="s">
        <v>107</v>
      </c>
      <c r="F826" s="904" t="s">
        <v>2959</v>
      </c>
      <c r="G826" s="16" t="s">
        <v>7513</v>
      </c>
      <c r="H826" s="906" t="s">
        <v>7516</v>
      </c>
      <c r="I826" s="904"/>
      <c r="J826" s="904" t="s">
        <v>255</v>
      </c>
      <c r="K826" s="125"/>
      <c r="L826" s="16"/>
      <c r="M826" s="8"/>
      <c r="N826" s="905"/>
      <c r="O826" s="430"/>
      <c r="P826" s="904"/>
    </row>
    <row r="827" spans="1:16" s="17" customFormat="1" ht="33" customHeight="1">
      <c r="A827" s="913"/>
      <c r="B827" s="369">
        <v>46339</v>
      </c>
      <c r="C827" s="4" t="s">
        <v>21</v>
      </c>
      <c r="D827" s="4" t="s">
        <v>14</v>
      </c>
      <c r="E827" s="914" t="s">
        <v>107</v>
      </c>
      <c r="F827" s="914" t="s">
        <v>2959</v>
      </c>
      <c r="G827" s="16" t="s">
        <v>143</v>
      </c>
      <c r="H827" s="917" t="s">
        <v>7606</v>
      </c>
      <c r="I827" s="914"/>
      <c r="J827" s="914"/>
      <c r="K827" s="125"/>
      <c r="L827" s="16"/>
      <c r="M827" s="8"/>
      <c r="N827" s="916"/>
      <c r="O827" s="430"/>
      <c r="P827" s="914"/>
    </row>
    <row r="828" spans="1:16" s="17" customFormat="1" ht="33" customHeight="1">
      <c r="A828" s="903"/>
      <c r="B828" s="369">
        <v>46339</v>
      </c>
      <c r="C828" s="4" t="s">
        <v>24</v>
      </c>
      <c r="D828" s="4" t="s">
        <v>14</v>
      </c>
      <c r="E828" s="904" t="s">
        <v>107</v>
      </c>
      <c r="F828" s="904" t="s">
        <v>2959</v>
      </c>
      <c r="G828" s="16" t="s">
        <v>7514</v>
      </c>
      <c r="H828" s="906" t="s">
        <v>7517</v>
      </c>
      <c r="I828" s="904"/>
      <c r="J828" s="904" t="s">
        <v>255</v>
      </c>
      <c r="K828" s="125"/>
      <c r="L828" s="16"/>
      <c r="M828" s="8"/>
      <c r="N828" s="905"/>
      <c r="O828" s="430"/>
      <c r="P828" s="904"/>
    </row>
    <row r="829" spans="1:16" s="17" customFormat="1" ht="33" customHeight="1">
      <c r="A829" s="846"/>
      <c r="B829" s="369">
        <v>46339</v>
      </c>
      <c r="C829" s="4" t="s">
        <v>24</v>
      </c>
      <c r="D829" s="4" t="s">
        <v>14</v>
      </c>
      <c r="E829" s="904" t="s">
        <v>107</v>
      </c>
      <c r="F829" s="904" t="s">
        <v>2959</v>
      </c>
      <c r="G829" s="16" t="s">
        <v>7515</v>
      </c>
      <c r="H829" s="853" t="s">
        <v>7518</v>
      </c>
      <c r="I829" s="848"/>
      <c r="J829" s="853"/>
      <c r="K829" s="125"/>
      <c r="L829" s="16"/>
      <c r="M829" s="8"/>
      <c r="N829" s="852"/>
      <c r="O829" s="430"/>
      <c r="P829" s="848"/>
    </row>
    <row r="830" spans="1:16" s="17" customFormat="1" ht="33" customHeight="1">
      <c r="A830" s="928"/>
      <c r="B830" s="369" t="s">
        <v>6575</v>
      </c>
      <c r="C830" s="4" t="s">
        <v>21</v>
      </c>
      <c r="D830" s="4" t="s">
        <v>7614</v>
      </c>
      <c r="E830" s="930" t="s">
        <v>7615</v>
      </c>
      <c r="F830" s="930" t="s">
        <v>7616</v>
      </c>
      <c r="G830" s="16" t="s">
        <v>18</v>
      </c>
      <c r="H830" s="935" t="s">
        <v>7617</v>
      </c>
      <c r="I830" s="930"/>
      <c r="J830" s="935"/>
      <c r="K830" s="125"/>
      <c r="L830" s="16"/>
      <c r="M830" s="8"/>
      <c r="N830" s="886"/>
      <c r="O830" s="430"/>
      <c r="P830" s="930"/>
    </row>
    <row r="831" spans="1:16" s="17" customFormat="1" ht="33" customHeight="1">
      <c r="A831" s="847"/>
      <c r="B831" s="369" t="s">
        <v>6575</v>
      </c>
      <c r="C831" s="4" t="s">
        <v>21</v>
      </c>
      <c r="D831" s="4" t="s">
        <v>17</v>
      </c>
      <c r="E831" s="291" t="s">
        <v>7389</v>
      </c>
      <c r="F831" s="930" t="s">
        <v>3415</v>
      </c>
      <c r="G831" s="16" t="s">
        <v>23</v>
      </c>
      <c r="H831" s="935" t="s">
        <v>7391</v>
      </c>
      <c r="I831" s="930"/>
      <c r="J831" s="930"/>
      <c r="K831" s="125"/>
      <c r="L831" s="16"/>
      <c r="M831" s="8"/>
      <c r="N831" s="755"/>
      <c r="O831" s="428" t="s">
        <v>7502</v>
      </c>
      <c r="P831" s="848"/>
    </row>
    <row r="832" spans="1:16" s="17" customFormat="1" ht="33" customHeight="1">
      <c r="A832" s="322" t="s">
        <v>0</v>
      </c>
      <c r="B832" s="323" t="s">
        <v>1</v>
      </c>
      <c r="C832" s="322" t="s">
        <v>2</v>
      </c>
      <c r="D832" s="322" t="s">
        <v>3</v>
      </c>
      <c r="E832" s="322" t="s">
        <v>4</v>
      </c>
      <c r="F832" s="322" t="s">
        <v>5</v>
      </c>
      <c r="G832" s="322" t="s">
        <v>6</v>
      </c>
      <c r="H832" s="324" t="s">
        <v>7</v>
      </c>
      <c r="I832" s="322" t="s">
        <v>8</v>
      </c>
      <c r="J832" s="322" t="s">
        <v>9</v>
      </c>
      <c r="K832" s="325" t="s">
        <v>10</v>
      </c>
      <c r="L832" s="326" t="s">
        <v>11</v>
      </c>
      <c r="M832" s="322" t="s">
        <v>12</v>
      </c>
      <c r="N832" s="327" t="s">
        <v>13</v>
      </c>
      <c r="O832" s="427" t="s">
        <v>63</v>
      </c>
      <c r="P832" s="322" t="s">
        <v>123</v>
      </c>
    </row>
    <row r="833" spans="1:16" s="17" customFormat="1" ht="33" customHeight="1">
      <c r="A833" s="845" t="s">
        <v>7322</v>
      </c>
      <c r="B833" s="369">
        <v>46342</v>
      </c>
      <c r="C833" s="4" t="s">
        <v>138</v>
      </c>
      <c r="D833" s="4" t="s">
        <v>30</v>
      </c>
      <c r="E833" s="864" t="s">
        <v>107</v>
      </c>
      <c r="F833" s="864" t="s">
        <v>3345</v>
      </c>
      <c r="G833" s="16" t="s">
        <v>67</v>
      </c>
      <c r="H833" s="868" t="s">
        <v>7329</v>
      </c>
      <c r="I833" s="864"/>
      <c r="J833" s="864" t="s">
        <v>7317</v>
      </c>
      <c r="K833" s="125" t="s">
        <v>84</v>
      </c>
      <c r="L833" s="16" t="s">
        <v>4550</v>
      </c>
      <c r="M833" s="8"/>
      <c r="N833" s="848"/>
      <c r="O833" s="431"/>
      <c r="P833" s="848"/>
    </row>
    <row r="834" spans="1:16" s="17" customFormat="1" ht="33" customHeight="1">
      <c r="A834" s="928"/>
      <c r="B834" s="369"/>
      <c r="C834" s="369" t="s">
        <v>6575</v>
      </c>
      <c r="D834" s="4" t="s">
        <v>21</v>
      </c>
      <c r="E834" s="4" t="s">
        <v>17</v>
      </c>
      <c r="F834" s="935" t="s">
        <v>7389</v>
      </c>
      <c r="G834" s="930" t="s">
        <v>1529</v>
      </c>
      <c r="H834" s="16" t="s">
        <v>23</v>
      </c>
      <c r="I834" s="935" t="s">
        <v>129</v>
      </c>
      <c r="J834" s="930"/>
      <c r="K834" s="930"/>
      <c r="L834" s="125" t="s">
        <v>15</v>
      </c>
      <c r="M834" s="16"/>
      <c r="N834" s="8"/>
      <c r="O834" s="886"/>
      <c r="P834" s="430" t="s">
        <v>7501</v>
      </c>
    </row>
    <row r="835" spans="1:16" s="17" customFormat="1" ht="33" customHeight="1">
      <c r="A835" s="846"/>
      <c r="B835" s="369">
        <v>46343</v>
      </c>
      <c r="C835" s="4" t="s">
        <v>138</v>
      </c>
      <c r="D835" s="4" t="s">
        <v>30</v>
      </c>
      <c r="E835" s="864" t="s">
        <v>107</v>
      </c>
      <c r="F835" s="864" t="s">
        <v>3345</v>
      </c>
      <c r="G835" s="16" t="s">
        <v>67</v>
      </c>
      <c r="H835" s="868" t="s">
        <v>7329</v>
      </c>
      <c r="I835" s="864"/>
      <c r="J835" s="864" t="s">
        <v>7317</v>
      </c>
      <c r="K835" s="125" t="s">
        <v>84</v>
      </c>
      <c r="L835" s="16" t="s">
        <v>4550</v>
      </c>
      <c r="M835" s="8"/>
      <c r="N835" s="848"/>
      <c r="O835" s="431"/>
      <c r="P835" s="848"/>
    </row>
    <row r="836" spans="1:16" s="17" customFormat="1" ht="33" customHeight="1">
      <c r="A836" s="846"/>
      <c r="B836" s="369">
        <v>46344</v>
      </c>
      <c r="C836" s="4" t="s">
        <v>138</v>
      </c>
      <c r="D836" s="4" t="s">
        <v>30</v>
      </c>
      <c r="E836" s="864" t="s">
        <v>107</v>
      </c>
      <c r="F836" s="864" t="s">
        <v>3345</v>
      </c>
      <c r="G836" s="16" t="s">
        <v>67</v>
      </c>
      <c r="H836" s="868" t="s">
        <v>7329</v>
      </c>
      <c r="I836" s="864"/>
      <c r="J836" s="864" t="s">
        <v>7317</v>
      </c>
      <c r="K836" s="125" t="s">
        <v>84</v>
      </c>
      <c r="L836" s="16" t="s">
        <v>4550</v>
      </c>
      <c r="M836" s="8"/>
      <c r="N836" s="852"/>
      <c r="O836" s="430"/>
      <c r="P836" s="848"/>
    </row>
    <row r="837" spans="1:16" s="17" customFormat="1" ht="33" customHeight="1">
      <c r="A837" s="846"/>
      <c r="B837" s="369">
        <v>46345</v>
      </c>
      <c r="C837" s="4" t="s">
        <v>138</v>
      </c>
      <c r="D837" s="4" t="s">
        <v>30</v>
      </c>
      <c r="E837" s="864" t="s">
        <v>107</v>
      </c>
      <c r="F837" s="864" t="s">
        <v>3345</v>
      </c>
      <c r="G837" s="16" t="s">
        <v>67</v>
      </c>
      <c r="H837" s="868" t="s">
        <v>7329</v>
      </c>
      <c r="I837" s="864"/>
      <c r="J837" s="864" t="s">
        <v>7317</v>
      </c>
      <c r="K837" s="125" t="s">
        <v>84</v>
      </c>
      <c r="L837" s="16" t="s">
        <v>4550</v>
      </c>
      <c r="M837" s="8"/>
      <c r="N837" s="852"/>
      <c r="O837" s="430"/>
      <c r="P837" s="848"/>
    </row>
    <row r="838" spans="1:16" s="17" customFormat="1" ht="33" customHeight="1">
      <c r="A838" s="846"/>
      <c r="B838" s="369">
        <v>46346</v>
      </c>
      <c r="C838" s="4"/>
      <c r="D838" s="4"/>
      <c r="E838" s="848"/>
      <c r="F838" s="848"/>
      <c r="G838" s="16"/>
      <c r="H838" s="853"/>
      <c r="I838" s="848"/>
      <c r="J838" s="853"/>
      <c r="K838" s="125"/>
      <c r="L838" s="16"/>
      <c r="M838" s="8"/>
      <c r="N838" s="852"/>
      <c r="O838" s="430"/>
      <c r="P838" s="848"/>
    </row>
    <row r="839" spans="1:16" s="17" customFormat="1" ht="33" customHeight="1">
      <c r="A839" s="847"/>
      <c r="B839" s="369">
        <v>46347</v>
      </c>
      <c r="C839" s="4"/>
      <c r="D839" s="4"/>
      <c r="E839" s="291"/>
      <c r="F839" s="848"/>
      <c r="G839" s="16"/>
      <c r="H839" s="853"/>
      <c r="I839" s="848"/>
      <c r="J839" s="848"/>
      <c r="K839" s="125"/>
      <c r="L839" s="16"/>
      <c r="M839" s="8"/>
      <c r="N839" s="848"/>
      <c r="O839" s="432"/>
      <c r="P839" s="848"/>
    </row>
    <row r="840" spans="1:16" s="17" customFormat="1" ht="33" customHeight="1">
      <c r="A840" s="322" t="s">
        <v>0</v>
      </c>
      <c r="B840" s="323" t="s">
        <v>1</v>
      </c>
      <c r="C840" s="322" t="s">
        <v>2</v>
      </c>
      <c r="D840" s="322" t="s">
        <v>3</v>
      </c>
      <c r="E840" s="322" t="s">
        <v>4</v>
      </c>
      <c r="F840" s="322" t="s">
        <v>5</v>
      </c>
      <c r="G840" s="322" t="s">
        <v>6</v>
      </c>
      <c r="H840" s="324" t="s">
        <v>7</v>
      </c>
      <c r="I840" s="322" t="s">
        <v>8</v>
      </c>
      <c r="J840" s="322" t="s">
        <v>9</v>
      </c>
      <c r="K840" s="325" t="s">
        <v>10</v>
      </c>
      <c r="L840" s="326" t="s">
        <v>11</v>
      </c>
      <c r="M840" s="322" t="s">
        <v>12</v>
      </c>
      <c r="N840" s="327" t="s">
        <v>13</v>
      </c>
      <c r="O840" s="427" t="s">
        <v>63</v>
      </c>
      <c r="P840" s="322" t="s">
        <v>123</v>
      </c>
    </row>
    <row r="841" spans="1:16" s="17" customFormat="1" ht="33" customHeight="1">
      <c r="A841" s="845" t="s">
        <v>7323</v>
      </c>
      <c r="B841" s="369">
        <v>46349</v>
      </c>
      <c r="C841" s="4"/>
      <c r="D841" s="4"/>
      <c r="E841" s="848"/>
      <c r="F841" s="848"/>
      <c r="G841" s="16"/>
      <c r="H841" s="853"/>
      <c r="I841" s="848"/>
      <c r="J841" s="848"/>
      <c r="K841" s="125"/>
      <c r="L841" s="16"/>
      <c r="M841" s="8"/>
      <c r="N841" s="848"/>
      <c r="O841" s="431"/>
      <c r="P841" s="848"/>
    </row>
    <row r="842" spans="1:16" s="17" customFormat="1" ht="33" customHeight="1">
      <c r="A842" s="846"/>
      <c r="B842" s="369">
        <v>46350</v>
      </c>
      <c r="C842" s="4"/>
      <c r="D842" s="4"/>
      <c r="E842" s="848"/>
      <c r="F842" s="848"/>
      <c r="G842" s="16"/>
      <c r="H842" s="853"/>
      <c r="I842" s="848"/>
      <c r="J842" s="848"/>
      <c r="K842" s="125"/>
      <c r="L842" s="16"/>
      <c r="M842" s="8"/>
      <c r="N842" s="848"/>
      <c r="O842" s="431"/>
      <c r="P842" s="848"/>
    </row>
    <row r="843" spans="1:16" s="17" customFormat="1" ht="33" customHeight="1">
      <c r="A843" s="846"/>
      <c r="B843" s="369">
        <v>46351</v>
      </c>
      <c r="C843" s="4"/>
      <c r="D843" s="4"/>
      <c r="E843" s="848"/>
      <c r="F843" s="848"/>
      <c r="G843" s="16"/>
      <c r="H843" s="853"/>
      <c r="I843" s="848"/>
      <c r="J843" s="848"/>
      <c r="K843" s="125"/>
      <c r="L843" s="16"/>
      <c r="M843" s="8"/>
      <c r="N843" s="852"/>
      <c r="O843" s="430"/>
      <c r="P843" s="848"/>
    </row>
    <row r="844" spans="1:16" s="17" customFormat="1" ht="33" customHeight="1">
      <c r="A844" s="846"/>
      <c r="B844" s="369">
        <v>46352</v>
      </c>
      <c r="C844" s="4"/>
      <c r="D844" s="4"/>
      <c r="E844" s="848"/>
      <c r="F844" s="848"/>
      <c r="G844" s="16"/>
      <c r="H844" s="853"/>
      <c r="I844" s="848"/>
      <c r="J844" s="848"/>
      <c r="K844" s="125"/>
      <c r="L844" s="16"/>
      <c r="M844" s="8"/>
      <c r="N844" s="852"/>
      <c r="O844" s="430"/>
      <c r="P844" s="848"/>
    </row>
    <row r="845" spans="1:16" s="17" customFormat="1" ht="33" customHeight="1">
      <c r="A845" s="846"/>
      <c r="B845" s="369">
        <v>46353</v>
      </c>
      <c r="C845" s="4"/>
      <c r="D845" s="4"/>
      <c r="E845" s="848"/>
      <c r="F845" s="848"/>
      <c r="G845" s="16"/>
      <c r="H845" s="853"/>
      <c r="I845" s="848"/>
      <c r="J845" s="853"/>
      <c r="K845" s="125"/>
      <c r="L845" s="16"/>
      <c r="M845" s="8"/>
      <c r="N845" s="852"/>
      <c r="O845" s="430"/>
      <c r="P845" s="848"/>
    </row>
    <row r="846" spans="1:16" s="17" customFormat="1" ht="33" customHeight="1">
      <c r="A846" s="847"/>
      <c r="B846" s="369">
        <v>46354</v>
      </c>
      <c r="C846" s="4"/>
      <c r="D846" s="4"/>
      <c r="E846" s="291"/>
      <c r="F846" s="848"/>
      <c r="G846" s="16"/>
      <c r="H846" s="853"/>
      <c r="I846" s="848"/>
      <c r="J846" s="848"/>
      <c r="K846" s="125"/>
      <c r="L846" s="16"/>
      <c r="M846" s="8"/>
      <c r="N846" s="848"/>
      <c r="O846" s="432"/>
      <c r="P846" s="848"/>
    </row>
    <row r="847" spans="1:16" s="17" customFormat="1" ht="33" customHeight="1">
      <c r="A847" s="322" t="s">
        <v>0</v>
      </c>
      <c r="B847" s="323" t="s">
        <v>1</v>
      </c>
      <c r="C847" s="322" t="s">
        <v>2</v>
      </c>
      <c r="D847" s="322" t="s">
        <v>3</v>
      </c>
      <c r="E847" s="322" t="s">
        <v>4</v>
      </c>
      <c r="F847" s="322" t="s">
        <v>5</v>
      </c>
      <c r="G847" s="322" t="s">
        <v>6</v>
      </c>
      <c r="H847" s="324" t="s">
        <v>7</v>
      </c>
      <c r="I847" s="322" t="s">
        <v>8</v>
      </c>
      <c r="J847" s="322" t="s">
        <v>9</v>
      </c>
      <c r="K847" s="325" t="s">
        <v>10</v>
      </c>
      <c r="L847" s="326" t="s">
        <v>11</v>
      </c>
      <c r="M847" s="322" t="s">
        <v>12</v>
      </c>
      <c r="N847" s="327" t="s">
        <v>13</v>
      </c>
      <c r="O847" s="427" t="s">
        <v>63</v>
      </c>
      <c r="P847" s="322" t="s">
        <v>123</v>
      </c>
    </row>
    <row r="848" spans="1:16" s="17" customFormat="1" ht="33" customHeight="1">
      <c r="A848" s="845" t="s">
        <v>7324</v>
      </c>
      <c r="B848" s="369">
        <v>46356</v>
      </c>
      <c r="C848" s="4"/>
      <c r="D848" s="4"/>
      <c r="E848" s="848"/>
      <c r="F848" s="848"/>
      <c r="G848" s="16"/>
      <c r="H848" s="853"/>
      <c r="I848" s="848"/>
      <c r="J848" s="848"/>
      <c r="K848" s="125"/>
      <c r="L848" s="16"/>
      <c r="M848" s="8"/>
      <c r="N848" s="848"/>
      <c r="O848" s="431"/>
      <c r="P848" s="848"/>
    </row>
    <row r="849" spans="1:16" s="17" customFormat="1" ht="33" customHeight="1">
      <c r="A849" s="846"/>
      <c r="B849" s="369">
        <v>46357</v>
      </c>
      <c r="C849" s="4"/>
      <c r="D849" s="4"/>
      <c r="E849" s="848"/>
      <c r="F849" s="848"/>
      <c r="G849" s="16"/>
      <c r="H849" s="853"/>
      <c r="I849" s="848"/>
      <c r="J849" s="848"/>
      <c r="K849" s="125"/>
      <c r="L849" s="16"/>
      <c r="M849" s="8"/>
      <c r="N849" s="848"/>
      <c r="O849" s="431"/>
      <c r="P849" s="848"/>
    </row>
    <row r="850" spans="1:16" s="17" customFormat="1" ht="33" customHeight="1">
      <c r="A850" s="846"/>
      <c r="B850" s="369">
        <v>46358</v>
      </c>
      <c r="C850" s="4"/>
      <c r="D850" s="4"/>
      <c r="E850" s="848"/>
      <c r="F850" s="848"/>
      <c r="G850" s="16"/>
      <c r="H850" s="853"/>
      <c r="I850" s="848"/>
      <c r="J850" s="848"/>
      <c r="K850" s="125"/>
      <c r="L850" s="16"/>
      <c r="M850" s="8"/>
      <c r="N850" s="852"/>
      <c r="O850" s="430"/>
      <c r="P850" s="848"/>
    </row>
    <row r="851" spans="1:16" s="17" customFormat="1" ht="33" customHeight="1">
      <c r="A851" s="846"/>
      <c r="B851" s="369">
        <v>46359</v>
      </c>
      <c r="C851" s="4"/>
      <c r="D851" s="4"/>
      <c r="E851" s="848"/>
      <c r="F851" s="848"/>
      <c r="G851" s="16"/>
      <c r="H851" s="853"/>
      <c r="I851" s="848"/>
      <c r="J851" s="848"/>
      <c r="K851" s="125"/>
      <c r="L851" s="16"/>
      <c r="M851" s="8"/>
      <c r="N851" s="852"/>
      <c r="O851" s="430"/>
      <c r="P851" s="848"/>
    </row>
    <row r="852" spans="1:16" s="17" customFormat="1" ht="33" customHeight="1">
      <c r="A852" s="846"/>
      <c r="B852" s="369">
        <v>46360</v>
      </c>
      <c r="C852" s="4"/>
      <c r="D852" s="4"/>
      <c r="E852" s="848"/>
      <c r="F852" s="848"/>
      <c r="G852" s="16"/>
      <c r="H852" s="853"/>
      <c r="I852" s="848"/>
      <c r="J852" s="853"/>
      <c r="K852" s="125"/>
      <c r="L852" s="16"/>
      <c r="M852" s="8"/>
      <c r="N852" s="852"/>
      <c r="O852" s="430"/>
      <c r="P852" s="848"/>
    </row>
    <row r="853" spans="1:16" s="17" customFormat="1" ht="33" customHeight="1">
      <c r="A853" s="847"/>
      <c r="B853" s="369">
        <v>46361</v>
      </c>
      <c r="C853" s="4"/>
      <c r="D853" s="4"/>
      <c r="E853" s="291"/>
      <c r="F853" s="848"/>
      <c r="G853" s="16"/>
      <c r="H853" s="853"/>
      <c r="I853" s="848"/>
      <c r="J853" s="848"/>
      <c r="K853" s="125"/>
      <c r="L853" s="16"/>
      <c r="M853" s="8"/>
      <c r="N853" s="848"/>
      <c r="O853" s="432"/>
      <c r="P853" s="848"/>
    </row>
    <row r="854" spans="1:16" s="17" customFormat="1" ht="33" customHeight="1">
      <c r="A854" s="322" t="s">
        <v>0</v>
      </c>
      <c r="B854" s="323" t="s">
        <v>1</v>
      </c>
      <c r="C854" s="322" t="s">
        <v>2</v>
      </c>
      <c r="D854" s="322" t="s">
        <v>3</v>
      </c>
      <c r="E854" s="322" t="s">
        <v>4</v>
      </c>
      <c r="F854" s="322" t="s">
        <v>5</v>
      </c>
      <c r="G854" s="322" t="s">
        <v>6</v>
      </c>
      <c r="H854" s="324" t="s">
        <v>7</v>
      </c>
      <c r="I854" s="322" t="s">
        <v>8</v>
      </c>
      <c r="J854" s="322" t="s">
        <v>9</v>
      </c>
      <c r="K854" s="325" t="s">
        <v>10</v>
      </c>
      <c r="L854" s="326" t="s">
        <v>11</v>
      </c>
      <c r="M854" s="322" t="s">
        <v>12</v>
      </c>
      <c r="N854" s="327" t="s">
        <v>13</v>
      </c>
      <c r="O854" s="427" t="s">
        <v>63</v>
      </c>
      <c r="P854" s="322" t="s">
        <v>123</v>
      </c>
    </row>
    <row r="855" spans="1:16" s="17" customFormat="1" ht="33" customHeight="1">
      <c r="A855" s="845" t="s">
        <v>7325</v>
      </c>
      <c r="B855" s="369">
        <v>46363</v>
      </c>
      <c r="C855" s="4" t="s">
        <v>7559</v>
      </c>
      <c r="D855" s="4" t="s">
        <v>7560</v>
      </c>
      <c r="E855" s="848" t="s">
        <v>7561</v>
      </c>
      <c r="F855" s="848" t="s">
        <v>7562</v>
      </c>
      <c r="G855" s="16" t="s">
        <v>7563</v>
      </c>
      <c r="H855" s="853" t="s">
        <v>7564</v>
      </c>
      <c r="I855" s="848"/>
      <c r="J855" s="848"/>
      <c r="K855" s="125"/>
      <c r="L855" s="16"/>
      <c r="M855" s="8"/>
      <c r="N855" s="848"/>
      <c r="O855" s="431" t="s">
        <v>7565</v>
      </c>
      <c r="P855" s="848"/>
    </row>
    <row r="856" spans="1:16" s="17" customFormat="1" ht="33" customHeight="1">
      <c r="A856" s="846"/>
      <c r="B856" s="369">
        <v>46364</v>
      </c>
      <c r="C856" s="4"/>
      <c r="D856" s="4"/>
      <c r="E856" s="848"/>
      <c r="F856" s="848"/>
      <c r="G856" s="16"/>
      <c r="H856" s="853"/>
      <c r="I856" s="848"/>
      <c r="J856" s="848"/>
      <c r="K856" s="125"/>
      <c r="L856" s="16"/>
      <c r="M856" s="8"/>
      <c r="N856" s="848"/>
      <c r="O856" s="431"/>
      <c r="P856" s="848"/>
    </row>
    <row r="857" spans="1:16" s="17" customFormat="1" ht="33" customHeight="1">
      <c r="A857" s="846"/>
      <c r="B857" s="369">
        <v>46365</v>
      </c>
      <c r="C857" s="4"/>
      <c r="D857" s="4"/>
      <c r="E857" s="848"/>
      <c r="F857" s="848"/>
      <c r="G857" s="16"/>
      <c r="H857" s="853"/>
      <c r="I857" s="848"/>
      <c r="J857" s="848"/>
      <c r="K857" s="125"/>
      <c r="L857" s="16"/>
      <c r="M857" s="8"/>
      <c r="N857" s="852"/>
      <c r="O857" s="430"/>
      <c r="P857" s="848"/>
    </row>
    <row r="858" spans="1:16" s="17" customFormat="1" ht="33" customHeight="1">
      <c r="A858" s="846"/>
      <c r="B858" s="369">
        <v>46366</v>
      </c>
      <c r="C858" s="4"/>
      <c r="D858" s="4"/>
      <c r="E858" s="848"/>
      <c r="F858" s="848"/>
      <c r="G858" s="16"/>
      <c r="H858" s="853"/>
      <c r="I858" s="848"/>
      <c r="J858" s="848"/>
      <c r="K858" s="125"/>
      <c r="L858" s="16"/>
      <c r="M858" s="8"/>
      <c r="N858" s="852"/>
      <c r="O858" s="430"/>
      <c r="P858" s="848"/>
    </row>
    <row r="859" spans="1:16" s="17" customFormat="1" ht="33" customHeight="1">
      <c r="A859" s="846"/>
      <c r="B859" s="369">
        <v>46367</v>
      </c>
      <c r="C859" s="4"/>
      <c r="D859" s="4"/>
      <c r="E859" s="848"/>
      <c r="F859" s="848"/>
      <c r="G859" s="16"/>
      <c r="H859" s="853"/>
      <c r="I859" s="848"/>
      <c r="J859" s="853"/>
      <c r="K859" s="125"/>
      <c r="L859" s="16"/>
      <c r="M859" s="8"/>
      <c r="N859" s="852"/>
      <c r="O859" s="430"/>
      <c r="P859" s="848"/>
    </row>
    <row r="860" spans="1:16" s="17" customFormat="1" ht="33" customHeight="1">
      <c r="A860" s="847"/>
      <c r="B860" s="369">
        <v>46368</v>
      </c>
      <c r="C860" s="4"/>
      <c r="D860" s="4"/>
      <c r="E860" s="291"/>
      <c r="F860" s="848"/>
      <c r="G860" s="16"/>
      <c r="H860" s="853"/>
      <c r="I860" s="848"/>
      <c r="J860" s="848"/>
      <c r="K860" s="125"/>
      <c r="L860" s="16"/>
      <c r="M860" s="8"/>
      <c r="N860" s="848"/>
      <c r="O860" s="432"/>
      <c r="P860" s="848"/>
    </row>
    <row r="861" spans="1:16" s="17" customFormat="1" ht="33" customHeight="1">
      <c r="A861" s="322" t="s">
        <v>0</v>
      </c>
      <c r="B861" s="323" t="s">
        <v>1</v>
      </c>
      <c r="C861" s="322" t="s">
        <v>2</v>
      </c>
      <c r="D861" s="322" t="s">
        <v>3</v>
      </c>
      <c r="E861" s="322" t="s">
        <v>4</v>
      </c>
      <c r="F861" s="322" t="s">
        <v>5</v>
      </c>
      <c r="G861" s="322" t="s">
        <v>6</v>
      </c>
      <c r="H861" s="324" t="s">
        <v>7</v>
      </c>
      <c r="I861" s="322" t="s">
        <v>8</v>
      </c>
      <c r="J861" s="322" t="s">
        <v>9</v>
      </c>
      <c r="K861" s="325" t="s">
        <v>10</v>
      </c>
      <c r="L861" s="326" t="s">
        <v>11</v>
      </c>
      <c r="M861" s="322" t="s">
        <v>12</v>
      </c>
      <c r="N861" s="327" t="s">
        <v>13</v>
      </c>
      <c r="O861" s="427" t="s">
        <v>63</v>
      </c>
      <c r="P861" s="322" t="s">
        <v>123</v>
      </c>
    </row>
    <row r="862" spans="1:16" s="17" customFormat="1" ht="33" customHeight="1">
      <c r="A862" s="845" t="s">
        <v>7326</v>
      </c>
      <c r="B862" s="369">
        <v>46370</v>
      </c>
      <c r="C862" s="4"/>
      <c r="D862" s="4"/>
      <c r="E862" s="848"/>
      <c r="F862" s="848"/>
      <c r="G862" s="16"/>
      <c r="H862" s="853"/>
      <c r="I862" s="848"/>
      <c r="J862" s="848"/>
      <c r="K862" s="125"/>
      <c r="L862" s="16"/>
      <c r="M862" s="8"/>
      <c r="N862" s="848"/>
      <c r="O862" s="431"/>
      <c r="P862" s="848"/>
    </row>
    <row r="863" spans="1:16" s="17" customFormat="1" ht="33" customHeight="1">
      <c r="A863" s="846"/>
      <c r="B863" s="369">
        <v>46371</v>
      </c>
      <c r="C863" s="4"/>
      <c r="D863" s="4"/>
      <c r="E863" s="848"/>
      <c r="F863" s="848"/>
      <c r="G863" s="16"/>
      <c r="H863" s="853"/>
      <c r="I863" s="848"/>
      <c r="J863" s="848"/>
      <c r="K863" s="125"/>
      <c r="L863" s="16"/>
      <c r="M863" s="8"/>
      <c r="N863" s="848"/>
      <c r="O863" s="431"/>
      <c r="P863" s="848"/>
    </row>
    <row r="864" spans="1:16" s="17" customFormat="1" ht="33" customHeight="1">
      <c r="A864" s="846"/>
      <c r="B864" s="369">
        <v>46372</v>
      </c>
      <c r="C864" s="4"/>
      <c r="D864" s="4"/>
      <c r="E864" s="848"/>
      <c r="F864" s="848"/>
      <c r="G864" s="16"/>
      <c r="H864" s="853"/>
      <c r="I864" s="848"/>
      <c r="J864" s="848"/>
      <c r="K864" s="125"/>
      <c r="L864" s="16"/>
      <c r="M864" s="8"/>
      <c r="N864" s="852"/>
      <c r="O864" s="430"/>
      <c r="P864" s="848"/>
    </row>
    <row r="865" spans="1:16" s="17" customFormat="1" ht="33" customHeight="1">
      <c r="A865" s="846"/>
      <c r="B865" s="369">
        <v>46373</v>
      </c>
      <c r="C865" s="4"/>
      <c r="D865" s="4"/>
      <c r="E865" s="848"/>
      <c r="F865" s="848"/>
      <c r="G865" s="16"/>
      <c r="H865" s="853"/>
      <c r="I865" s="848"/>
      <c r="J865" s="848"/>
      <c r="K865" s="125"/>
      <c r="L865" s="16"/>
      <c r="M865" s="8"/>
      <c r="N865" s="852"/>
      <c r="O865" s="430"/>
      <c r="P865" s="848"/>
    </row>
    <row r="866" spans="1:16" s="17" customFormat="1" ht="33" customHeight="1">
      <c r="A866" s="846"/>
      <c r="B866" s="369">
        <v>46374</v>
      </c>
      <c r="C866" s="4"/>
      <c r="D866" s="4"/>
      <c r="E866" s="848"/>
      <c r="F866" s="848"/>
      <c r="G866" s="16"/>
      <c r="H866" s="853"/>
      <c r="I866" s="848"/>
      <c r="J866" s="853"/>
      <c r="K866" s="125"/>
      <c r="L866" s="16"/>
      <c r="M866" s="8"/>
      <c r="N866" s="852"/>
      <c r="O866" s="430"/>
      <c r="P866" s="848"/>
    </row>
    <row r="867" spans="1:16" s="17" customFormat="1" ht="33" customHeight="1">
      <c r="A867" s="847"/>
      <c r="B867" s="369">
        <v>46375</v>
      </c>
      <c r="C867" s="4"/>
      <c r="D867" s="4"/>
      <c r="E867" s="291"/>
      <c r="F867" s="848"/>
      <c r="G867" s="16"/>
      <c r="H867" s="853"/>
      <c r="I867" s="848"/>
      <c r="J867" s="848"/>
      <c r="K867" s="125"/>
      <c r="L867" s="16"/>
      <c r="M867" s="8"/>
      <c r="N867" s="848"/>
      <c r="O867" s="432"/>
      <c r="P867" s="848"/>
    </row>
    <row r="868" spans="1:16" s="17" customFormat="1" ht="33" customHeight="1">
      <c r="A868" s="322" t="s">
        <v>0</v>
      </c>
      <c r="B868" s="323" t="s">
        <v>1</v>
      </c>
      <c r="C868" s="322" t="s">
        <v>2</v>
      </c>
      <c r="D868" s="322" t="s">
        <v>3</v>
      </c>
      <c r="E868" s="322" t="s">
        <v>4</v>
      </c>
      <c r="F868" s="322" t="s">
        <v>5</v>
      </c>
      <c r="G868" s="322" t="s">
        <v>6</v>
      </c>
      <c r="H868" s="324" t="s">
        <v>7</v>
      </c>
      <c r="I868" s="322" t="s">
        <v>8</v>
      </c>
      <c r="J868" s="322" t="s">
        <v>9</v>
      </c>
      <c r="K868" s="325" t="s">
        <v>10</v>
      </c>
      <c r="L868" s="326" t="s">
        <v>11</v>
      </c>
      <c r="M868" s="322" t="s">
        <v>12</v>
      </c>
      <c r="N868" s="327" t="s">
        <v>13</v>
      </c>
      <c r="O868" s="427" t="s">
        <v>63</v>
      </c>
      <c r="P868" s="322" t="s">
        <v>123</v>
      </c>
    </row>
    <row r="869" spans="1:16" s="17" customFormat="1" ht="33" customHeight="1">
      <c r="A869" s="845" t="s">
        <v>7327</v>
      </c>
      <c r="B869" s="369">
        <v>46377</v>
      </c>
      <c r="C869" s="4"/>
      <c r="D869" s="4"/>
      <c r="E869" s="848"/>
      <c r="F869" s="848"/>
      <c r="G869" s="16"/>
      <c r="H869" s="853"/>
      <c r="I869" s="848"/>
      <c r="J869" s="848"/>
      <c r="K869" s="125"/>
      <c r="L869" s="16"/>
      <c r="M869" s="8"/>
      <c r="N869" s="848"/>
      <c r="O869" s="431"/>
      <c r="P869" s="848"/>
    </row>
    <row r="870" spans="1:16" s="17" customFormat="1" ht="33" customHeight="1">
      <c r="A870" s="846"/>
      <c r="B870" s="369">
        <v>46378</v>
      </c>
      <c r="C870" s="4"/>
      <c r="D870" s="4"/>
      <c r="E870" s="848"/>
      <c r="F870" s="848"/>
      <c r="G870" s="16"/>
      <c r="H870" s="853"/>
      <c r="I870" s="848"/>
      <c r="J870" s="848"/>
      <c r="K870" s="125"/>
      <c r="L870" s="16"/>
      <c r="M870" s="8"/>
      <c r="N870" s="848"/>
      <c r="O870" s="431"/>
      <c r="P870" s="848"/>
    </row>
    <row r="871" spans="1:16" s="17" customFormat="1" ht="33" customHeight="1">
      <c r="A871" s="846"/>
      <c r="B871" s="369">
        <v>46379</v>
      </c>
      <c r="C871" s="4"/>
      <c r="D871" s="4"/>
      <c r="E871" s="848"/>
      <c r="F871" s="848"/>
      <c r="G871" s="16"/>
      <c r="H871" s="853"/>
      <c r="I871" s="848"/>
      <c r="J871" s="848"/>
      <c r="K871" s="125"/>
      <c r="L871" s="16"/>
      <c r="M871" s="8"/>
      <c r="N871" s="852"/>
      <c r="O871" s="430"/>
      <c r="P871" s="848"/>
    </row>
    <row r="872" spans="1:16" s="17" customFormat="1" ht="33" customHeight="1">
      <c r="A872" s="846"/>
      <c r="B872" s="369">
        <v>46380</v>
      </c>
      <c r="C872" s="4"/>
      <c r="D872" s="4"/>
      <c r="E872" s="848"/>
      <c r="F872" s="848"/>
      <c r="G872" s="16"/>
      <c r="H872" s="853"/>
      <c r="I872" s="848"/>
      <c r="J872" s="848"/>
      <c r="K872" s="125"/>
      <c r="L872" s="16"/>
      <c r="M872" s="8"/>
      <c r="N872" s="852"/>
      <c r="O872" s="430"/>
      <c r="P872" s="848"/>
    </row>
    <row r="873" spans="1:16" s="17" customFormat="1" ht="33" customHeight="1">
      <c r="A873" s="846"/>
      <c r="B873" s="369">
        <v>46381</v>
      </c>
      <c r="C873" s="4"/>
      <c r="D873" s="4"/>
      <c r="E873" s="848"/>
      <c r="F873" s="848"/>
      <c r="G873" s="16"/>
      <c r="H873" s="853"/>
      <c r="I873" s="848"/>
      <c r="J873" s="853"/>
      <c r="K873" s="125"/>
      <c r="L873" s="16"/>
      <c r="M873" s="8"/>
      <c r="N873" s="852"/>
      <c r="O873" s="430"/>
      <c r="P873" s="848"/>
    </row>
    <row r="874" spans="1:16" s="17" customFormat="1" ht="33" customHeight="1">
      <c r="A874" s="847"/>
      <c r="B874" s="369">
        <v>46382</v>
      </c>
      <c r="C874" s="4"/>
      <c r="D874" s="4"/>
      <c r="E874" s="291"/>
      <c r="F874" s="848"/>
      <c r="G874" s="16"/>
      <c r="H874" s="853"/>
      <c r="I874" s="848"/>
      <c r="J874" s="848"/>
      <c r="K874" s="125"/>
      <c r="L874" s="16"/>
      <c r="M874" s="8"/>
      <c r="N874" s="848"/>
      <c r="O874" s="432"/>
      <c r="P874" s="848"/>
    </row>
    <row r="875" spans="1:16" s="17" customFormat="1" ht="33" customHeight="1">
      <c r="A875" s="322" t="s">
        <v>0</v>
      </c>
      <c r="B875" s="323" t="s">
        <v>1</v>
      </c>
      <c r="C875" s="322" t="s">
        <v>2</v>
      </c>
      <c r="D875" s="322" t="s">
        <v>3</v>
      </c>
      <c r="E875" s="322" t="s">
        <v>4</v>
      </c>
      <c r="F875" s="322" t="s">
        <v>5</v>
      </c>
      <c r="G875" s="322" t="s">
        <v>6</v>
      </c>
      <c r="H875" s="324" t="s">
        <v>7</v>
      </c>
      <c r="I875" s="322" t="s">
        <v>8</v>
      </c>
      <c r="J875" s="322" t="s">
        <v>9</v>
      </c>
      <c r="K875" s="325" t="s">
        <v>10</v>
      </c>
      <c r="L875" s="326" t="s">
        <v>11</v>
      </c>
      <c r="M875" s="322" t="s">
        <v>12</v>
      </c>
      <c r="N875" s="327" t="s">
        <v>13</v>
      </c>
      <c r="O875" s="427" t="s">
        <v>63</v>
      </c>
      <c r="P875" s="322" t="s">
        <v>123</v>
      </c>
    </row>
    <row r="876" spans="1:16" s="17" customFormat="1" ht="33" customHeight="1">
      <c r="A876" s="845" t="s">
        <v>7328</v>
      </c>
      <c r="B876" s="369">
        <v>46384</v>
      </c>
      <c r="C876" s="4"/>
      <c r="D876" s="4"/>
      <c r="E876" s="848"/>
      <c r="F876" s="848"/>
      <c r="G876" s="16"/>
      <c r="H876" s="853"/>
      <c r="I876" s="848"/>
      <c r="J876" s="848"/>
      <c r="K876" s="125"/>
      <c r="L876" s="16"/>
      <c r="M876" s="8"/>
      <c r="N876" s="848"/>
      <c r="O876" s="431"/>
      <c r="P876" s="848"/>
    </row>
    <row r="877" spans="1:16" s="17" customFormat="1" ht="33" customHeight="1">
      <c r="A877" s="846"/>
      <c r="B877" s="369">
        <v>46385</v>
      </c>
      <c r="C877" s="4"/>
      <c r="D877" s="4"/>
      <c r="E877" s="848"/>
      <c r="F877" s="848"/>
      <c r="G877" s="16"/>
      <c r="H877" s="853"/>
      <c r="I877" s="848"/>
      <c r="J877" s="848"/>
      <c r="K877" s="125"/>
      <c r="L877" s="16"/>
      <c r="M877" s="8"/>
      <c r="N877" s="848"/>
      <c r="O877" s="431"/>
      <c r="P877" s="848"/>
    </row>
    <row r="878" spans="1:16" s="17" customFormat="1" ht="33" customHeight="1">
      <c r="A878" s="846"/>
      <c r="B878" s="369">
        <v>46386</v>
      </c>
      <c r="C878" s="4"/>
      <c r="D878" s="4"/>
      <c r="E878" s="848"/>
      <c r="F878" s="848"/>
      <c r="G878" s="16"/>
      <c r="H878" s="853"/>
      <c r="I878" s="848"/>
      <c r="J878" s="848"/>
      <c r="K878" s="125"/>
      <c r="L878" s="16"/>
      <c r="M878" s="8"/>
      <c r="N878" s="852"/>
      <c r="O878" s="430"/>
      <c r="P878" s="848"/>
    </row>
    <row r="879" spans="1:16" s="17" customFormat="1" ht="33" customHeight="1">
      <c r="A879" s="846"/>
      <c r="B879" s="369">
        <v>46387</v>
      </c>
      <c r="C879" s="4"/>
      <c r="D879" s="4"/>
      <c r="E879" s="848"/>
      <c r="F879" s="848"/>
      <c r="G879" s="16"/>
      <c r="H879" s="853"/>
      <c r="I879" s="848"/>
      <c r="J879" s="848"/>
      <c r="K879" s="125"/>
      <c r="L879" s="16"/>
      <c r="M879" s="8"/>
      <c r="N879" s="852"/>
      <c r="O879" s="430"/>
      <c r="P879" s="848"/>
    </row>
    <row r="880" spans="1:16" s="17" customFormat="1" ht="33" customHeight="1">
      <c r="A880" s="846"/>
      <c r="B880" s="369">
        <v>46388</v>
      </c>
      <c r="C880" s="4"/>
      <c r="D880" s="4"/>
      <c r="E880" s="848"/>
      <c r="F880" s="848"/>
      <c r="G880" s="16"/>
      <c r="H880" s="853"/>
      <c r="I880" s="848"/>
      <c r="J880" s="853"/>
      <c r="K880" s="125"/>
      <c r="L880" s="16"/>
      <c r="M880" s="8"/>
      <c r="N880" s="852"/>
      <c r="O880" s="430"/>
      <c r="P880" s="848"/>
    </row>
    <row r="881" spans="1:16" s="17" customFormat="1" ht="33" customHeight="1">
      <c r="A881" s="847"/>
      <c r="B881" s="369">
        <v>46389</v>
      </c>
      <c r="C881" s="4"/>
      <c r="D881" s="4"/>
      <c r="E881" s="291"/>
      <c r="F881" s="848"/>
      <c r="G881" s="16"/>
      <c r="H881" s="853"/>
      <c r="I881" s="848"/>
      <c r="J881" s="848"/>
      <c r="K881" s="125"/>
      <c r="L881" s="16"/>
      <c r="M881" s="8"/>
      <c r="N881" s="848"/>
      <c r="O881" s="432"/>
      <c r="P881" s="848"/>
    </row>
  </sheetData>
  <mergeCells count="19">
    <mergeCell ref="A1:M1"/>
    <mergeCell ref="P93:S93"/>
    <mergeCell ref="P22:S22"/>
    <mergeCell ref="P27:S27"/>
    <mergeCell ref="P36:S36"/>
    <mergeCell ref="P41:S41"/>
    <mergeCell ref="P40:S40"/>
    <mergeCell ref="P37:S37"/>
    <mergeCell ref="P83:S83"/>
    <mergeCell ref="P85:S85"/>
    <mergeCell ref="P43:S43"/>
    <mergeCell ref="P61:S61"/>
    <mergeCell ref="P64:S64"/>
    <mergeCell ref="P182:S182"/>
    <mergeCell ref="P169:S169"/>
    <mergeCell ref="P67:S67"/>
    <mergeCell ref="P74:S74"/>
    <mergeCell ref="A570:A572"/>
    <mergeCell ref="A548:A551"/>
  </mergeCells>
  <phoneticPr fontId="2" type="noConversion"/>
  <pageMargins left="0.7" right="0.7" top="0.75" bottom="0.75" header="0.3" footer="0.3"/>
  <pageSetup paperSize="9" scale="10" orientation="landscape" r:id="rId1"/>
  <rowBreaks count="1" manualBreakCount="1">
    <brk id="20" max="16383" man="1"/>
  </rowBreaks>
  <colBreaks count="1" manualBreakCount="1">
    <brk id="15" max="1048575" man="1"/>
  </colBreaks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S1724"/>
  <sheetViews>
    <sheetView zoomScaleNormal="100" zoomScaleSheetLayoutView="115" workbookViewId="0">
      <pane ySplit="2" topLeftCell="A1711" activePane="bottomLeft" state="frozen"/>
      <selection pane="bottomLeft" activeCell="G1723" sqref="G1723"/>
    </sheetView>
  </sheetViews>
  <sheetFormatPr defaultRowHeight="16.5"/>
  <cols>
    <col min="1" max="1" width="9.875" bestFit="1" customWidth="1"/>
    <col min="4" max="4" width="10.375" customWidth="1"/>
    <col min="7" max="7" width="10.625" customWidth="1"/>
    <col min="9" max="9" width="40" customWidth="1"/>
    <col min="10" max="10" width="9.75" customWidth="1"/>
    <col min="11" max="11" width="18.5" style="118" customWidth="1"/>
    <col min="13" max="13" width="10.5" style="109" bestFit="1" customWidth="1"/>
    <col min="14" max="14" width="35.875" customWidth="1"/>
    <col min="17" max="17" width="10.875" bestFit="1" customWidth="1"/>
    <col min="18" max="18" width="11.875" bestFit="1" customWidth="1"/>
  </cols>
  <sheetData>
    <row r="1" spans="1:14">
      <c r="A1" s="1057" t="s">
        <v>161</v>
      </c>
      <c r="B1" s="1057" t="s">
        <v>162</v>
      </c>
      <c r="C1" s="1055" t="s">
        <v>1</v>
      </c>
      <c r="D1" s="1055" t="s">
        <v>2</v>
      </c>
      <c r="E1" s="1055" t="s">
        <v>3</v>
      </c>
      <c r="F1" s="27" t="s">
        <v>54</v>
      </c>
      <c r="G1" s="1055" t="s">
        <v>5</v>
      </c>
      <c r="H1" s="1055" t="s">
        <v>6</v>
      </c>
      <c r="I1" s="1055" t="s">
        <v>7</v>
      </c>
      <c r="J1" s="1055" t="s">
        <v>55</v>
      </c>
      <c r="K1" s="1059" t="s">
        <v>483</v>
      </c>
      <c r="L1" s="1061" t="s">
        <v>56</v>
      </c>
      <c r="M1" s="1053" t="s">
        <v>57</v>
      </c>
      <c r="N1" s="1055" t="s">
        <v>58</v>
      </c>
    </row>
    <row r="2" spans="1:14">
      <c r="A2" s="1058"/>
      <c r="B2" s="1058"/>
      <c r="C2" s="1056"/>
      <c r="D2" s="1056"/>
      <c r="E2" s="1056"/>
      <c r="F2" s="28" t="s">
        <v>59</v>
      </c>
      <c r="G2" s="1056"/>
      <c r="H2" s="1056"/>
      <c r="I2" s="1056"/>
      <c r="J2" s="1056"/>
      <c r="K2" s="1060"/>
      <c r="L2" s="1062"/>
      <c r="M2" s="1054"/>
      <c r="N2" s="1056"/>
    </row>
    <row r="3" spans="1:14" ht="27">
      <c r="A3" s="55">
        <v>1</v>
      </c>
      <c r="B3" s="1016" t="s">
        <v>163</v>
      </c>
      <c r="C3" s="2">
        <v>44928</v>
      </c>
      <c r="D3" s="3" t="s">
        <v>21</v>
      </c>
      <c r="E3" s="4" t="s">
        <v>30</v>
      </c>
      <c r="F3" s="3" t="s">
        <v>26</v>
      </c>
      <c r="G3" s="3">
        <v>7060</v>
      </c>
      <c r="H3" s="3" t="s">
        <v>37</v>
      </c>
      <c r="I3" s="5" t="s">
        <v>93</v>
      </c>
      <c r="J3" s="13" t="s">
        <v>76</v>
      </c>
      <c r="K3" s="32" t="s">
        <v>68</v>
      </c>
      <c r="L3" s="6" t="s">
        <v>32</v>
      </c>
      <c r="M3" s="29">
        <v>300000</v>
      </c>
      <c r="N3" s="4" t="s">
        <v>97</v>
      </c>
    </row>
    <row r="4" spans="1:14">
      <c r="A4" s="55">
        <v>1</v>
      </c>
      <c r="B4" s="1032"/>
      <c r="C4" s="2">
        <v>44929</v>
      </c>
      <c r="D4" s="3" t="s">
        <v>24</v>
      </c>
      <c r="E4" s="4" t="s">
        <v>30</v>
      </c>
      <c r="F4" s="3" t="s">
        <v>26</v>
      </c>
      <c r="G4" s="3">
        <v>7060</v>
      </c>
      <c r="H4" s="3" t="s">
        <v>86</v>
      </c>
      <c r="I4" s="5" t="s">
        <v>89</v>
      </c>
      <c r="J4" s="30" t="s">
        <v>73</v>
      </c>
      <c r="K4" s="32" t="s">
        <v>60</v>
      </c>
      <c r="L4" s="6" t="s">
        <v>15</v>
      </c>
      <c r="M4" s="29">
        <v>300000</v>
      </c>
      <c r="N4" s="4" t="s">
        <v>61</v>
      </c>
    </row>
    <row r="5" spans="1:14">
      <c r="A5" s="55">
        <v>1</v>
      </c>
      <c r="B5" s="1017"/>
      <c r="C5" s="35">
        <v>44930</v>
      </c>
      <c r="D5" s="3" t="s">
        <v>24</v>
      </c>
      <c r="E5" s="4" t="s">
        <v>30</v>
      </c>
      <c r="F5" s="3" t="s">
        <v>26</v>
      </c>
      <c r="G5" s="3">
        <v>7060</v>
      </c>
      <c r="H5" s="3" t="s">
        <v>86</v>
      </c>
      <c r="I5" s="9" t="s">
        <v>89</v>
      </c>
      <c r="J5" s="13" t="s">
        <v>73</v>
      </c>
      <c r="K5" s="3" t="s">
        <v>60</v>
      </c>
      <c r="L5" s="6" t="s">
        <v>15</v>
      </c>
      <c r="M5" s="29">
        <v>300000</v>
      </c>
      <c r="N5" s="4" t="s">
        <v>61</v>
      </c>
    </row>
    <row r="6" spans="1:14" ht="27">
      <c r="A6" s="55">
        <v>2</v>
      </c>
      <c r="B6" s="1037" t="s">
        <v>20</v>
      </c>
      <c r="C6" s="38" t="s">
        <v>134</v>
      </c>
      <c r="D6" s="52" t="s">
        <v>124</v>
      </c>
      <c r="E6" s="52" t="s">
        <v>25</v>
      </c>
      <c r="F6" s="39" t="s">
        <v>20</v>
      </c>
      <c r="G6" s="52">
        <v>4203</v>
      </c>
      <c r="H6" s="52" t="s">
        <v>18</v>
      </c>
      <c r="I6" s="38" t="s">
        <v>130</v>
      </c>
      <c r="J6" s="52" t="s">
        <v>94</v>
      </c>
      <c r="K6" s="44" t="s">
        <v>135</v>
      </c>
      <c r="L6" s="40" t="s">
        <v>15</v>
      </c>
      <c r="M6" s="41">
        <v>1000000</v>
      </c>
      <c r="N6" s="52" t="s">
        <v>131</v>
      </c>
    </row>
    <row r="7" spans="1:14">
      <c r="A7" s="55">
        <v>2</v>
      </c>
      <c r="B7" s="1038"/>
      <c r="C7" s="42" t="s">
        <v>132</v>
      </c>
      <c r="D7" s="52" t="s">
        <v>124</v>
      </c>
      <c r="E7" s="52" t="s">
        <v>25</v>
      </c>
      <c r="F7" s="39" t="s">
        <v>20</v>
      </c>
      <c r="G7" s="52">
        <v>4203</v>
      </c>
      <c r="H7" s="52" t="s">
        <v>125</v>
      </c>
      <c r="I7" s="43" t="s">
        <v>136</v>
      </c>
      <c r="J7" s="52" t="s">
        <v>126</v>
      </c>
      <c r="K7" s="126" t="s">
        <v>133</v>
      </c>
      <c r="L7" s="40" t="s">
        <v>15</v>
      </c>
      <c r="M7" s="41">
        <v>500000</v>
      </c>
      <c r="N7" s="52" t="s">
        <v>131</v>
      </c>
    </row>
    <row r="8" spans="1:14">
      <c r="A8" s="55">
        <v>2</v>
      </c>
      <c r="B8" s="1016" t="s">
        <v>96</v>
      </c>
      <c r="C8" s="53">
        <v>44935</v>
      </c>
      <c r="D8" s="44" t="s">
        <v>21</v>
      </c>
      <c r="E8" s="45" t="s">
        <v>14</v>
      </c>
      <c r="F8" s="44" t="s">
        <v>22</v>
      </c>
      <c r="G8" s="44">
        <v>7059</v>
      </c>
      <c r="H8" s="44" t="s">
        <v>23</v>
      </c>
      <c r="I8" s="46" t="s">
        <v>65</v>
      </c>
      <c r="J8" s="47" t="s">
        <v>88</v>
      </c>
      <c r="K8" s="65" t="s">
        <v>111</v>
      </c>
      <c r="L8" s="48" t="s">
        <v>15</v>
      </c>
      <c r="M8" s="49">
        <v>180000</v>
      </c>
      <c r="N8" s="45" t="s">
        <v>127</v>
      </c>
    </row>
    <row r="9" spans="1:14">
      <c r="A9" s="55">
        <v>2</v>
      </c>
      <c r="B9" s="1032"/>
      <c r="C9" s="1063">
        <v>44936</v>
      </c>
      <c r="D9" s="44" t="s">
        <v>21</v>
      </c>
      <c r="E9" s="45" t="s">
        <v>17</v>
      </c>
      <c r="F9" s="44" t="s">
        <v>78</v>
      </c>
      <c r="G9" s="44" t="s">
        <v>82</v>
      </c>
      <c r="H9" s="44" t="s">
        <v>67</v>
      </c>
      <c r="I9" s="46" t="s">
        <v>91</v>
      </c>
      <c r="J9" s="47" t="s">
        <v>88</v>
      </c>
      <c r="K9" s="65" t="s">
        <v>81</v>
      </c>
      <c r="L9" s="48" t="s">
        <v>15</v>
      </c>
      <c r="M9" s="49">
        <v>300000</v>
      </c>
      <c r="N9" s="45" t="s">
        <v>127</v>
      </c>
    </row>
    <row r="10" spans="1:14" ht="27">
      <c r="A10" s="55">
        <v>2</v>
      </c>
      <c r="B10" s="1032"/>
      <c r="C10" s="1064"/>
      <c r="D10" s="3" t="s">
        <v>21</v>
      </c>
      <c r="E10" s="4" t="s">
        <v>14</v>
      </c>
      <c r="F10" s="3" t="s">
        <v>22</v>
      </c>
      <c r="G10" s="3">
        <v>7060</v>
      </c>
      <c r="H10" s="3" t="s">
        <v>37</v>
      </c>
      <c r="I10" s="5" t="s">
        <v>92</v>
      </c>
      <c r="J10" s="13" t="s">
        <v>87</v>
      </c>
      <c r="K10" s="32" t="s">
        <v>137</v>
      </c>
      <c r="L10" s="6" t="s">
        <v>15</v>
      </c>
      <c r="M10" s="49">
        <v>300000</v>
      </c>
      <c r="N10" s="45"/>
    </row>
    <row r="11" spans="1:14" ht="27">
      <c r="A11" s="55">
        <v>2</v>
      </c>
      <c r="B11" s="1032"/>
      <c r="C11" s="54">
        <v>44937</v>
      </c>
      <c r="D11" s="44" t="s">
        <v>21</v>
      </c>
      <c r="E11" s="45" t="s">
        <v>14</v>
      </c>
      <c r="F11" s="44" t="s">
        <v>107</v>
      </c>
      <c r="G11" s="44" t="s">
        <v>108</v>
      </c>
      <c r="H11" s="44" t="s">
        <v>109</v>
      </c>
      <c r="I11" s="46" t="s">
        <v>110</v>
      </c>
      <c r="J11" s="50" t="s">
        <v>117</v>
      </c>
      <c r="K11" s="65" t="s">
        <v>111</v>
      </c>
      <c r="L11" s="48" t="s">
        <v>15</v>
      </c>
      <c r="M11" s="49">
        <v>180000</v>
      </c>
      <c r="N11" s="45" t="s">
        <v>128</v>
      </c>
    </row>
    <row r="12" spans="1:14">
      <c r="A12" s="55">
        <v>2</v>
      </c>
      <c r="B12" s="1032"/>
      <c r="C12" s="1063">
        <v>44938</v>
      </c>
      <c r="D12" s="44" t="s">
        <v>21</v>
      </c>
      <c r="E12" s="45" t="s">
        <v>14</v>
      </c>
      <c r="F12" s="44" t="s">
        <v>22</v>
      </c>
      <c r="G12" s="44">
        <v>7060</v>
      </c>
      <c r="H12" s="44" t="s">
        <v>71</v>
      </c>
      <c r="I12" s="46" t="s">
        <v>122</v>
      </c>
      <c r="J12" s="45" t="s">
        <v>73</v>
      </c>
      <c r="K12" s="65" t="s">
        <v>74</v>
      </c>
      <c r="L12" s="48" t="s">
        <v>15</v>
      </c>
      <c r="M12" s="49">
        <v>600000</v>
      </c>
      <c r="N12" s="45" t="s">
        <v>128</v>
      </c>
    </row>
    <row r="13" spans="1:14" ht="27">
      <c r="A13" s="55">
        <v>2</v>
      </c>
      <c r="B13" s="1032"/>
      <c r="C13" s="1065"/>
      <c r="D13" s="44" t="s">
        <v>21</v>
      </c>
      <c r="E13" s="45" t="s">
        <v>17</v>
      </c>
      <c r="F13" s="44" t="s">
        <v>27</v>
      </c>
      <c r="G13" s="51" t="s">
        <v>38</v>
      </c>
      <c r="H13" s="44" t="s">
        <v>28</v>
      </c>
      <c r="I13" s="46" t="s">
        <v>39</v>
      </c>
      <c r="J13" s="47" t="s">
        <v>116</v>
      </c>
      <c r="K13" s="65" t="s">
        <v>118</v>
      </c>
      <c r="L13" s="48" t="s">
        <v>105</v>
      </c>
      <c r="M13" s="49">
        <v>360000</v>
      </c>
      <c r="N13" s="45" t="s">
        <v>129</v>
      </c>
    </row>
    <row r="14" spans="1:14">
      <c r="A14" s="55">
        <v>2</v>
      </c>
      <c r="B14" s="1032"/>
      <c r="C14" s="1064"/>
      <c r="D14" s="44" t="s">
        <v>113</v>
      </c>
      <c r="E14" s="45" t="s">
        <v>17</v>
      </c>
      <c r="F14" s="44" t="s">
        <v>78</v>
      </c>
      <c r="G14" s="44" t="s">
        <v>114</v>
      </c>
      <c r="H14" s="44" t="s">
        <v>115</v>
      </c>
      <c r="I14" s="46" t="s">
        <v>103</v>
      </c>
      <c r="J14" s="50" t="s">
        <v>85</v>
      </c>
      <c r="K14" s="65" t="s">
        <v>68</v>
      </c>
      <c r="L14" s="48" t="s">
        <v>15</v>
      </c>
      <c r="M14" s="49">
        <v>300000</v>
      </c>
      <c r="N14" s="45" t="s">
        <v>127</v>
      </c>
    </row>
    <row r="15" spans="1:14">
      <c r="A15" s="55">
        <v>2</v>
      </c>
      <c r="B15" s="1032"/>
      <c r="C15" s="1063">
        <f>C12+1</f>
        <v>44939</v>
      </c>
      <c r="D15" s="44" t="s">
        <v>21</v>
      </c>
      <c r="E15" s="45" t="s">
        <v>14</v>
      </c>
      <c r="F15" s="44" t="s">
        <v>22</v>
      </c>
      <c r="G15" s="44">
        <v>7060</v>
      </c>
      <c r="H15" s="44" t="s">
        <v>71</v>
      </c>
      <c r="I15" s="38" t="s">
        <v>72</v>
      </c>
      <c r="J15" s="45" t="s">
        <v>73</v>
      </c>
      <c r="K15" s="44" t="s">
        <v>74</v>
      </c>
      <c r="L15" s="48" t="s">
        <v>15</v>
      </c>
      <c r="M15" s="49">
        <v>600000</v>
      </c>
      <c r="N15" s="45" t="s">
        <v>128</v>
      </c>
    </row>
    <row r="16" spans="1:14" ht="27">
      <c r="A16" s="55">
        <v>2</v>
      </c>
      <c r="B16" s="1032"/>
      <c r="C16" s="1064"/>
      <c r="D16" s="44" t="s">
        <v>21</v>
      </c>
      <c r="E16" s="45" t="s">
        <v>17</v>
      </c>
      <c r="F16" s="44" t="s">
        <v>27</v>
      </c>
      <c r="G16" s="51" t="s">
        <v>38</v>
      </c>
      <c r="H16" s="44" t="s">
        <v>28</v>
      </c>
      <c r="I16" s="38" t="s">
        <v>39</v>
      </c>
      <c r="J16" s="47" t="s">
        <v>116</v>
      </c>
      <c r="K16" s="44" t="s">
        <v>119</v>
      </c>
      <c r="L16" s="48" t="s">
        <v>105</v>
      </c>
      <c r="M16" s="49">
        <v>360000</v>
      </c>
      <c r="N16" s="45" t="s">
        <v>127</v>
      </c>
    </row>
    <row r="17" spans="1:17">
      <c r="A17" s="55">
        <v>2</v>
      </c>
      <c r="B17" s="1017"/>
      <c r="C17" s="54">
        <v>44940</v>
      </c>
      <c r="D17" s="44" t="s">
        <v>21</v>
      </c>
      <c r="E17" s="45" t="s">
        <v>14</v>
      </c>
      <c r="F17" s="44" t="s">
        <v>22</v>
      </c>
      <c r="G17" s="44">
        <v>7060</v>
      </c>
      <c r="H17" s="44" t="s">
        <v>71</v>
      </c>
      <c r="I17" s="38" t="s">
        <v>72</v>
      </c>
      <c r="J17" s="45" t="s">
        <v>73</v>
      </c>
      <c r="K17" s="44" t="s">
        <v>74</v>
      </c>
      <c r="L17" s="48" t="s">
        <v>15</v>
      </c>
      <c r="M17" s="49">
        <v>600000</v>
      </c>
      <c r="N17" s="45" t="s">
        <v>128</v>
      </c>
    </row>
    <row r="18" spans="1:17">
      <c r="A18" s="55">
        <v>3</v>
      </c>
      <c r="B18" s="1037" t="s">
        <v>123</v>
      </c>
      <c r="C18" s="15">
        <v>44942</v>
      </c>
      <c r="D18" s="52" t="s">
        <v>19</v>
      </c>
      <c r="E18" s="52" t="s">
        <v>25</v>
      </c>
      <c r="F18" s="39" t="s">
        <v>20</v>
      </c>
      <c r="G18" s="52">
        <v>4203</v>
      </c>
      <c r="H18" s="52" t="s">
        <v>18</v>
      </c>
      <c r="I18" s="38" t="s">
        <v>130</v>
      </c>
      <c r="J18" s="52" t="s">
        <v>94</v>
      </c>
      <c r="K18" s="44" t="s">
        <v>133</v>
      </c>
      <c r="L18" s="40" t="s">
        <v>15</v>
      </c>
      <c r="M18" s="41">
        <v>500000</v>
      </c>
      <c r="N18" s="52" t="s">
        <v>131</v>
      </c>
    </row>
    <row r="19" spans="1:17">
      <c r="A19" s="55">
        <v>3</v>
      </c>
      <c r="B19" s="1038"/>
      <c r="C19" s="15">
        <v>44943</v>
      </c>
      <c r="D19" s="52" t="s">
        <v>19</v>
      </c>
      <c r="E19" s="52" t="s">
        <v>25</v>
      </c>
      <c r="F19" s="39" t="s">
        <v>20</v>
      </c>
      <c r="G19" s="52">
        <v>4207</v>
      </c>
      <c r="H19" s="52" t="s">
        <v>166</v>
      </c>
      <c r="I19" s="38" t="s">
        <v>130</v>
      </c>
      <c r="J19" s="52" t="s">
        <v>94</v>
      </c>
      <c r="K19" s="44" t="s">
        <v>167</v>
      </c>
      <c r="L19" s="40" t="s">
        <v>15</v>
      </c>
      <c r="M19" s="41">
        <v>500000</v>
      </c>
      <c r="N19" s="52" t="s">
        <v>131</v>
      </c>
    </row>
    <row r="20" spans="1:17" ht="27">
      <c r="A20" s="55">
        <v>3</v>
      </c>
      <c r="B20" s="1016" t="s">
        <v>24</v>
      </c>
      <c r="C20" s="15">
        <v>44944</v>
      </c>
      <c r="D20" s="3" t="s">
        <v>21</v>
      </c>
      <c r="E20" s="4" t="s">
        <v>14</v>
      </c>
      <c r="F20" s="3" t="s">
        <v>107</v>
      </c>
      <c r="G20" s="3" t="s">
        <v>144</v>
      </c>
      <c r="H20" s="3" t="s">
        <v>145</v>
      </c>
      <c r="I20" s="5" t="s">
        <v>146</v>
      </c>
      <c r="J20" s="30" t="s">
        <v>98</v>
      </c>
      <c r="K20" s="32" t="s">
        <v>147</v>
      </c>
      <c r="L20" s="6" t="s">
        <v>15</v>
      </c>
      <c r="M20" s="49">
        <v>600000</v>
      </c>
      <c r="N20" s="45" t="s">
        <v>97</v>
      </c>
    </row>
    <row r="21" spans="1:17">
      <c r="A21" s="55">
        <v>3</v>
      </c>
      <c r="B21" s="1017"/>
      <c r="C21" s="15">
        <v>44946</v>
      </c>
      <c r="D21" s="3" t="s">
        <v>24</v>
      </c>
      <c r="E21" s="4" t="s">
        <v>157</v>
      </c>
      <c r="F21" s="3" t="s">
        <v>158</v>
      </c>
      <c r="G21" s="3" t="s">
        <v>101</v>
      </c>
      <c r="H21" s="3" t="s">
        <v>159</v>
      </c>
      <c r="I21" s="9" t="s">
        <v>164</v>
      </c>
      <c r="J21" s="13" t="s">
        <v>85</v>
      </c>
      <c r="K21" s="3" t="s">
        <v>68</v>
      </c>
      <c r="L21" s="6" t="s">
        <v>32</v>
      </c>
      <c r="M21" s="49">
        <v>300000</v>
      </c>
      <c r="N21" s="45" t="s">
        <v>165</v>
      </c>
    </row>
    <row r="22" spans="1:17" ht="27">
      <c r="A22" s="55">
        <v>4</v>
      </c>
      <c r="B22" s="46" t="s">
        <v>20</v>
      </c>
      <c r="C22" s="15" t="s">
        <v>192</v>
      </c>
      <c r="D22" s="52" t="s">
        <v>19</v>
      </c>
      <c r="E22" s="52" t="s">
        <v>25</v>
      </c>
      <c r="F22" s="39" t="s">
        <v>20</v>
      </c>
      <c r="G22" s="52" t="s">
        <v>190</v>
      </c>
      <c r="H22" s="52" t="s">
        <v>23</v>
      </c>
      <c r="I22" s="38" t="s">
        <v>130</v>
      </c>
      <c r="J22" s="52" t="s">
        <v>94</v>
      </c>
      <c r="K22" s="44" t="s">
        <v>191</v>
      </c>
      <c r="L22" s="40" t="s">
        <v>15</v>
      </c>
      <c r="M22" s="41">
        <f>250000*6</f>
        <v>1500000</v>
      </c>
      <c r="N22" s="1037" t="s">
        <v>196</v>
      </c>
    </row>
    <row r="23" spans="1:17" ht="27">
      <c r="A23" s="55">
        <v>4</v>
      </c>
      <c r="B23" s="46" t="s">
        <v>197</v>
      </c>
      <c r="C23" s="15" t="s">
        <v>203</v>
      </c>
      <c r="D23" s="52" t="s">
        <v>19</v>
      </c>
      <c r="E23" s="52" t="s">
        <v>25</v>
      </c>
      <c r="F23" s="39" t="s">
        <v>198</v>
      </c>
      <c r="G23" s="52" t="s">
        <v>199</v>
      </c>
      <c r="H23" s="52" t="s">
        <v>200</v>
      </c>
      <c r="I23" s="46" t="s">
        <v>201</v>
      </c>
      <c r="J23" s="43" t="s">
        <v>202</v>
      </c>
      <c r="K23" s="65" t="s">
        <v>204</v>
      </c>
      <c r="L23" s="40" t="s">
        <v>15</v>
      </c>
      <c r="M23" s="41">
        <f>250000*3</f>
        <v>750000</v>
      </c>
      <c r="N23" s="1038"/>
    </row>
    <row r="24" spans="1:17" ht="27">
      <c r="A24" s="55">
        <v>4</v>
      </c>
      <c r="B24" s="1016" t="s">
        <v>21</v>
      </c>
      <c r="C24" s="1014">
        <v>44951</v>
      </c>
      <c r="D24" s="3" t="s">
        <v>21</v>
      </c>
      <c r="E24" s="4" t="s">
        <v>14</v>
      </c>
      <c r="F24" s="3" t="s">
        <v>107</v>
      </c>
      <c r="G24" s="3" t="s">
        <v>187</v>
      </c>
      <c r="H24" s="3" t="s">
        <v>188</v>
      </c>
      <c r="I24" s="9" t="s">
        <v>189</v>
      </c>
      <c r="J24" s="1022" t="s">
        <v>85</v>
      </c>
      <c r="K24" s="1039" t="s">
        <v>41</v>
      </c>
      <c r="L24" s="6" t="s">
        <v>15</v>
      </c>
      <c r="M24" s="1044">
        <v>180000</v>
      </c>
      <c r="N24" s="45" t="s">
        <v>194</v>
      </c>
    </row>
    <row r="25" spans="1:17" ht="27">
      <c r="A25" s="55">
        <v>4</v>
      </c>
      <c r="B25" s="1032"/>
      <c r="C25" s="1015"/>
      <c r="D25" s="3" t="s">
        <v>21</v>
      </c>
      <c r="E25" s="4" t="s">
        <v>14</v>
      </c>
      <c r="F25" s="3" t="s">
        <v>107</v>
      </c>
      <c r="G25" s="3" t="s">
        <v>187</v>
      </c>
      <c r="H25" s="3" t="s">
        <v>145</v>
      </c>
      <c r="I25" s="9" t="s">
        <v>152</v>
      </c>
      <c r="J25" s="1023"/>
      <c r="K25" s="1040"/>
      <c r="L25" s="6" t="s">
        <v>15</v>
      </c>
      <c r="M25" s="1045"/>
      <c r="N25" s="45" t="s">
        <v>194</v>
      </c>
    </row>
    <row r="26" spans="1:17">
      <c r="A26" s="55">
        <v>4</v>
      </c>
      <c r="B26" s="1032"/>
      <c r="C26" s="1014">
        <v>44953</v>
      </c>
      <c r="D26" s="3" t="s">
        <v>21</v>
      </c>
      <c r="E26" s="4" t="s">
        <v>17</v>
      </c>
      <c r="F26" s="3" t="s">
        <v>158</v>
      </c>
      <c r="G26" s="3" t="s">
        <v>101</v>
      </c>
      <c r="H26" s="3" t="s">
        <v>159</v>
      </c>
      <c r="I26" s="9" t="s">
        <v>160</v>
      </c>
      <c r="J26" s="1022" t="s">
        <v>183</v>
      </c>
      <c r="K26" s="3" t="s">
        <v>184</v>
      </c>
      <c r="L26" s="6" t="s">
        <v>185</v>
      </c>
      <c r="M26" s="49">
        <v>300000</v>
      </c>
      <c r="N26" s="45" t="s">
        <v>195</v>
      </c>
    </row>
    <row r="27" spans="1:17">
      <c r="A27" s="55">
        <v>4</v>
      </c>
      <c r="B27" s="1017"/>
      <c r="C27" s="1015"/>
      <c r="D27" s="3" t="s">
        <v>21</v>
      </c>
      <c r="E27" s="4" t="s">
        <v>177</v>
      </c>
      <c r="F27" s="14" t="s">
        <v>179</v>
      </c>
      <c r="G27" s="14" t="s">
        <v>178</v>
      </c>
      <c r="H27" s="3" t="s">
        <v>180</v>
      </c>
      <c r="I27" s="9" t="s">
        <v>193</v>
      </c>
      <c r="J27" s="1023"/>
      <c r="K27" s="3" t="s">
        <v>182</v>
      </c>
      <c r="L27" s="6" t="s">
        <v>181</v>
      </c>
      <c r="M27" s="49">
        <v>300000</v>
      </c>
      <c r="N27" s="45" t="s">
        <v>61</v>
      </c>
    </row>
    <row r="28" spans="1:17">
      <c r="A28" s="55">
        <v>5</v>
      </c>
      <c r="B28" s="45" t="s">
        <v>21</v>
      </c>
      <c r="C28" s="15">
        <v>44944</v>
      </c>
      <c r="D28" s="3" t="s">
        <v>21</v>
      </c>
      <c r="E28" s="4" t="s">
        <v>14</v>
      </c>
      <c r="F28" s="3" t="s">
        <v>22</v>
      </c>
      <c r="G28" s="3">
        <v>7060</v>
      </c>
      <c r="H28" s="3" t="s">
        <v>212</v>
      </c>
      <c r="I28" s="9" t="s">
        <v>213</v>
      </c>
      <c r="J28" s="13" t="s">
        <v>215</v>
      </c>
      <c r="K28" s="3" t="s">
        <v>60</v>
      </c>
      <c r="L28" s="6" t="s">
        <v>15</v>
      </c>
      <c r="M28" s="98">
        <v>300000</v>
      </c>
      <c r="N28" s="45" t="s">
        <v>214</v>
      </c>
    </row>
    <row r="29" spans="1:17" ht="27">
      <c r="A29" s="55">
        <v>6</v>
      </c>
      <c r="B29" s="45" t="s">
        <v>240</v>
      </c>
      <c r="C29" s="15" t="s">
        <v>241</v>
      </c>
      <c r="D29" s="3" t="s">
        <v>19</v>
      </c>
      <c r="E29" s="4" t="s">
        <v>242</v>
      </c>
      <c r="F29" s="3" t="s">
        <v>243</v>
      </c>
      <c r="G29" s="14" t="s">
        <v>244</v>
      </c>
      <c r="H29" s="3" t="s">
        <v>23</v>
      </c>
      <c r="I29" s="9" t="s">
        <v>245</v>
      </c>
      <c r="J29" s="13" t="s">
        <v>94</v>
      </c>
      <c r="K29" s="3" t="s">
        <v>246</v>
      </c>
      <c r="L29" s="6" t="s">
        <v>15</v>
      </c>
      <c r="M29" s="98">
        <f>250000*4</f>
        <v>1000000</v>
      </c>
      <c r="N29" s="45" t="s">
        <v>247</v>
      </c>
    </row>
    <row r="30" spans="1:17" ht="27">
      <c r="A30" s="55">
        <v>6</v>
      </c>
      <c r="B30" s="1016" t="s">
        <v>21</v>
      </c>
      <c r="C30" s="15">
        <v>44964</v>
      </c>
      <c r="D30" s="3" t="s">
        <v>21</v>
      </c>
      <c r="E30" s="4" t="s">
        <v>14</v>
      </c>
      <c r="F30" s="3" t="s">
        <v>107</v>
      </c>
      <c r="G30" s="3" t="s">
        <v>144</v>
      </c>
      <c r="H30" s="3" t="s">
        <v>205</v>
      </c>
      <c r="I30" s="9" t="s">
        <v>217</v>
      </c>
      <c r="J30" s="13" t="s">
        <v>235</v>
      </c>
      <c r="K30" s="3" t="s">
        <v>236</v>
      </c>
      <c r="L30" s="6" t="s">
        <v>233</v>
      </c>
      <c r="M30" s="60">
        <v>180000</v>
      </c>
      <c r="N30" s="45" t="s">
        <v>248</v>
      </c>
    </row>
    <row r="31" spans="1:17" ht="27">
      <c r="A31" s="55">
        <v>6</v>
      </c>
      <c r="B31" s="1032"/>
      <c r="C31" s="15">
        <v>44965</v>
      </c>
      <c r="D31" s="3" t="s">
        <v>21</v>
      </c>
      <c r="E31" s="4" t="s">
        <v>14</v>
      </c>
      <c r="F31" s="3" t="s">
        <v>107</v>
      </c>
      <c r="G31" s="3" t="s">
        <v>144</v>
      </c>
      <c r="H31" s="3" t="s">
        <v>205</v>
      </c>
      <c r="I31" s="9" t="s">
        <v>217</v>
      </c>
      <c r="J31" s="13" t="s">
        <v>235</v>
      </c>
      <c r="K31" s="3" t="s">
        <v>237</v>
      </c>
      <c r="L31" s="6" t="s">
        <v>239</v>
      </c>
      <c r="M31" s="60">
        <v>480000</v>
      </c>
      <c r="N31" s="45" t="s">
        <v>248</v>
      </c>
    </row>
    <row r="32" spans="1:17" ht="27">
      <c r="A32" s="55">
        <v>6</v>
      </c>
      <c r="B32" s="1032"/>
      <c r="C32" s="1014">
        <v>44966</v>
      </c>
      <c r="D32" s="3" t="s">
        <v>21</v>
      </c>
      <c r="E32" s="4" t="s">
        <v>14</v>
      </c>
      <c r="F32" s="3" t="s">
        <v>107</v>
      </c>
      <c r="G32" s="3" t="s">
        <v>144</v>
      </c>
      <c r="H32" s="3" t="s">
        <v>205</v>
      </c>
      <c r="I32" s="9" t="s">
        <v>217</v>
      </c>
      <c r="J32" s="13" t="s">
        <v>235</v>
      </c>
      <c r="K32" s="3" t="s">
        <v>237</v>
      </c>
      <c r="L32" s="6" t="s">
        <v>239</v>
      </c>
      <c r="M32" s="60">
        <v>480000</v>
      </c>
      <c r="N32" s="45" t="s">
        <v>248</v>
      </c>
      <c r="O32" t="s">
        <v>296</v>
      </c>
      <c r="P32" t="s">
        <v>297</v>
      </c>
      <c r="Q32" t="s">
        <v>295</v>
      </c>
    </row>
    <row r="33" spans="1:17" ht="27">
      <c r="A33" s="55">
        <v>6</v>
      </c>
      <c r="B33" s="1032"/>
      <c r="C33" s="1015"/>
      <c r="D33" s="3" t="s">
        <v>21</v>
      </c>
      <c r="E33" s="4" t="s">
        <v>14</v>
      </c>
      <c r="F33" s="3" t="s">
        <v>107</v>
      </c>
      <c r="G33" s="3" t="s">
        <v>144</v>
      </c>
      <c r="H33" s="3" t="s">
        <v>145</v>
      </c>
      <c r="I33" s="5" t="s">
        <v>176</v>
      </c>
      <c r="J33" s="13" t="s">
        <v>87</v>
      </c>
      <c r="K33" s="32" t="s">
        <v>222</v>
      </c>
      <c r="L33" s="6" t="s">
        <v>239</v>
      </c>
      <c r="M33" s="60">
        <v>600000</v>
      </c>
      <c r="N33" s="45" t="s">
        <v>248</v>
      </c>
      <c r="O33">
        <f>4+8+4+9+10</f>
        <v>35</v>
      </c>
      <c r="P33" t="s">
        <v>294</v>
      </c>
      <c r="Q33">
        <v>2</v>
      </c>
    </row>
    <row r="34" spans="1:17">
      <c r="A34" s="55">
        <v>6</v>
      </c>
      <c r="B34" s="1017"/>
      <c r="C34" s="15">
        <v>44967</v>
      </c>
      <c r="D34" s="3" t="s">
        <v>21</v>
      </c>
      <c r="E34" s="4" t="s">
        <v>14</v>
      </c>
      <c r="F34" s="3" t="s">
        <v>22</v>
      </c>
      <c r="G34" s="3">
        <v>7060</v>
      </c>
      <c r="H34" s="3" t="s">
        <v>86</v>
      </c>
      <c r="I34" s="9" t="s">
        <v>231</v>
      </c>
      <c r="J34" s="13" t="s">
        <v>234</v>
      </c>
      <c r="K34" s="3" t="s">
        <v>254</v>
      </c>
      <c r="L34" s="6" t="s">
        <v>233</v>
      </c>
      <c r="M34" s="60">
        <v>180000</v>
      </c>
      <c r="N34" s="45" t="s">
        <v>249</v>
      </c>
    </row>
    <row r="35" spans="1:17" ht="16.5" customHeight="1">
      <c r="A35" s="55">
        <v>7</v>
      </c>
      <c r="B35" s="1016" t="s">
        <v>20</v>
      </c>
      <c r="C35" s="1014" t="s">
        <v>257</v>
      </c>
      <c r="D35" s="61" t="s">
        <v>19</v>
      </c>
      <c r="E35" s="9" t="s">
        <v>25</v>
      </c>
      <c r="F35" s="61" t="s">
        <v>258</v>
      </c>
      <c r="G35" s="62" t="s">
        <v>250</v>
      </c>
      <c r="H35" s="61" t="s">
        <v>260</v>
      </c>
      <c r="I35" s="52" t="s">
        <v>259</v>
      </c>
      <c r="J35" s="13" t="s">
        <v>94</v>
      </c>
      <c r="K35" s="3" t="s">
        <v>261</v>
      </c>
      <c r="L35" s="6" t="s">
        <v>15</v>
      </c>
      <c r="M35" s="98">
        <f>250000*8</f>
        <v>2000000</v>
      </c>
      <c r="N35" s="45" t="s">
        <v>247</v>
      </c>
    </row>
    <row r="36" spans="1:17">
      <c r="A36" s="55">
        <v>7</v>
      </c>
      <c r="B36" s="1017"/>
      <c r="C36" s="1015"/>
      <c r="D36" s="3" t="s">
        <v>19</v>
      </c>
      <c r="E36" s="4" t="s">
        <v>25</v>
      </c>
      <c r="F36" s="3" t="s">
        <v>243</v>
      </c>
      <c r="G36" s="14" t="s">
        <v>244</v>
      </c>
      <c r="H36" s="3" t="s">
        <v>23</v>
      </c>
      <c r="I36" s="4" t="s">
        <v>245</v>
      </c>
      <c r="J36" s="13" t="s">
        <v>94</v>
      </c>
      <c r="K36" s="3" t="s">
        <v>135</v>
      </c>
      <c r="L36" s="6" t="s">
        <v>15</v>
      </c>
      <c r="M36" s="75">
        <f>250000*4</f>
        <v>1000000</v>
      </c>
      <c r="N36" s="45" t="s">
        <v>247</v>
      </c>
    </row>
    <row r="37" spans="1:17" ht="16.5" customHeight="1">
      <c r="A37" s="55">
        <v>8</v>
      </c>
      <c r="B37" s="1016" t="s">
        <v>20</v>
      </c>
      <c r="C37" s="1014" t="s">
        <v>267</v>
      </c>
      <c r="D37" s="61" t="s">
        <v>19</v>
      </c>
      <c r="E37" s="9" t="s">
        <v>25</v>
      </c>
      <c r="F37" s="61" t="s">
        <v>258</v>
      </c>
      <c r="G37" s="62" t="s">
        <v>300</v>
      </c>
      <c r="H37" s="61" t="s">
        <v>260</v>
      </c>
      <c r="I37" s="4" t="s">
        <v>265</v>
      </c>
      <c r="J37" s="13" t="s">
        <v>94</v>
      </c>
      <c r="K37" s="3" t="s">
        <v>268</v>
      </c>
      <c r="L37" s="6" t="s">
        <v>15</v>
      </c>
      <c r="M37" s="75">
        <f>250000*9</f>
        <v>2250000</v>
      </c>
      <c r="N37" s="45" t="s">
        <v>247</v>
      </c>
    </row>
    <row r="38" spans="1:17">
      <c r="A38" s="55">
        <v>8</v>
      </c>
      <c r="B38" s="1017"/>
      <c r="C38" s="1015"/>
      <c r="D38" s="3" t="s">
        <v>19</v>
      </c>
      <c r="E38" s="4" t="s">
        <v>25</v>
      </c>
      <c r="F38" s="3" t="s">
        <v>211</v>
      </c>
      <c r="G38" s="14">
        <v>2460</v>
      </c>
      <c r="H38" s="3" t="s">
        <v>264</v>
      </c>
      <c r="I38" s="9" t="s">
        <v>265</v>
      </c>
      <c r="J38" s="13" t="s">
        <v>94</v>
      </c>
      <c r="K38" s="3" t="s">
        <v>266</v>
      </c>
      <c r="L38" s="6" t="s">
        <v>15</v>
      </c>
      <c r="M38" s="98">
        <f>250000*10</f>
        <v>2500000</v>
      </c>
      <c r="N38" s="45" t="s">
        <v>247</v>
      </c>
      <c r="O38" t="s">
        <v>293</v>
      </c>
    </row>
    <row r="39" spans="1:17">
      <c r="A39" s="55">
        <v>9</v>
      </c>
      <c r="B39" s="1050" t="s">
        <v>291</v>
      </c>
      <c r="C39" s="12">
        <v>44985</v>
      </c>
      <c r="D39" s="3" t="s">
        <v>21</v>
      </c>
      <c r="E39" s="3" t="s">
        <v>30</v>
      </c>
      <c r="F39" s="3" t="s">
        <v>107</v>
      </c>
      <c r="G39" s="3" t="s">
        <v>187</v>
      </c>
      <c r="H39" s="3" t="s">
        <v>274</v>
      </c>
      <c r="I39" s="32" t="s">
        <v>283</v>
      </c>
      <c r="J39" s="14" t="s">
        <v>281</v>
      </c>
      <c r="K39" s="32" t="s">
        <v>255</v>
      </c>
      <c r="L39" s="68" t="s">
        <v>15</v>
      </c>
      <c r="M39" s="98">
        <v>300000</v>
      </c>
      <c r="N39" s="45" t="s">
        <v>289</v>
      </c>
    </row>
    <row r="40" spans="1:17">
      <c r="A40" s="55">
        <v>9</v>
      </c>
      <c r="B40" s="1051"/>
      <c r="C40" s="1014">
        <v>44987</v>
      </c>
      <c r="D40" s="3" t="s">
        <v>21</v>
      </c>
      <c r="E40" s="3" t="s">
        <v>14</v>
      </c>
      <c r="F40" s="3" t="s">
        <v>107</v>
      </c>
      <c r="G40" s="3" t="s">
        <v>144</v>
      </c>
      <c r="H40" s="3" t="s">
        <v>205</v>
      </c>
      <c r="I40" s="3" t="s">
        <v>285</v>
      </c>
      <c r="J40" s="14" t="s">
        <v>287</v>
      </c>
      <c r="K40" s="3" t="s">
        <v>288</v>
      </c>
      <c r="L40" s="68" t="s">
        <v>269</v>
      </c>
      <c r="M40" s="98">
        <v>180000</v>
      </c>
      <c r="N40" s="45" t="s">
        <v>289</v>
      </c>
    </row>
    <row r="41" spans="1:17">
      <c r="A41" s="55">
        <v>9</v>
      </c>
      <c r="B41" s="1051"/>
      <c r="C41" s="1015"/>
      <c r="D41" s="3" t="s">
        <v>21</v>
      </c>
      <c r="E41" s="3" t="s">
        <v>276</v>
      </c>
      <c r="F41" s="3" t="s">
        <v>277</v>
      </c>
      <c r="G41" s="3" t="s">
        <v>278</v>
      </c>
      <c r="H41" s="3" t="s">
        <v>279</v>
      </c>
      <c r="I41" s="3" t="s">
        <v>282</v>
      </c>
      <c r="J41" s="14" t="s">
        <v>275</v>
      </c>
      <c r="K41" s="3" t="s">
        <v>286</v>
      </c>
      <c r="L41" s="68" t="s">
        <v>280</v>
      </c>
      <c r="M41" s="98">
        <v>180000</v>
      </c>
      <c r="N41" s="45" t="s">
        <v>290</v>
      </c>
    </row>
    <row r="42" spans="1:17">
      <c r="A42" s="55">
        <v>9</v>
      </c>
      <c r="B42" s="1052"/>
      <c r="C42" s="15">
        <v>44987</v>
      </c>
      <c r="D42" s="3" t="s">
        <v>21</v>
      </c>
      <c r="E42" s="3" t="s">
        <v>30</v>
      </c>
      <c r="F42" s="3" t="s">
        <v>107</v>
      </c>
      <c r="G42" s="3" t="s">
        <v>187</v>
      </c>
      <c r="H42" s="3" t="s">
        <v>145</v>
      </c>
      <c r="I42" s="3" t="s">
        <v>262</v>
      </c>
      <c r="J42" s="14" t="s">
        <v>284</v>
      </c>
      <c r="K42" s="3" t="s">
        <v>272</v>
      </c>
      <c r="L42" s="68" t="s">
        <v>15</v>
      </c>
      <c r="M42" s="98">
        <v>300000</v>
      </c>
      <c r="N42" s="45" t="s">
        <v>289</v>
      </c>
    </row>
    <row r="43" spans="1:17">
      <c r="A43" s="55">
        <v>10</v>
      </c>
      <c r="B43" s="69" t="s">
        <v>307</v>
      </c>
      <c r="C43" s="70" t="s">
        <v>346</v>
      </c>
      <c r="D43" s="70" t="s">
        <v>306</v>
      </c>
      <c r="E43" s="70" t="s">
        <v>322</v>
      </c>
      <c r="F43" s="70" t="s">
        <v>307</v>
      </c>
      <c r="G43" s="71" t="s">
        <v>364</v>
      </c>
      <c r="H43" s="70" t="s">
        <v>347</v>
      </c>
      <c r="I43" s="72" t="s">
        <v>348</v>
      </c>
      <c r="J43" s="70" t="s">
        <v>349</v>
      </c>
      <c r="K43" s="72" t="s">
        <v>350</v>
      </c>
      <c r="L43" s="70" t="s">
        <v>324</v>
      </c>
      <c r="M43" s="106">
        <v>2000000</v>
      </c>
      <c r="N43" s="64" t="s">
        <v>332</v>
      </c>
    </row>
    <row r="44" spans="1:17">
      <c r="A44" s="55">
        <v>10</v>
      </c>
      <c r="B44" s="1041" t="s">
        <v>311</v>
      </c>
      <c r="C44" s="70" t="s">
        <v>352</v>
      </c>
      <c r="D44" s="70" t="s">
        <v>311</v>
      </c>
      <c r="E44" s="70" t="s">
        <v>320</v>
      </c>
      <c r="F44" s="70" t="s">
        <v>337</v>
      </c>
      <c r="G44" s="70" t="s">
        <v>353</v>
      </c>
      <c r="H44" s="70" t="s">
        <v>354</v>
      </c>
      <c r="I44" s="66" t="s">
        <v>310</v>
      </c>
      <c r="J44" s="70" t="s">
        <v>308</v>
      </c>
      <c r="K44" s="66" t="s">
        <v>328</v>
      </c>
      <c r="L44" s="70" t="s">
        <v>309</v>
      </c>
      <c r="M44" s="106" t="s">
        <v>355</v>
      </c>
      <c r="N44" s="64" t="s">
        <v>340</v>
      </c>
    </row>
    <row r="45" spans="1:17">
      <c r="A45" s="55">
        <v>10</v>
      </c>
      <c r="B45" s="1042"/>
      <c r="C45" s="1041" t="s">
        <v>356</v>
      </c>
      <c r="D45" s="70" t="s">
        <v>311</v>
      </c>
      <c r="E45" s="70" t="s">
        <v>320</v>
      </c>
      <c r="F45" s="70" t="s">
        <v>337</v>
      </c>
      <c r="G45" s="70" t="s">
        <v>353</v>
      </c>
      <c r="H45" s="70" t="s">
        <v>354</v>
      </c>
      <c r="I45" s="66" t="s">
        <v>310</v>
      </c>
      <c r="J45" s="70" t="s">
        <v>308</v>
      </c>
      <c r="K45" s="66" t="s">
        <v>328</v>
      </c>
      <c r="L45" s="70" t="s">
        <v>309</v>
      </c>
      <c r="M45" s="106" t="s">
        <v>355</v>
      </c>
      <c r="N45" s="64" t="s">
        <v>340</v>
      </c>
    </row>
    <row r="46" spans="1:17" ht="25.5">
      <c r="A46" s="55">
        <v>10</v>
      </c>
      <c r="B46" s="1042"/>
      <c r="C46" s="1048"/>
      <c r="D46" s="70" t="s">
        <v>311</v>
      </c>
      <c r="E46" s="70" t="s">
        <v>320</v>
      </c>
      <c r="F46" s="70" t="s">
        <v>337</v>
      </c>
      <c r="G46" s="70" t="s">
        <v>333</v>
      </c>
      <c r="H46" s="70" t="s">
        <v>329</v>
      </c>
      <c r="I46" s="66" t="s">
        <v>357</v>
      </c>
      <c r="J46" s="70" t="s">
        <v>358</v>
      </c>
      <c r="K46" s="66" t="s">
        <v>868</v>
      </c>
      <c r="L46" s="70" t="s">
        <v>309</v>
      </c>
      <c r="M46" s="106" t="s">
        <v>359</v>
      </c>
      <c r="N46" s="64" t="s">
        <v>340</v>
      </c>
    </row>
    <row r="47" spans="1:17">
      <c r="A47" s="55">
        <v>10</v>
      </c>
      <c r="B47" s="1043"/>
      <c r="C47" s="70" t="s">
        <v>360</v>
      </c>
      <c r="D47" s="70" t="s">
        <v>311</v>
      </c>
      <c r="E47" s="70" t="s">
        <v>320</v>
      </c>
      <c r="F47" s="70" t="s">
        <v>337</v>
      </c>
      <c r="G47" s="70" t="s">
        <v>353</v>
      </c>
      <c r="H47" s="70" t="s">
        <v>354</v>
      </c>
      <c r="I47" s="74" t="s">
        <v>310</v>
      </c>
      <c r="J47" s="70" t="s">
        <v>308</v>
      </c>
      <c r="K47" s="74" t="s">
        <v>328</v>
      </c>
      <c r="L47" s="70" t="s">
        <v>309</v>
      </c>
      <c r="M47" s="106" t="s">
        <v>355</v>
      </c>
      <c r="N47" s="64" t="s">
        <v>340</v>
      </c>
    </row>
    <row r="48" spans="1:17" ht="27">
      <c r="A48" s="55">
        <v>11</v>
      </c>
      <c r="B48" s="44" t="s">
        <v>123</v>
      </c>
      <c r="C48" s="15" t="s">
        <v>343</v>
      </c>
      <c r="D48" s="3" t="s">
        <v>124</v>
      </c>
      <c r="E48" s="3" t="s">
        <v>151</v>
      </c>
      <c r="F48" s="14" t="s">
        <v>123</v>
      </c>
      <c r="G48" s="14">
        <v>2461</v>
      </c>
      <c r="H48" s="3" t="s">
        <v>344</v>
      </c>
      <c r="I48" s="32" t="s">
        <v>305</v>
      </c>
      <c r="J48" s="14" t="s">
        <v>94</v>
      </c>
      <c r="K48" s="32" t="s">
        <v>191</v>
      </c>
      <c r="L48" s="67" t="s">
        <v>209</v>
      </c>
      <c r="M48" s="98">
        <f>250000*6</f>
        <v>1500000</v>
      </c>
      <c r="N48" s="45" t="s">
        <v>259</v>
      </c>
    </row>
    <row r="49" spans="1:17">
      <c r="A49" s="55">
        <v>11</v>
      </c>
      <c r="B49" s="1046" t="s">
        <v>96</v>
      </c>
      <c r="C49" s="15">
        <v>44999</v>
      </c>
      <c r="D49" s="3" t="s">
        <v>319</v>
      </c>
      <c r="E49" s="3" t="s">
        <v>321</v>
      </c>
      <c r="F49" s="3" t="s">
        <v>211</v>
      </c>
      <c r="G49" s="3">
        <v>2365</v>
      </c>
      <c r="H49" s="3" t="s">
        <v>304</v>
      </c>
      <c r="I49" s="32" t="s">
        <v>318</v>
      </c>
      <c r="J49" s="14"/>
      <c r="K49" s="32" t="s">
        <v>323</v>
      </c>
      <c r="L49" s="68" t="s">
        <v>317</v>
      </c>
      <c r="M49" s="98">
        <v>500000</v>
      </c>
      <c r="N49" s="45" t="s">
        <v>97</v>
      </c>
    </row>
    <row r="50" spans="1:17" ht="27">
      <c r="A50" s="55">
        <v>11</v>
      </c>
      <c r="B50" s="1049"/>
      <c r="C50" s="15">
        <v>45000</v>
      </c>
      <c r="D50" s="3" t="s">
        <v>21</v>
      </c>
      <c r="E50" s="3" t="s">
        <v>139</v>
      </c>
      <c r="F50" s="3" t="s">
        <v>107</v>
      </c>
      <c r="G50" s="3" t="s">
        <v>334</v>
      </c>
      <c r="H50" s="3" t="s">
        <v>327</v>
      </c>
      <c r="I50" s="32" t="s">
        <v>341</v>
      </c>
      <c r="J50" s="14" t="s">
        <v>326</v>
      </c>
      <c r="K50" s="32" t="s">
        <v>316</v>
      </c>
      <c r="L50" s="68" t="s">
        <v>325</v>
      </c>
      <c r="M50" s="98">
        <v>180000</v>
      </c>
      <c r="N50" s="45" t="s">
        <v>342</v>
      </c>
    </row>
    <row r="51" spans="1:17">
      <c r="A51" s="55">
        <v>11</v>
      </c>
      <c r="B51" s="1049"/>
      <c r="C51" s="15">
        <v>45001</v>
      </c>
      <c r="D51" s="3" t="s">
        <v>96</v>
      </c>
      <c r="E51" s="3" t="s">
        <v>312</v>
      </c>
      <c r="F51" s="3" t="s">
        <v>313</v>
      </c>
      <c r="G51" s="3" t="s">
        <v>314</v>
      </c>
      <c r="H51" s="3" t="s">
        <v>315</v>
      </c>
      <c r="I51" s="32" t="s">
        <v>338</v>
      </c>
      <c r="J51" s="14" t="s">
        <v>88</v>
      </c>
      <c r="K51" s="32" t="s">
        <v>118</v>
      </c>
      <c r="L51" s="68" t="s">
        <v>84</v>
      </c>
      <c r="M51" s="98">
        <v>360000</v>
      </c>
      <c r="N51" s="45" t="s">
        <v>339</v>
      </c>
    </row>
    <row r="52" spans="1:17" ht="27">
      <c r="A52" s="55">
        <v>11</v>
      </c>
      <c r="B52" s="1047"/>
      <c r="C52" s="15">
        <v>45004</v>
      </c>
      <c r="D52" s="3" t="s">
        <v>21</v>
      </c>
      <c r="E52" s="3" t="s">
        <v>139</v>
      </c>
      <c r="F52" s="3" t="s">
        <v>169</v>
      </c>
      <c r="G52" s="3">
        <v>7060</v>
      </c>
      <c r="H52" s="3" t="s">
        <v>171</v>
      </c>
      <c r="I52" s="3" t="s">
        <v>335</v>
      </c>
      <c r="J52" s="3" t="s">
        <v>336</v>
      </c>
      <c r="K52" s="3" t="s">
        <v>173</v>
      </c>
      <c r="L52" s="68"/>
      <c r="M52" s="98">
        <v>600000</v>
      </c>
      <c r="N52" s="45" t="s">
        <v>97</v>
      </c>
      <c r="Q52">
        <v>29</v>
      </c>
    </row>
    <row r="53" spans="1:17">
      <c r="A53" s="55">
        <v>12</v>
      </c>
      <c r="B53" s="69" t="s">
        <v>307</v>
      </c>
      <c r="C53" s="70" t="s">
        <v>375</v>
      </c>
      <c r="D53" s="70" t="s">
        <v>306</v>
      </c>
      <c r="E53" s="70" t="s">
        <v>322</v>
      </c>
      <c r="F53" s="70" t="s">
        <v>307</v>
      </c>
      <c r="G53" s="70">
        <v>2461</v>
      </c>
      <c r="H53" s="70" t="s">
        <v>367</v>
      </c>
      <c r="I53" s="70" t="s">
        <v>348</v>
      </c>
      <c r="J53" s="70" t="s">
        <v>349</v>
      </c>
      <c r="K53" s="70" t="s">
        <v>368</v>
      </c>
      <c r="L53" s="70" t="s">
        <v>324</v>
      </c>
      <c r="M53" s="106">
        <v>1500000</v>
      </c>
      <c r="N53" s="64" t="s">
        <v>332</v>
      </c>
    </row>
    <row r="54" spans="1:17" ht="25.5">
      <c r="A54" s="55">
        <v>12</v>
      </c>
      <c r="B54" s="73" t="s">
        <v>311</v>
      </c>
      <c r="C54" s="72" t="s">
        <v>369</v>
      </c>
      <c r="D54" s="72" t="s">
        <v>311</v>
      </c>
      <c r="E54" s="72" t="s">
        <v>320</v>
      </c>
      <c r="F54" s="72" t="s">
        <v>370</v>
      </c>
      <c r="G54" s="72">
        <v>7060</v>
      </c>
      <c r="H54" s="72" t="s">
        <v>371</v>
      </c>
      <c r="I54" s="72" t="s">
        <v>372</v>
      </c>
      <c r="J54" s="72" t="s">
        <v>373</v>
      </c>
      <c r="K54" s="72" t="s">
        <v>374</v>
      </c>
      <c r="L54" s="72" t="s">
        <v>309</v>
      </c>
      <c r="M54" s="106">
        <v>3000000</v>
      </c>
      <c r="N54" s="64" t="s">
        <v>340</v>
      </c>
    </row>
    <row r="55" spans="1:17" ht="27">
      <c r="A55" s="55">
        <v>13</v>
      </c>
      <c r="B55" s="1046" t="s">
        <v>123</v>
      </c>
      <c r="C55" s="34" t="s">
        <v>363</v>
      </c>
      <c r="D55" s="3" t="s">
        <v>124</v>
      </c>
      <c r="E55" s="3" t="s">
        <v>151</v>
      </c>
      <c r="F55" s="14" t="s">
        <v>123</v>
      </c>
      <c r="G55" s="14">
        <v>2579</v>
      </c>
      <c r="H55" s="3" t="s">
        <v>125</v>
      </c>
      <c r="I55" s="3" t="s">
        <v>305</v>
      </c>
      <c r="J55" s="14" t="s">
        <v>94</v>
      </c>
      <c r="K55" s="3" t="s">
        <v>191</v>
      </c>
      <c r="L55" s="67" t="s">
        <v>209</v>
      </c>
      <c r="M55" s="98">
        <f>250000*6</f>
        <v>1500000</v>
      </c>
      <c r="N55" s="45" t="s">
        <v>259</v>
      </c>
    </row>
    <row r="56" spans="1:17" ht="27">
      <c r="A56" s="55">
        <v>13</v>
      </c>
      <c r="B56" s="1047"/>
      <c r="C56" s="34" t="s">
        <v>363</v>
      </c>
      <c r="D56" s="3" t="s">
        <v>124</v>
      </c>
      <c r="E56" s="3" t="s">
        <v>151</v>
      </c>
      <c r="F56" s="14" t="s">
        <v>123</v>
      </c>
      <c r="G56" s="14" t="s">
        <v>364</v>
      </c>
      <c r="H56" s="3" t="s">
        <v>365</v>
      </c>
      <c r="I56" s="3" t="s">
        <v>305</v>
      </c>
      <c r="J56" s="14" t="s">
        <v>94</v>
      </c>
      <c r="K56" s="3" t="s">
        <v>366</v>
      </c>
      <c r="L56" s="67" t="s">
        <v>209</v>
      </c>
      <c r="M56" s="98">
        <f>250000*4</f>
        <v>1000000</v>
      </c>
      <c r="N56" s="45" t="s">
        <v>259</v>
      </c>
    </row>
    <row r="57" spans="1:17" ht="40.5">
      <c r="A57" s="55">
        <v>14</v>
      </c>
      <c r="B57" s="44" t="s">
        <v>379</v>
      </c>
      <c r="C57" s="34" t="s">
        <v>380</v>
      </c>
      <c r="D57" s="3" t="s">
        <v>19</v>
      </c>
      <c r="E57" s="3" t="s">
        <v>151</v>
      </c>
      <c r="F57" s="14" t="s">
        <v>123</v>
      </c>
      <c r="G57" s="14" t="s">
        <v>364</v>
      </c>
      <c r="H57" s="3" t="s">
        <v>106</v>
      </c>
      <c r="I57" s="3" t="s">
        <v>305</v>
      </c>
      <c r="J57" s="14" t="s">
        <v>94</v>
      </c>
      <c r="K57" s="3" t="s">
        <v>191</v>
      </c>
      <c r="L57" s="67" t="s">
        <v>209</v>
      </c>
      <c r="M57" s="98">
        <f>250000*6</f>
        <v>1500000</v>
      </c>
      <c r="N57" s="44" t="s">
        <v>259</v>
      </c>
    </row>
    <row r="58" spans="1:17" ht="40.5">
      <c r="A58" s="55">
        <v>15</v>
      </c>
      <c r="B58" s="45" t="s">
        <v>20</v>
      </c>
      <c r="C58" s="15" t="s">
        <v>391</v>
      </c>
      <c r="D58" s="3" t="s">
        <v>19</v>
      </c>
      <c r="E58" s="4" t="s">
        <v>25</v>
      </c>
      <c r="F58" s="14" t="s">
        <v>20</v>
      </c>
      <c r="G58" s="14" t="s">
        <v>364</v>
      </c>
      <c r="H58" s="3" t="s">
        <v>23</v>
      </c>
      <c r="I58" s="9" t="s">
        <v>305</v>
      </c>
      <c r="J58" s="13" t="s">
        <v>94</v>
      </c>
      <c r="K58" s="3" t="s">
        <v>135</v>
      </c>
      <c r="L58" s="57" t="s">
        <v>209</v>
      </c>
      <c r="M58" s="98">
        <f>250000*4</f>
        <v>1000000</v>
      </c>
      <c r="N58" s="45" t="s">
        <v>259</v>
      </c>
    </row>
    <row r="59" spans="1:17" ht="54">
      <c r="A59" s="55">
        <v>15</v>
      </c>
      <c r="B59" s="1016" t="s">
        <v>392</v>
      </c>
      <c r="C59" s="15">
        <v>45027</v>
      </c>
      <c r="D59" s="3" t="s">
        <v>21</v>
      </c>
      <c r="E59" s="4" t="s">
        <v>14</v>
      </c>
      <c r="F59" s="3" t="s">
        <v>277</v>
      </c>
      <c r="G59" s="3" t="s">
        <v>388</v>
      </c>
      <c r="H59" s="3" t="s">
        <v>264</v>
      </c>
      <c r="I59" s="9" t="s">
        <v>389</v>
      </c>
      <c r="J59" s="13" t="s">
        <v>88</v>
      </c>
      <c r="K59" s="3" t="s">
        <v>111</v>
      </c>
      <c r="L59" s="6" t="s">
        <v>15</v>
      </c>
      <c r="M59" s="98">
        <v>250000</v>
      </c>
      <c r="N59" s="45" t="s">
        <v>393</v>
      </c>
      <c r="O59">
        <v>1</v>
      </c>
    </row>
    <row r="60" spans="1:17" ht="27">
      <c r="A60" s="55">
        <v>15</v>
      </c>
      <c r="B60" s="1032"/>
      <c r="C60" s="15">
        <v>45028</v>
      </c>
      <c r="D60" s="3" t="s">
        <v>138</v>
      </c>
      <c r="E60" s="4" t="s">
        <v>14</v>
      </c>
      <c r="F60" s="3" t="s">
        <v>22</v>
      </c>
      <c r="G60" s="3">
        <v>7060</v>
      </c>
      <c r="H60" s="3" t="s">
        <v>35</v>
      </c>
      <c r="I60" s="9" t="s">
        <v>390</v>
      </c>
      <c r="J60" s="13" t="s">
        <v>116</v>
      </c>
      <c r="K60" s="3" t="s">
        <v>111</v>
      </c>
      <c r="L60" s="6" t="s">
        <v>15</v>
      </c>
      <c r="M60" s="98">
        <v>250000</v>
      </c>
      <c r="N60" s="45" t="s">
        <v>394</v>
      </c>
      <c r="O60">
        <v>1</v>
      </c>
    </row>
    <row r="61" spans="1:17" ht="27">
      <c r="A61" s="55">
        <v>15</v>
      </c>
      <c r="B61" s="1017"/>
      <c r="C61" s="15">
        <v>45029</v>
      </c>
      <c r="D61" s="3" t="s">
        <v>138</v>
      </c>
      <c r="E61" s="4" t="s">
        <v>14</v>
      </c>
      <c r="F61" s="3" t="s">
        <v>22</v>
      </c>
      <c r="G61" s="3">
        <v>7060</v>
      </c>
      <c r="H61" s="3" t="s">
        <v>35</v>
      </c>
      <c r="I61" s="9" t="s">
        <v>390</v>
      </c>
      <c r="J61" s="13" t="s">
        <v>116</v>
      </c>
      <c r="K61" s="3" t="s">
        <v>111</v>
      </c>
      <c r="L61" s="6" t="s">
        <v>15</v>
      </c>
      <c r="M61" s="98">
        <v>250000</v>
      </c>
      <c r="N61" s="45" t="s">
        <v>395</v>
      </c>
      <c r="O61">
        <v>1</v>
      </c>
    </row>
    <row r="62" spans="1:17">
      <c r="A62" s="55">
        <v>18</v>
      </c>
      <c r="B62" s="89" t="s">
        <v>307</v>
      </c>
      <c r="C62" s="89" t="s">
        <v>415</v>
      </c>
      <c r="D62" s="89" t="s">
        <v>306</v>
      </c>
      <c r="E62" s="89" t="s">
        <v>322</v>
      </c>
      <c r="F62" s="89" t="s">
        <v>307</v>
      </c>
      <c r="G62" s="89" t="s">
        <v>403</v>
      </c>
      <c r="H62" s="89" t="s">
        <v>405</v>
      </c>
      <c r="I62" s="90" t="s">
        <v>420</v>
      </c>
      <c r="J62" s="89" t="s">
        <v>349</v>
      </c>
      <c r="K62" s="89" t="s">
        <v>350</v>
      </c>
      <c r="L62" s="89" t="s">
        <v>324</v>
      </c>
      <c r="M62" s="107" t="s">
        <v>351</v>
      </c>
      <c r="N62" s="89" t="s">
        <v>425</v>
      </c>
    </row>
    <row r="63" spans="1:17" ht="25.5">
      <c r="A63" s="55">
        <v>18</v>
      </c>
      <c r="B63" s="1041" t="s">
        <v>311</v>
      </c>
      <c r="C63" s="89" t="s">
        <v>455</v>
      </c>
      <c r="D63" s="89" t="s">
        <v>311</v>
      </c>
      <c r="E63" s="89" t="s">
        <v>320</v>
      </c>
      <c r="F63" s="89" t="s">
        <v>409</v>
      </c>
      <c r="G63" s="89" t="s">
        <v>403</v>
      </c>
      <c r="H63" s="89" t="s">
        <v>405</v>
      </c>
      <c r="I63" s="90" t="s">
        <v>422</v>
      </c>
      <c r="J63" s="89" t="s">
        <v>414</v>
      </c>
      <c r="K63" s="89" t="s">
        <v>413</v>
      </c>
      <c r="L63" s="89" t="s">
        <v>309</v>
      </c>
      <c r="M63" s="107" t="s">
        <v>456</v>
      </c>
      <c r="N63" s="89" t="s">
        <v>426</v>
      </c>
      <c r="O63">
        <v>3</v>
      </c>
    </row>
    <row r="64" spans="1:17" ht="25.5">
      <c r="A64" s="55">
        <v>18</v>
      </c>
      <c r="B64" s="1042"/>
      <c r="C64" s="89" t="s">
        <v>457</v>
      </c>
      <c r="D64" s="89" t="s">
        <v>311</v>
      </c>
      <c r="E64" s="89" t="s">
        <v>320</v>
      </c>
      <c r="F64" s="89" t="s">
        <v>409</v>
      </c>
      <c r="G64" s="89" t="s">
        <v>403</v>
      </c>
      <c r="H64" s="89" t="s">
        <v>405</v>
      </c>
      <c r="I64" s="90" t="s">
        <v>423</v>
      </c>
      <c r="J64" s="89" t="s">
        <v>414</v>
      </c>
      <c r="K64" s="89" t="s">
        <v>328</v>
      </c>
      <c r="L64" s="89" t="s">
        <v>309</v>
      </c>
      <c r="M64" s="107" t="s">
        <v>458</v>
      </c>
      <c r="N64" s="89" t="s">
        <v>426</v>
      </c>
      <c r="O64">
        <v>2</v>
      </c>
    </row>
    <row r="65" spans="1:15" ht="25.5">
      <c r="A65" s="55">
        <v>18</v>
      </c>
      <c r="B65" s="1043"/>
      <c r="C65" s="89" t="s">
        <v>459</v>
      </c>
      <c r="D65" s="89" t="s">
        <v>311</v>
      </c>
      <c r="E65" s="89" t="s">
        <v>320</v>
      </c>
      <c r="F65" s="89" t="s">
        <v>409</v>
      </c>
      <c r="G65" s="89" t="s">
        <v>403</v>
      </c>
      <c r="H65" s="89" t="s">
        <v>405</v>
      </c>
      <c r="I65" s="90" t="s">
        <v>424</v>
      </c>
      <c r="J65" s="89" t="s">
        <v>414</v>
      </c>
      <c r="K65" s="89" t="s">
        <v>328</v>
      </c>
      <c r="L65" s="89" t="s">
        <v>309</v>
      </c>
      <c r="M65" s="107" t="s">
        <v>458</v>
      </c>
      <c r="N65" s="89" t="s">
        <v>426</v>
      </c>
      <c r="O65">
        <v>2</v>
      </c>
    </row>
    <row r="66" spans="1:15">
      <c r="A66" s="55">
        <v>19</v>
      </c>
      <c r="B66" s="44" t="s">
        <v>123</v>
      </c>
      <c r="C66" s="15" t="s">
        <v>438</v>
      </c>
      <c r="D66" s="3" t="s">
        <v>416</v>
      </c>
      <c r="E66" s="3" t="s">
        <v>417</v>
      </c>
      <c r="F66" s="14" t="s">
        <v>418</v>
      </c>
      <c r="G66" s="14" t="s">
        <v>439</v>
      </c>
      <c r="H66" s="3" t="s">
        <v>419</v>
      </c>
      <c r="I66" s="3" t="s">
        <v>441</v>
      </c>
      <c r="J66" s="14"/>
      <c r="K66" s="3" t="s">
        <v>440</v>
      </c>
      <c r="L66" s="67" t="s">
        <v>421</v>
      </c>
      <c r="M66" s="98">
        <f>250000*2</f>
        <v>500000</v>
      </c>
      <c r="N66" s="44" t="s">
        <v>454</v>
      </c>
    </row>
    <row r="67" spans="1:15">
      <c r="A67" s="55">
        <v>19</v>
      </c>
      <c r="B67" s="1016" t="s">
        <v>64</v>
      </c>
      <c r="C67" s="1014">
        <v>45054</v>
      </c>
      <c r="D67" s="3" t="s">
        <v>64</v>
      </c>
      <c r="E67" s="4" t="s">
        <v>401</v>
      </c>
      <c r="F67" s="3" t="s">
        <v>430</v>
      </c>
      <c r="G67" s="3">
        <v>2459</v>
      </c>
      <c r="H67" s="3" t="s">
        <v>432</v>
      </c>
      <c r="I67" s="9" t="s">
        <v>433</v>
      </c>
      <c r="J67" s="13"/>
      <c r="K67" s="1039" t="s">
        <v>435</v>
      </c>
      <c r="L67" s="6" t="s">
        <v>436</v>
      </c>
      <c r="M67" s="1044">
        <v>750000</v>
      </c>
      <c r="N67" s="45" t="s">
        <v>446</v>
      </c>
    </row>
    <row r="68" spans="1:15" ht="27">
      <c r="A68" s="55">
        <v>19</v>
      </c>
      <c r="B68" s="1032"/>
      <c r="C68" s="1036"/>
      <c r="D68" s="3" t="s">
        <v>429</v>
      </c>
      <c r="E68" s="4" t="s">
        <v>401</v>
      </c>
      <c r="F68" s="3" t="s">
        <v>430</v>
      </c>
      <c r="G68" s="3">
        <v>2459</v>
      </c>
      <c r="H68" s="3" t="s">
        <v>431</v>
      </c>
      <c r="I68" s="9" t="s">
        <v>434</v>
      </c>
      <c r="J68" s="13"/>
      <c r="K68" s="1040"/>
      <c r="L68" s="6" t="s">
        <v>411</v>
      </c>
      <c r="M68" s="1045"/>
      <c r="N68" s="45" t="s">
        <v>445</v>
      </c>
    </row>
    <row r="69" spans="1:15">
      <c r="A69" s="55">
        <v>19</v>
      </c>
      <c r="B69" s="1032"/>
      <c r="C69" s="1015"/>
      <c r="D69" s="3" t="s">
        <v>447</v>
      </c>
      <c r="E69" s="4" t="s">
        <v>448</v>
      </c>
      <c r="F69" s="3" t="s">
        <v>449</v>
      </c>
      <c r="G69" s="3">
        <v>7060</v>
      </c>
      <c r="H69" s="3" t="s">
        <v>450</v>
      </c>
      <c r="I69" s="9" t="s">
        <v>451</v>
      </c>
      <c r="J69" s="13"/>
      <c r="K69" s="3" t="s">
        <v>452</v>
      </c>
      <c r="L69" s="6" t="s">
        <v>436</v>
      </c>
      <c r="M69" s="98">
        <v>300000</v>
      </c>
      <c r="N69" s="45" t="s">
        <v>453</v>
      </c>
    </row>
    <row r="70" spans="1:15">
      <c r="A70" s="55">
        <v>19</v>
      </c>
      <c r="B70" s="1032"/>
      <c r="C70" s="15">
        <v>45055</v>
      </c>
      <c r="D70" s="3" t="s">
        <v>407</v>
      </c>
      <c r="E70" s="4" t="s">
        <v>408</v>
      </c>
      <c r="F70" s="3" t="s">
        <v>156</v>
      </c>
      <c r="G70" s="3" t="s">
        <v>404</v>
      </c>
      <c r="H70" s="3" t="s">
        <v>406</v>
      </c>
      <c r="I70" s="9" t="s">
        <v>442</v>
      </c>
      <c r="J70" s="13" t="s">
        <v>437</v>
      </c>
      <c r="K70" s="3" t="s">
        <v>412</v>
      </c>
      <c r="L70" s="6" t="s">
        <v>84</v>
      </c>
      <c r="M70" s="98">
        <v>500000</v>
      </c>
      <c r="N70" s="45" t="s">
        <v>444</v>
      </c>
      <c r="O70">
        <v>2</v>
      </c>
    </row>
    <row r="71" spans="1:15">
      <c r="A71" s="55">
        <v>19</v>
      </c>
      <c r="B71" s="1017"/>
      <c r="C71" s="34">
        <v>45056</v>
      </c>
      <c r="D71" s="32" t="s">
        <v>407</v>
      </c>
      <c r="E71" s="10" t="s">
        <v>408</v>
      </c>
      <c r="F71" s="32" t="s">
        <v>156</v>
      </c>
      <c r="G71" s="32" t="s">
        <v>404</v>
      </c>
      <c r="H71" s="32" t="s">
        <v>406</v>
      </c>
      <c r="I71" s="5" t="s">
        <v>442</v>
      </c>
      <c r="J71" s="30" t="s">
        <v>443</v>
      </c>
      <c r="K71" s="32" t="s">
        <v>412</v>
      </c>
      <c r="L71" s="81" t="s">
        <v>84</v>
      </c>
      <c r="M71" s="468">
        <v>500000</v>
      </c>
      <c r="N71" s="78" t="s">
        <v>444</v>
      </c>
      <c r="O71">
        <v>2</v>
      </c>
    </row>
    <row r="72" spans="1:15">
      <c r="A72" s="55">
        <v>20</v>
      </c>
      <c r="B72" s="1016" t="s">
        <v>21</v>
      </c>
      <c r="C72" s="15">
        <v>45061</v>
      </c>
      <c r="D72" s="3" t="s">
        <v>138</v>
      </c>
      <c r="E72" s="4" t="s">
        <v>14</v>
      </c>
      <c r="F72" s="3" t="s">
        <v>22</v>
      </c>
      <c r="G72" s="3">
        <v>7060</v>
      </c>
      <c r="H72" s="3" t="s">
        <v>35</v>
      </c>
      <c r="I72" s="9" t="s">
        <v>428</v>
      </c>
      <c r="J72" s="13" t="s">
        <v>90</v>
      </c>
      <c r="K72" s="3" t="s">
        <v>118</v>
      </c>
      <c r="L72" s="6" t="s">
        <v>15</v>
      </c>
      <c r="M72" s="87">
        <v>500000</v>
      </c>
      <c r="N72" s="45" t="s">
        <v>467</v>
      </c>
      <c r="O72">
        <v>2</v>
      </c>
    </row>
    <row r="73" spans="1:15">
      <c r="A73" s="55">
        <v>20</v>
      </c>
      <c r="B73" s="1032"/>
      <c r="C73" s="11">
        <v>45062</v>
      </c>
      <c r="D73" s="82" t="s">
        <v>21</v>
      </c>
      <c r="E73" s="76" t="s">
        <v>14</v>
      </c>
      <c r="F73" s="76" t="s">
        <v>464</v>
      </c>
      <c r="G73" s="82" t="s">
        <v>144</v>
      </c>
      <c r="H73" s="82" t="s">
        <v>145</v>
      </c>
      <c r="I73" s="83" t="s">
        <v>462</v>
      </c>
      <c r="J73" s="77" t="s">
        <v>90</v>
      </c>
      <c r="K73" s="135" t="s">
        <v>463</v>
      </c>
      <c r="L73" s="84" t="s">
        <v>15</v>
      </c>
      <c r="M73" s="85">
        <v>600000</v>
      </c>
      <c r="N73" s="79" t="s">
        <v>97</v>
      </c>
    </row>
    <row r="74" spans="1:15">
      <c r="A74" s="55">
        <v>20</v>
      </c>
      <c r="B74" s="1032"/>
      <c r="C74" s="34">
        <v>45063</v>
      </c>
      <c r="D74" s="32" t="s">
        <v>21</v>
      </c>
      <c r="E74" s="10" t="s">
        <v>14</v>
      </c>
      <c r="F74" s="10" t="s">
        <v>464</v>
      </c>
      <c r="G74" s="32" t="s">
        <v>144</v>
      </c>
      <c r="H74" s="32" t="s">
        <v>145</v>
      </c>
      <c r="I74" s="5" t="s">
        <v>462</v>
      </c>
      <c r="J74" s="30" t="s">
        <v>90</v>
      </c>
      <c r="K74" s="32" t="s">
        <v>463</v>
      </c>
      <c r="L74" s="81" t="s">
        <v>15</v>
      </c>
      <c r="M74" s="80">
        <v>600000</v>
      </c>
      <c r="N74" s="78" t="s">
        <v>97</v>
      </c>
    </row>
    <row r="75" spans="1:15" ht="27">
      <c r="A75" s="55">
        <v>20</v>
      </c>
      <c r="B75" s="1032"/>
      <c r="C75" s="15">
        <v>45064</v>
      </c>
      <c r="D75" s="3" t="s">
        <v>21</v>
      </c>
      <c r="E75" s="4" t="s">
        <v>14</v>
      </c>
      <c r="F75" s="3" t="s">
        <v>78</v>
      </c>
      <c r="G75" s="14" t="s">
        <v>79</v>
      </c>
      <c r="H75" s="14" t="s">
        <v>28</v>
      </c>
      <c r="I75" s="9" t="s">
        <v>465</v>
      </c>
      <c r="J75" s="13" t="s">
        <v>87</v>
      </c>
      <c r="K75" s="3" t="s">
        <v>118</v>
      </c>
      <c r="L75" s="6" t="s">
        <v>15</v>
      </c>
      <c r="M75" s="98">
        <v>500000</v>
      </c>
      <c r="N75" s="45" t="s">
        <v>61</v>
      </c>
      <c r="O75">
        <v>2</v>
      </c>
    </row>
    <row r="76" spans="1:15">
      <c r="A76" s="55">
        <v>20</v>
      </c>
      <c r="B76" s="1017"/>
      <c r="C76" s="11">
        <v>45065</v>
      </c>
      <c r="D76" s="82" t="s">
        <v>21</v>
      </c>
      <c r="E76" s="76" t="s">
        <v>14</v>
      </c>
      <c r="F76" s="82" t="s">
        <v>107</v>
      </c>
      <c r="G76" s="82" t="s">
        <v>270</v>
      </c>
      <c r="H76" s="82" t="s">
        <v>23</v>
      </c>
      <c r="I76" s="86" t="s">
        <v>466</v>
      </c>
      <c r="J76" s="77"/>
      <c r="K76" s="82" t="s">
        <v>60</v>
      </c>
      <c r="L76" s="84" t="s">
        <v>15</v>
      </c>
      <c r="M76" s="469">
        <v>300000</v>
      </c>
      <c r="N76" s="79" t="s">
        <v>97</v>
      </c>
    </row>
    <row r="77" spans="1:15">
      <c r="A77" s="55">
        <v>20</v>
      </c>
      <c r="B77" s="1016" t="s">
        <v>470</v>
      </c>
      <c r="C77" s="15">
        <v>45064</v>
      </c>
      <c r="D77" s="3" t="s">
        <v>19</v>
      </c>
      <c r="E77" s="4" t="s">
        <v>469</v>
      </c>
      <c r="F77" s="4" t="s">
        <v>470</v>
      </c>
      <c r="G77" s="3">
        <v>2518</v>
      </c>
      <c r="H77" s="3" t="s">
        <v>476</v>
      </c>
      <c r="I77" s="9" t="s">
        <v>477</v>
      </c>
      <c r="J77" s="13" t="s">
        <v>473</v>
      </c>
      <c r="K77" s="3" t="s">
        <v>474</v>
      </c>
      <c r="L77" s="57" t="s">
        <v>475</v>
      </c>
      <c r="M77" s="60">
        <v>500000</v>
      </c>
      <c r="N77" s="45" t="s">
        <v>247</v>
      </c>
    </row>
    <row r="78" spans="1:15">
      <c r="A78" s="55">
        <v>20</v>
      </c>
      <c r="B78" s="1032"/>
      <c r="C78" s="15">
        <v>45065</v>
      </c>
      <c r="D78" s="3" t="s">
        <v>19</v>
      </c>
      <c r="E78" s="4" t="s">
        <v>469</v>
      </c>
      <c r="F78" s="4" t="s">
        <v>470</v>
      </c>
      <c r="G78" s="3">
        <v>4207</v>
      </c>
      <c r="H78" s="3" t="s">
        <v>471</v>
      </c>
      <c r="I78" s="9" t="s">
        <v>472</v>
      </c>
      <c r="J78" s="13" t="s">
        <v>473</v>
      </c>
      <c r="K78" s="3" t="s">
        <v>474</v>
      </c>
      <c r="L78" s="57" t="s">
        <v>475</v>
      </c>
      <c r="M78" s="60">
        <v>500000</v>
      </c>
      <c r="N78" s="45" t="s">
        <v>247</v>
      </c>
    </row>
    <row r="79" spans="1:15">
      <c r="A79" s="55">
        <v>20</v>
      </c>
      <c r="B79" s="1017"/>
      <c r="C79" s="15">
        <v>45066</v>
      </c>
      <c r="D79" s="3" t="s">
        <v>19</v>
      </c>
      <c r="E79" s="4" t="s">
        <v>469</v>
      </c>
      <c r="F79" s="4" t="s">
        <v>470</v>
      </c>
      <c r="G79" s="3" t="s">
        <v>478</v>
      </c>
      <c r="H79" s="3" t="s">
        <v>479</v>
      </c>
      <c r="I79" s="9" t="s">
        <v>472</v>
      </c>
      <c r="J79" s="13" t="s">
        <v>473</v>
      </c>
      <c r="K79" s="3" t="s">
        <v>474</v>
      </c>
      <c r="L79" s="57" t="s">
        <v>475</v>
      </c>
      <c r="M79" s="60">
        <v>500000</v>
      </c>
      <c r="N79" s="45" t="s">
        <v>247</v>
      </c>
    </row>
    <row r="80" spans="1:15">
      <c r="A80" s="55">
        <v>21</v>
      </c>
      <c r="B80" s="1016" t="s">
        <v>20</v>
      </c>
      <c r="C80" s="15">
        <v>45070</v>
      </c>
      <c r="D80" s="3" t="s">
        <v>19</v>
      </c>
      <c r="E80" s="4" t="s">
        <v>151</v>
      </c>
      <c r="F80" s="4" t="s">
        <v>20</v>
      </c>
      <c r="G80" s="3">
        <v>6601</v>
      </c>
      <c r="H80" s="3" t="s">
        <v>482</v>
      </c>
      <c r="I80" s="9" t="s">
        <v>477</v>
      </c>
      <c r="J80" s="13" t="s">
        <v>473</v>
      </c>
      <c r="K80" s="3" t="s">
        <v>474</v>
      </c>
      <c r="L80" s="57" t="s">
        <v>209</v>
      </c>
      <c r="M80" s="60">
        <v>500000</v>
      </c>
      <c r="N80" s="45" t="s">
        <v>247</v>
      </c>
    </row>
    <row r="81" spans="1:14">
      <c r="A81" s="55">
        <v>21</v>
      </c>
      <c r="B81" s="1017"/>
      <c r="C81" s="15">
        <v>45071</v>
      </c>
      <c r="D81" s="3" t="s">
        <v>19</v>
      </c>
      <c r="E81" s="4" t="s">
        <v>151</v>
      </c>
      <c r="F81" s="4" t="s">
        <v>20</v>
      </c>
      <c r="G81" s="3">
        <v>4207</v>
      </c>
      <c r="H81" s="3" t="s">
        <v>227</v>
      </c>
      <c r="I81" s="9" t="s">
        <v>472</v>
      </c>
      <c r="J81" s="13" t="s">
        <v>473</v>
      </c>
      <c r="K81" s="3" t="s">
        <v>474</v>
      </c>
      <c r="L81" s="57" t="s">
        <v>209</v>
      </c>
      <c r="M81" s="60">
        <v>500000</v>
      </c>
      <c r="N81" s="45" t="s">
        <v>247</v>
      </c>
    </row>
    <row r="82" spans="1:14">
      <c r="A82" s="55">
        <v>22</v>
      </c>
      <c r="B82" s="1016" t="s">
        <v>21</v>
      </c>
      <c r="C82" s="11">
        <v>45073</v>
      </c>
      <c r="D82" s="3" t="s">
        <v>21</v>
      </c>
      <c r="E82" s="4" t="s">
        <v>17</v>
      </c>
      <c r="F82" s="3" t="s">
        <v>22</v>
      </c>
      <c r="G82" s="3">
        <v>7060</v>
      </c>
      <c r="H82" s="3" t="s">
        <v>86</v>
      </c>
      <c r="I82" s="5" t="s">
        <v>489</v>
      </c>
      <c r="J82" s="13" t="s">
        <v>501</v>
      </c>
      <c r="K82" s="3" t="s">
        <v>500</v>
      </c>
      <c r="L82" s="6" t="s">
        <v>15</v>
      </c>
      <c r="M82" s="80">
        <v>500000</v>
      </c>
      <c r="N82" s="45" t="s">
        <v>496</v>
      </c>
    </row>
    <row r="83" spans="1:14" ht="27">
      <c r="A83" s="55">
        <v>22</v>
      </c>
      <c r="B83" s="1032"/>
      <c r="C83" s="1014">
        <v>45076</v>
      </c>
      <c r="D83" s="3" t="s">
        <v>21</v>
      </c>
      <c r="E83" s="4" t="s">
        <v>17</v>
      </c>
      <c r="F83" s="3" t="s">
        <v>22</v>
      </c>
      <c r="G83" s="3">
        <v>7058</v>
      </c>
      <c r="H83" s="3" t="s">
        <v>480</v>
      </c>
      <c r="I83" s="5" t="s">
        <v>484</v>
      </c>
      <c r="J83" s="13" t="s">
        <v>155</v>
      </c>
      <c r="K83" s="3" t="s">
        <v>41</v>
      </c>
      <c r="L83" s="6" t="s">
        <v>15</v>
      </c>
      <c r="M83" s="80">
        <v>180000</v>
      </c>
      <c r="N83" s="45" t="s">
        <v>496</v>
      </c>
    </row>
    <row r="84" spans="1:14">
      <c r="A84" s="55">
        <v>22</v>
      </c>
      <c r="B84" s="1032"/>
      <c r="C84" s="1015"/>
      <c r="D84" s="3" t="s">
        <v>138</v>
      </c>
      <c r="E84" s="4" t="s">
        <v>17</v>
      </c>
      <c r="F84" s="3" t="s">
        <v>78</v>
      </c>
      <c r="G84" s="3" t="s">
        <v>485</v>
      </c>
      <c r="H84" s="3" t="s">
        <v>142</v>
      </c>
      <c r="I84" s="5" t="s">
        <v>486</v>
      </c>
      <c r="J84" s="13" t="s">
        <v>202</v>
      </c>
      <c r="K84" s="32" t="s">
        <v>506</v>
      </c>
      <c r="L84" s="6" t="s">
        <v>15</v>
      </c>
      <c r="M84" s="80">
        <f>180000*3</f>
        <v>540000</v>
      </c>
      <c r="N84" s="45" t="s">
        <v>497</v>
      </c>
    </row>
    <row r="85" spans="1:14">
      <c r="A85" s="55">
        <v>22</v>
      </c>
      <c r="B85" s="1032"/>
      <c r="C85" s="1014">
        <v>45077</v>
      </c>
      <c r="D85" s="3" t="s">
        <v>138</v>
      </c>
      <c r="E85" s="4" t="s">
        <v>17</v>
      </c>
      <c r="F85" s="3" t="s">
        <v>78</v>
      </c>
      <c r="G85" s="3" t="s">
        <v>485</v>
      </c>
      <c r="H85" s="3" t="s">
        <v>142</v>
      </c>
      <c r="I85" s="5" t="s">
        <v>486</v>
      </c>
      <c r="J85" s="13" t="s">
        <v>493</v>
      </c>
      <c r="K85" s="32" t="s">
        <v>506</v>
      </c>
      <c r="L85" s="6" t="s">
        <v>15</v>
      </c>
      <c r="M85" s="80">
        <f>180000*3</f>
        <v>540000</v>
      </c>
      <c r="N85" s="45" t="s">
        <v>497</v>
      </c>
    </row>
    <row r="86" spans="1:14">
      <c r="A86" s="55">
        <v>22</v>
      </c>
      <c r="B86" s="1032"/>
      <c r="C86" s="1015"/>
      <c r="D86" s="3" t="s">
        <v>21</v>
      </c>
      <c r="E86" s="4" t="s">
        <v>14</v>
      </c>
      <c r="F86" s="3" t="s">
        <v>277</v>
      </c>
      <c r="G86" s="3">
        <v>4203</v>
      </c>
      <c r="H86" s="3" t="s">
        <v>18</v>
      </c>
      <c r="I86" s="5" t="s">
        <v>488</v>
      </c>
      <c r="J86" s="13" t="s">
        <v>505</v>
      </c>
      <c r="K86" s="32" t="s">
        <v>41</v>
      </c>
      <c r="L86" s="6" t="s">
        <v>15</v>
      </c>
      <c r="M86" s="80">
        <v>180000</v>
      </c>
      <c r="N86" s="45" t="s">
        <v>498</v>
      </c>
    </row>
    <row r="87" spans="1:14">
      <c r="A87" s="55">
        <v>22</v>
      </c>
      <c r="B87" s="1032"/>
      <c r="C87" s="11">
        <v>45078</v>
      </c>
      <c r="D87" s="3" t="s">
        <v>138</v>
      </c>
      <c r="E87" s="4" t="s">
        <v>17</v>
      </c>
      <c r="F87" s="3" t="s">
        <v>78</v>
      </c>
      <c r="G87" s="3" t="s">
        <v>485</v>
      </c>
      <c r="H87" s="3" t="s">
        <v>142</v>
      </c>
      <c r="I87" s="5" t="s">
        <v>486</v>
      </c>
      <c r="J87" s="13" t="s">
        <v>495</v>
      </c>
      <c r="K87" s="32" t="s">
        <v>506</v>
      </c>
      <c r="L87" s="6" t="s">
        <v>15</v>
      </c>
      <c r="M87" s="80">
        <f>180000*3</f>
        <v>540000</v>
      </c>
      <c r="N87" s="45" t="s">
        <v>497</v>
      </c>
    </row>
    <row r="88" spans="1:14">
      <c r="A88" s="55">
        <v>22</v>
      </c>
      <c r="B88" s="1032"/>
      <c r="C88" s="11">
        <v>45079</v>
      </c>
      <c r="D88" s="3" t="s">
        <v>138</v>
      </c>
      <c r="E88" s="4" t="s">
        <v>17</v>
      </c>
      <c r="F88" s="3" t="s">
        <v>78</v>
      </c>
      <c r="G88" s="3" t="s">
        <v>485</v>
      </c>
      <c r="H88" s="3" t="s">
        <v>142</v>
      </c>
      <c r="I88" s="5" t="s">
        <v>486</v>
      </c>
      <c r="J88" s="13" t="s">
        <v>495</v>
      </c>
      <c r="K88" s="32" t="s">
        <v>506</v>
      </c>
      <c r="L88" s="6" t="s">
        <v>15</v>
      </c>
      <c r="M88" s="80">
        <f>180000*3</f>
        <v>540000</v>
      </c>
      <c r="N88" s="45" t="s">
        <v>497</v>
      </c>
    </row>
    <row r="89" spans="1:14" ht="27">
      <c r="A89" s="55">
        <v>22</v>
      </c>
      <c r="B89" s="1017"/>
      <c r="C89" s="11">
        <v>45080</v>
      </c>
      <c r="D89" s="3" t="s">
        <v>138</v>
      </c>
      <c r="E89" s="4" t="s">
        <v>14</v>
      </c>
      <c r="F89" s="3" t="s">
        <v>20</v>
      </c>
      <c r="G89" s="3">
        <v>7060</v>
      </c>
      <c r="H89" s="3" t="s">
        <v>35</v>
      </c>
      <c r="I89" s="9" t="s">
        <v>428</v>
      </c>
      <c r="J89" s="13" t="s">
        <v>87</v>
      </c>
      <c r="K89" s="3" t="s">
        <v>503</v>
      </c>
      <c r="L89" s="6" t="s">
        <v>15</v>
      </c>
      <c r="M89" s="80">
        <v>180000</v>
      </c>
      <c r="N89" s="45" t="s">
        <v>497</v>
      </c>
    </row>
    <row r="90" spans="1:14">
      <c r="A90" s="55">
        <v>23</v>
      </c>
      <c r="B90" s="1016" t="s">
        <v>21</v>
      </c>
      <c r="C90" s="11">
        <v>45082</v>
      </c>
      <c r="D90" s="3" t="s">
        <v>232</v>
      </c>
      <c r="E90" s="4" t="s">
        <v>520</v>
      </c>
      <c r="F90" s="3" t="s">
        <v>521</v>
      </c>
      <c r="G90" s="3">
        <v>2460</v>
      </c>
      <c r="H90" s="3" t="s">
        <v>518</v>
      </c>
      <c r="I90" s="5" t="s">
        <v>519</v>
      </c>
      <c r="J90" s="13" t="s">
        <v>494</v>
      </c>
      <c r="K90" s="32" t="s">
        <v>517</v>
      </c>
      <c r="L90" s="6" t="s">
        <v>516</v>
      </c>
      <c r="M90" s="80">
        <v>250000</v>
      </c>
      <c r="N90" s="45" t="s">
        <v>529</v>
      </c>
    </row>
    <row r="91" spans="1:14" ht="27">
      <c r="A91" s="55">
        <v>23</v>
      </c>
      <c r="B91" s="1017"/>
      <c r="C91" s="11">
        <v>45086</v>
      </c>
      <c r="D91" s="3" t="s">
        <v>21</v>
      </c>
      <c r="E91" s="4" t="s">
        <v>523</v>
      </c>
      <c r="F91" s="3" t="s">
        <v>507</v>
      </c>
      <c r="G91" s="3">
        <v>7058</v>
      </c>
      <c r="H91" s="3" t="s">
        <v>524</v>
      </c>
      <c r="I91" s="5" t="s">
        <v>526</v>
      </c>
      <c r="J91" s="13" t="s">
        <v>508</v>
      </c>
      <c r="K91" s="32" t="s">
        <v>530</v>
      </c>
      <c r="L91" s="6" t="s">
        <v>499</v>
      </c>
      <c r="M91" s="80">
        <v>500000</v>
      </c>
      <c r="N91" s="45" t="s">
        <v>531</v>
      </c>
    </row>
    <row r="92" spans="1:14">
      <c r="A92" s="55">
        <v>24</v>
      </c>
      <c r="B92" s="1016" t="s">
        <v>21</v>
      </c>
      <c r="C92" s="92">
        <v>45087</v>
      </c>
      <c r="D92" s="3" t="s">
        <v>515</v>
      </c>
      <c r="E92" s="4" t="s">
        <v>14</v>
      </c>
      <c r="F92" s="3" t="s">
        <v>26</v>
      </c>
      <c r="G92" s="3">
        <v>7060</v>
      </c>
      <c r="H92" s="3" t="s">
        <v>112</v>
      </c>
      <c r="I92" s="9" t="s">
        <v>538</v>
      </c>
      <c r="J92" s="13" t="s">
        <v>508</v>
      </c>
      <c r="K92" s="3" t="s">
        <v>535</v>
      </c>
      <c r="L92" s="6" t="s">
        <v>499</v>
      </c>
      <c r="M92" s="93">
        <v>250000</v>
      </c>
      <c r="N92" s="45" t="s">
        <v>559</v>
      </c>
    </row>
    <row r="93" spans="1:14" ht="27">
      <c r="A93" s="55">
        <v>24</v>
      </c>
      <c r="B93" s="1032"/>
      <c r="C93" s="1014">
        <v>45089</v>
      </c>
      <c r="D93" s="3" t="s">
        <v>21</v>
      </c>
      <c r="E93" s="4" t="s">
        <v>17</v>
      </c>
      <c r="F93" s="4" t="s">
        <v>539</v>
      </c>
      <c r="G93" s="3" t="s">
        <v>490</v>
      </c>
      <c r="H93" s="3" t="s">
        <v>491</v>
      </c>
      <c r="I93" s="9" t="s">
        <v>492</v>
      </c>
      <c r="J93" s="13" t="s">
        <v>540</v>
      </c>
      <c r="K93" s="3" t="s">
        <v>541</v>
      </c>
      <c r="L93" s="6" t="s">
        <v>557</v>
      </c>
      <c r="M93" s="60">
        <v>250000</v>
      </c>
      <c r="N93" s="45" t="s">
        <v>558</v>
      </c>
    </row>
    <row r="94" spans="1:14">
      <c r="A94" s="55">
        <v>24</v>
      </c>
      <c r="B94" s="1032"/>
      <c r="C94" s="1036"/>
      <c r="D94" s="3" t="s">
        <v>551</v>
      </c>
      <c r="E94" s="4" t="s">
        <v>550</v>
      </c>
      <c r="F94" s="4" t="s">
        <v>522</v>
      </c>
      <c r="G94" s="3" t="s">
        <v>552</v>
      </c>
      <c r="H94" s="3" t="s">
        <v>553</v>
      </c>
      <c r="I94" s="9" t="s">
        <v>554</v>
      </c>
      <c r="J94" s="13" t="s">
        <v>555</v>
      </c>
      <c r="K94" s="3" t="s">
        <v>556</v>
      </c>
      <c r="L94" s="6" t="s">
        <v>504</v>
      </c>
      <c r="M94" s="60">
        <v>750000</v>
      </c>
      <c r="N94" s="45" t="s">
        <v>560</v>
      </c>
    </row>
    <row r="95" spans="1:14">
      <c r="A95" s="55">
        <v>24</v>
      </c>
      <c r="B95" s="1032"/>
      <c r="C95" s="1015"/>
      <c r="D95" s="3" t="s">
        <v>232</v>
      </c>
      <c r="E95" s="4" t="s">
        <v>543</v>
      </c>
      <c r="F95" s="3" t="s">
        <v>544</v>
      </c>
      <c r="G95" s="3" t="s">
        <v>547</v>
      </c>
      <c r="H95" s="3" t="s">
        <v>545</v>
      </c>
      <c r="I95" s="9" t="s">
        <v>549</v>
      </c>
      <c r="J95" s="13"/>
      <c r="K95" s="3" t="s">
        <v>548</v>
      </c>
      <c r="L95" s="6" t="s">
        <v>542</v>
      </c>
      <c r="M95" s="60">
        <v>750000</v>
      </c>
      <c r="N95" s="45" t="s">
        <v>561</v>
      </c>
    </row>
    <row r="96" spans="1:14" ht="27">
      <c r="A96" s="55">
        <v>24</v>
      </c>
      <c r="B96" s="1032"/>
      <c r="C96" s="15">
        <f>C93+1</f>
        <v>45090</v>
      </c>
      <c r="D96" s="3" t="s">
        <v>21</v>
      </c>
      <c r="E96" s="4" t="s">
        <v>17</v>
      </c>
      <c r="F96" s="4" t="s">
        <v>539</v>
      </c>
      <c r="G96" s="3" t="s">
        <v>490</v>
      </c>
      <c r="H96" s="3" t="s">
        <v>491</v>
      </c>
      <c r="I96" s="9" t="s">
        <v>492</v>
      </c>
      <c r="J96" s="13" t="s">
        <v>540</v>
      </c>
      <c r="K96" s="3" t="s">
        <v>541</v>
      </c>
      <c r="L96" s="6" t="s">
        <v>557</v>
      </c>
      <c r="M96" s="60">
        <v>250000</v>
      </c>
      <c r="N96" s="45" t="s">
        <v>558</v>
      </c>
    </row>
    <row r="97" spans="1:15">
      <c r="A97" s="55">
        <v>24</v>
      </c>
      <c r="B97" s="1017"/>
      <c r="C97" s="15">
        <v>45092</v>
      </c>
      <c r="D97" s="3" t="s">
        <v>527</v>
      </c>
      <c r="E97" s="4" t="s">
        <v>532</v>
      </c>
      <c r="F97" s="3" t="s">
        <v>534</v>
      </c>
      <c r="G97" s="3">
        <v>4204</v>
      </c>
      <c r="H97" s="3" t="s">
        <v>533</v>
      </c>
      <c r="I97" s="9" t="s">
        <v>537</v>
      </c>
      <c r="J97" s="13"/>
      <c r="K97" s="3" t="s">
        <v>535</v>
      </c>
      <c r="L97" s="6" t="s">
        <v>536</v>
      </c>
      <c r="M97" s="60">
        <v>250000</v>
      </c>
      <c r="N97" s="45" t="s">
        <v>562</v>
      </c>
    </row>
    <row r="98" spans="1:15">
      <c r="A98" s="55">
        <v>25</v>
      </c>
      <c r="B98" s="78" t="s">
        <v>584</v>
      </c>
      <c r="C98" s="15">
        <v>45094</v>
      </c>
      <c r="D98" s="79" t="s">
        <v>585</v>
      </c>
      <c r="E98" s="79" t="s">
        <v>586</v>
      </c>
      <c r="F98" s="94" t="s">
        <v>587</v>
      </c>
      <c r="G98" s="79" t="s">
        <v>588</v>
      </c>
      <c r="H98" s="79" t="s">
        <v>589</v>
      </c>
      <c r="I98" s="45" t="s">
        <v>590</v>
      </c>
      <c r="J98" s="45" t="s">
        <v>591</v>
      </c>
      <c r="K98" s="44" t="s">
        <v>593</v>
      </c>
      <c r="L98" s="95" t="s">
        <v>209</v>
      </c>
      <c r="M98" s="96">
        <v>1000000</v>
      </c>
      <c r="N98" s="79" t="s">
        <v>592</v>
      </c>
    </row>
    <row r="99" spans="1:15" ht="27">
      <c r="A99" s="55">
        <v>25</v>
      </c>
      <c r="B99" s="1016" t="s">
        <v>21</v>
      </c>
      <c r="C99" s="1014">
        <v>45096</v>
      </c>
      <c r="D99" s="3" t="s">
        <v>528</v>
      </c>
      <c r="E99" s="4" t="s">
        <v>564</v>
      </c>
      <c r="F99" s="3" t="s">
        <v>546</v>
      </c>
      <c r="G99" s="3" t="s">
        <v>563</v>
      </c>
      <c r="H99" s="3" t="s">
        <v>565</v>
      </c>
      <c r="I99" s="100" t="s">
        <v>579</v>
      </c>
      <c r="J99" s="14" t="s">
        <v>525</v>
      </c>
      <c r="K99" s="32" t="s">
        <v>578</v>
      </c>
      <c r="L99" s="6" t="s">
        <v>566</v>
      </c>
      <c r="M99" s="91">
        <v>250000</v>
      </c>
      <c r="N99" s="45" t="s">
        <v>581</v>
      </c>
    </row>
    <row r="100" spans="1:15">
      <c r="A100" s="55">
        <v>25</v>
      </c>
      <c r="B100" s="1032"/>
      <c r="C100" s="1015"/>
      <c r="D100" s="3" t="s">
        <v>21</v>
      </c>
      <c r="E100" s="4" t="s">
        <v>572</v>
      </c>
      <c r="F100" s="3" t="s">
        <v>573</v>
      </c>
      <c r="G100" s="3" t="s">
        <v>574</v>
      </c>
      <c r="H100" s="3" t="s">
        <v>575</v>
      </c>
      <c r="I100" s="5" t="s">
        <v>576</v>
      </c>
      <c r="J100" s="13"/>
      <c r="K100" s="32" t="s">
        <v>577</v>
      </c>
      <c r="L100" s="57" t="s">
        <v>516</v>
      </c>
      <c r="M100" s="80">
        <v>900000</v>
      </c>
      <c r="N100" s="45" t="s">
        <v>582</v>
      </c>
    </row>
    <row r="101" spans="1:15">
      <c r="A101" s="55">
        <v>25</v>
      </c>
      <c r="B101" s="1032"/>
      <c r="C101" s="12">
        <v>45098</v>
      </c>
      <c r="D101" s="3" t="s">
        <v>528</v>
      </c>
      <c r="E101" s="4" t="s">
        <v>523</v>
      </c>
      <c r="F101" s="3" t="s">
        <v>544</v>
      </c>
      <c r="G101" s="3" t="s">
        <v>568</v>
      </c>
      <c r="H101" s="3" t="s">
        <v>569</v>
      </c>
      <c r="I101" s="5" t="s">
        <v>570</v>
      </c>
      <c r="J101" s="13"/>
      <c r="K101" s="32" t="s">
        <v>571</v>
      </c>
      <c r="L101" s="6" t="s">
        <v>69</v>
      </c>
      <c r="M101" s="80">
        <v>200000</v>
      </c>
      <c r="N101" s="45" t="s">
        <v>583</v>
      </c>
    </row>
    <row r="102" spans="1:15" ht="27">
      <c r="A102" s="55">
        <v>25</v>
      </c>
      <c r="B102" s="1032"/>
      <c r="C102" s="15">
        <v>45100</v>
      </c>
      <c r="D102" s="3" t="s">
        <v>528</v>
      </c>
      <c r="E102" s="4" t="s">
        <v>543</v>
      </c>
      <c r="F102" s="3" t="s">
        <v>507</v>
      </c>
      <c r="G102" s="3">
        <v>7060</v>
      </c>
      <c r="H102" s="3" t="s">
        <v>567</v>
      </c>
      <c r="I102" s="5" t="s">
        <v>580</v>
      </c>
      <c r="J102" s="13" t="s">
        <v>525</v>
      </c>
      <c r="K102" s="32" t="s">
        <v>535</v>
      </c>
      <c r="L102" s="6" t="s">
        <v>536</v>
      </c>
      <c r="M102" s="80">
        <v>250000</v>
      </c>
      <c r="N102" s="45" t="s">
        <v>583</v>
      </c>
    </row>
    <row r="103" spans="1:15" ht="27">
      <c r="A103" s="55">
        <v>25</v>
      </c>
      <c r="B103" s="1017"/>
      <c r="C103" s="15">
        <v>45101</v>
      </c>
      <c r="D103" s="3" t="s">
        <v>528</v>
      </c>
      <c r="E103" s="4" t="s">
        <v>543</v>
      </c>
      <c r="F103" s="3" t="s">
        <v>507</v>
      </c>
      <c r="G103" s="3">
        <v>7060</v>
      </c>
      <c r="H103" s="3" t="s">
        <v>567</v>
      </c>
      <c r="I103" s="9" t="s">
        <v>580</v>
      </c>
      <c r="J103" s="13" t="s">
        <v>508</v>
      </c>
      <c r="K103" s="3" t="s">
        <v>535</v>
      </c>
      <c r="L103" s="6" t="s">
        <v>536</v>
      </c>
      <c r="M103" s="60">
        <v>250000</v>
      </c>
      <c r="N103" s="45" t="s">
        <v>583</v>
      </c>
    </row>
    <row r="104" spans="1:15">
      <c r="A104" s="55">
        <v>26</v>
      </c>
      <c r="B104" s="1016" t="s">
        <v>123</v>
      </c>
      <c r="C104" s="15">
        <v>45101</v>
      </c>
      <c r="D104" s="79" t="s">
        <v>49</v>
      </c>
      <c r="E104" s="79" t="s">
        <v>151</v>
      </c>
      <c r="F104" s="94" t="s">
        <v>123</v>
      </c>
      <c r="G104" s="79" t="s">
        <v>604</v>
      </c>
      <c r="H104" s="79" t="s">
        <v>605</v>
      </c>
      <c r="I104" s="45" t="s">
        <v>603</v>
      </c>
      <c r="J104" s="45" t="s">
        <v>95</v>
      </c>
      <c r="K104" s="44" t="s">
        <v>133</v>
      </c>
      <c r="L104" s="95" t="s">
        <v>209</v>
      </c>
      <c r="M104" s="96">
        <v>500000</v>
      </c>
      <c r="N104" s="79" t="s">
        <v>609</v>
      </c>
    </row>
    <row r="105" spans="1:15">
      <c r="A105" s="55">
        <v>26</v>
      </c>
      <c r="B105" s="1032"/>
      <c r="C105" s="34">
        <v>45103</v>
      </c>
      <c r="D105" s="79" t="s">
        <v>49</v>
      </c>
      <c r="E105" s="79" t="s">
        <v>151</v>
      </c>
      <c r="F105" s="94" t="s">
        <v>123</v>
      </c>
      <c r="G105" s="79" t="s">
        <v>604</v>
      </c>
      <c r="H105" s="79" t="s">
        <v>605</v>
      </c>
      <c r="I105" s="45" t="s">
        <v>603</v>
      </c>
      <c r="J105" s="45" t="s">
        <v>95</v>
      </c>
      <c r="K105" s="44" t="s">
        <v>133</v>
      </c>
      <c r="L105" s="95" t="s">
        <v>209</v>
      </c>
      <c r="M105" s="96">
        <v>500000</v>
      </c>
      <c r="N105" s="79" t="s">
        <v>609</v>
      </c>
    </row>
    <row r="106" spans="1:15">
      <c r="A106" s="55">
        <v>26</v>
      </c>
      <c r="B106" s="1032"/>
      <c r="C106" s="34">
        <v>45105</v>
      </c>
      <c r="D106" s="79" t="s">
        <v>49</v>
      </c>
      <c r="E106" s="79" t="s">
        <v>151</v>
      </c>
      <c r="F106" s="94" t="s">
        <v>123</v>
      </c>
      <c r="G106" s="79">
        <v>4208</v>
      </c>
      <c r="H106" s="79" t="s">
        <v>606</v>
      </c>
      <c r="I106" s="78" t="s">
        <v>607</v>
      </c>
      <c r="J106" s="45" t="s">
        <v>608</v>
      </c>
      <c r="K106" s="44" t="s">
        <v>133</v>
      </c>
      <c r="L106" s="95" t="s">
        <v>209</v>
      </c>
      <c r="M106" s="96">
        <v>500000</v>
      </c>
      <c r="N106" s="79" t="s">
        <v>610</v>
      </c>
    </row>
    <row r="107" spans="1:15">
      <c r="A107" s="55">
        <v>26</v>
      </c>
      <c r="B107" s="1017"/>
      <c r="C107" s="34">
        <v>45106</v>
      </c>
      <c r="D107" s="79" t="s">
        <v>49</v>
      </c>
      <c r="E107" s="79" t="s">
        <v>151</v>
      </c>
      <c r="F107" s="94" t="s">
        <v>123</v>
      </c>
      <c r="G107" s="79">
        <v>4208</v>
      </c>
      <c r="H107" s="79" t="s">
        <v>606</v>
      </c>
      <c r="I107" s="78" t="s">
        <v>607</v>
      </c>
      <c r="J107" s="45" t="s">
        <v>608</v>
      </c>
      <c r="K107" s="44" t="s">
        <v>133</v>
      </c>
      <c r="L107" s="95" t="s">
        <v>209</v>
      </c>
      <c r="M107" s="96">
        <v>500000</v>
      </c>
      <c r="N107" s="79" t="s">
        <v>610</v>
      </c>
    </row>
    <row r="108" spans="1:15">
      <c r="A108" s="55">
        <v>26</v>
      </c>
      <c r="B108" s="1016" t="s">
        <v>21</v>
      </c>
      <c r="C108" s="15">
        <v>45103</v>
      </c>
      <c r="D108" s="3" t="s">
        <v>596</v>
      </c>
      <c r="E108" s="4" t="s">
        <v>594</v>
      </c>
      <c r="F108" s="3" t="s">
        <v>597</v>
      </c>
      <c r="G108" s="3">
        <v>7060</v>
      </c>
      <c r="H108" s="3" t="s">
        <v>598</v>
      </c>
      <c r="I108" s="9" t="s">
        <v>599</v>
      </c>
      <c r="J108" s="13" t="s">
        <v>600</v>
      </c>
      <c r="K108" s="3" t="s">
        <v>601</v>
      </c>
      <c r="L108" s="6" t="s">
        <v>602</v>
      </c>
      <c r="M108" s="96">
        <v>500000</v>
      </c>
      <c r="N108" s="45" t="s">
        <v>611</v>
      </c>
      <c r="O108" t="s">
        <v>630</v>
      </c>
    </row>
    <row r="109" spans="1:15">
      <c r="A109" s="55">
        <v>26</v>
      </c>
      <c r="B109" s="1017"/>
      <c r="C109" s="15">
        <v>45104</v>
      </c>
      <c r="D109" s="3" t="s">
        <v>596</v>
      </c>
      <c r="E109" s="4" t="s">
        <v>594</v>
      </c>
      <c r="F109" s="3" t="s">
        <v>597</v>
      </c>
      <c r="G109" s="3">
        <v>7060</v>
      </c>
      <c r="H109" s="3" t="s">
        <v>598</v>
      </c>
      <c r="I109" s="9" t="s">
        <v>599</v>
      </c>
      <c r="J109" s="13" t="s">
        <v>600</v>
      </c>
      <c r="K109" s="3" t="s">
        <v>601</v>
      </c>
      <c r="L109" s="6" t="s">
        <v>602</v>
      </c>
      <c r="M109" s="96">
        <v>500000</v>
      </c>
      <c r="N109" s="45" t="s">
        <v>612</v>
      </c>
      <c r="O109" t="s">
        <v>630</v>
      </c>
    </row>
    <row r="110" spans="1:15">
      <c r="A110" s="55">
        <v>27</v>
      </c>
      <c r="B110" s="1033" t="s">
        <v>658</v>
      </c>
      <c r="C110" s="1033" t="s">
        <v>659</v>
      </c>
      <c r="D110" s="64" t="s">
        <v>306</v>
      </c>
      <c r="E110" s="64" t="s">
        <v>322</v>
      </c>
      <c r="F110" s="64" t="s">
        <v>660</v>
      </c>
      <c r="G110" s="64" t="s">
        <v>661</v>
      </c>
      <c r="H110" s="64" t="s">
        <v>662</v>
      </c>
      <c r="I110" s="102" t="s">
        <v>663</v>
      </c>
      <c r="J110" s="64" t="s">
        <v>664</v>
      </c>
      <c r="K110" s="72" t="s">
        <v>655</v>
      </c>
      <c r="L110" s="64" t="s">
        <v>324</v>
      </c>
      <c r="M110" s="108" t="s">
        <v>458</v>
      </c>
      <c r="N110" s="64" t="s">
        <v>665</v>
      </c>
    </row>
    <row r="111" spans="1:15">
      <c r="A111" s="55">
        <v>27</v>
      </c>
      <c r="B111" s="1034"/>
      <c r="C111" s="1066"/>
      <c r="D111" s="64" t="s">
        <v>306</v>
      </c>
      <c r="E111" s="64" t="s">
        <v>322</v>
      </c>
      <c r="F111" s="64" t="s">
        <v>666</v>
      </c>
      <c r="G111" s="64" t="s">
        <v>667</v>
      </c>
      <c r="H111" s="64" t="s">
        <v>640</v>
      </c>
      <c r="I111" s="115" t="s">
        <v>668</v>
      </c>
      <c r="J111" s="64" t="s">
        <v>349</v>
      </c>
      <c r="K111" s="66" t="s">
        <v>655</v>
      </c>
      <c r="L111" s="64" t="s">
        <v>324</v>
      </c>
      <c r="M111" s="108" t="s">
        <v>458</v>
      </c>
      <c r="N111" s="64" t="s">
        <v>425</v>
      </c>
    </row>
    <row r="112" spans="1:15">
      <c r="A112" s="55">
        <v>27</v>
      </c>
      <c r="B112" s="1034"/>
      <c r="C112" s="1067" t="s">
        <v>669</v>
      </c>
      <c r="D112" s="64" t="s">
        <v>306</v>
      </c>
      <c r="E112" s="64" t="s">
        <v>322</v>
      </c>
      <c r="F112" s="64" t="s">
        <v>666</v>
      </c>
      <c r="G112" s="64" t="s">
        <v>667</v>
      </c>
      <c r="H112" s="64" t="s">
        <v>640</v>
      </c>
      <c r="I112" s="115" t="s">
        <v>668</v>
      </c>
      <c r="J112" s="64" t="s">
        <v>349</v>
      </c>
      <c r="K112" s="66" t="s">
        <v>655</v>
      </c>
      <c r="L112" s="64" t="s">
        <v>324</v>
      </c>
      <c r="M112" s="108" t="s">
        <v>458</v>
      </c>
      <c r="N112" s="64" t="s">
        <v>425</v>
      </c>
    </row>
    <row r="113" spans="1:14">
      <c r="A113" s="55">
        <v>27</v>
      </c>
      <c r="B113" s="1066"/>
      <c r="C113" s="1066"/>
      <c r="D113" s="64" t="s">
        <v>306</v>
      </c>
      <c r="E113" s="64" t="s">
        <v>322</v>
      </c>
      <c r="F113" s="64" t="s">
        <v>651</v>
      </c>
      <c r="G113" s="64">
        <v>4209</v>
      </c>
      <c r="H113" s="64" t="s">
        <v>640</v>
      </c>
      <c r="I113" s="104" t="s">
        <v>663</v>
      </c>
      <c r="J113" s="64" t="s">
        <v>664</v>
      </c>
      <c r="K113" s="66" t="s">
        <v>655</v>
      </c>
      <c r="L113" s="64" t="s">
        <v>324</v>
      </c>
      <c r="M113" s="108" t="s">
        <v>458</v>
      </c>
      <c r="N113" s="64" t="s">
        <v>665</v>
      </c>
    </row>
    <row r="114" spans="1:14">
      <c r="A114" s="55">
        <v>27</v>
      </c>
      <c r="B114" s="1067" t="s">
        <v>311</v>
      </c>
      <c r="C114" s="103" t="s">
        <v>669</v>
      </c>
      <c r="D114" s="64" t="s">
        <v>311</v>
      </c>
      <c r="E114" s="64" t="s">
        <v>320</v>
      </c>
      <c r="F114" s="64" t="s">
        <v>337</v>
      </c>
      <c r="G114" s="64" t="s">
        <v>353</v>
      </c>
      <c r="H114" s="64" t="s">
        <v>347</v>
      </c>
      <c r="I114" s="104" t="s">
        <v>670</v>
      </c>
      <c r="J114" s="64" t="s">
        <v>638</v>
      </c>
      <c r="K114" s="66" t="s">
        <v>671</v>
      </c>
      <c r="L114" s="64" t="s">
        <v>309</v>
      </c>
      <c r="M114" s="108" t="s">
        <v>672</v>
      </c>
      <c r="N114" s="64" t="s">
        <v>340</v>
      </c>
    </row>
    <row r="115" spans="1:14">
      <c r="A115" s="55">
        <v>27</v>
      </c>
      <c r="B115" s="1034"/>
      <c r="C115" s="1033" t="s">
        <v>673</v>
      </c>
      <c r="D115" s="64" t="s">
        <v>311</v>
      </c>
      <c r="E115" s="64" t="s">
        <v>320</v>
      </c>
      <c r="F115" s="64" t="s">
        <v>337</v>
      </c>
      <c r="G115" s="64" t="s">
        <v>353</v>
      </c>
      <c r="H115" s="64" t="s">
        <v>347</v>
      </c>
      <c r="I115" s="104" t="s">
        <v>674</v>
      </c>
      <c r="J115" s="64"/>
      <c r="K115" s="66" t="s">
        <v>655</v>
      </c>
      <c r="L115" s="64" t="s">
        <v>309</v>
      </c>
      <c r="M115" s="108" t="s">
        <v>458</v>
      </c>
      <c r="N115" s="64" t="s">
        <v>340</v>
      </c>
    </row>
    <row r="116" spans="1:14">
      <c r="A116" s="55">
        <v>27</v>
      </c>
      <c r="B116" s="1035"/>
      <c r="C116" s="1066"/>
      <c r="D116" s="64" t="s">
        <v>311</v>
      </c>
      <c r="E116" s="64" t="s">
        <v>675</v>
      </c>
      <c r="F116" s="64" t="s">
        <v>676</v>
      </c>
      <c r="G116" s="64" t="s">
        <v>677</v>
      </c>
      <c r="H116" s="64" t="s">
        <v>678</v>
      </c>
      <c r="I116" s="104" t="s">
        <v>679</v>
      </c>
      <c r="J116" s="64" t="s">
        <v>638</v>
      </c>
      <c r="K116" s="66" t="s">
        <v>680</v>
      </c>
      <c r="L116" s="64" t="s">
        <v>309</v>
      </c>
      <c r="M116" s="108" t="s">
        <v>681</v>
      </c>
      <c r="N116" s="64" t="s">
        <v>682</v>
      </c>
    </row>
    <row r="117" spans="1:14" ht="16.5" customHeight="1">
      <c r="A117" s="101">
        <v>28</v>
      </c>
      <c r="B117" s="1016" t="s">
        <v>20</v>
      </c>
      <c r="C117" s="1076" t="s">
        <v>644</v>
      </c>
      <c r="D117" s="3" t="s">
        <v>19</v>
      </c>
      <c r="E117" s="4" t="s">
        <v>25</v>
      </c>
      <c r="F117" s="4" t="s">
        <v>622</v>
      </c>
      <c r="G117" s="4" t="s">
        <v>619</v>
      </c>
      <c r="H117" s="3" t="s">
        <v>102</v>
      </c>
      <c r="I117" s="5" t="s">
        <v>620</v>
      </c>
      <c r="J117" s="1022" t="s">
        <v>168</v>
      </c>
      <c r="K117" s="1039" t="s">
        <v>645</v>
      </c>
      <c r="L117" s="57" t="s">
        <v>209</v>
      </c>
      <c r="M117" s="1068">
        <f>250000*5</f>
        <v>1250000</v>
      </c>
      <c r="N117" s="1016" t="s">
        <v>121</v>
      </c>
    </row>
    <row r="118" spans="1:14">
      <c r="A118" s="101">
        <v>28</v>
      </c>
      <c r="B118" s="1032"/>
      <c r="C118" s="1036"/>
      <c r="D118" s="3" t="s">
        <v>19</v>
      </c>
      <c r="E118" s="4" t="s">
        <v>25</v>
      </c>
      <c r="F118" s="4" t="s">
        <v>652</v>
      </c>
      <c r="G118" s="4">
        <v>4209</v>
      </c>
      <c r="H118" s="3" t="s">
        <v>18</v>
      </c>
      <c r="I118" s="5" t="s">
        <v>620</v>
      </c>
      <c r="J118" s="1078"/>
      <c r="K118" s="1077"/>
      <c r="L118" s="57" t="s">
        <v>209</v>
      </c>
      <c r="M118" s="1069"/>
      <c r="N118" s="1032"/>
    </row>
    <row r="119" spans="1:14">
      <c r="A119" s="101">
        <v>28</v>
      </c>
      <c r="B119" s="1032"/>
      <c r="C119" s="1036"/>
      <c r="D119" s="3" t="s">
        <v>19</v>
      </c>
      <c r="E119" s="4" t="s">
        <v>25</v>
      </c>
      <c r="F119" s="4" t="s">
        <v>643</v>
      </c>
      <c r="G119" s="4">
        <v>2584</v>
      </c>
      <c r="H119" s="3" t="s">
        <v>18</v>
      </c>
      <c r="I119" s="5" t="s">
        <v>620</v>
      </c>
      <c r="J119" s="1023"/>
      <c r="K119" s="1040"/>
      <c r="L119" s="57" t="s">
        <v>209</v>
      </c>
      <c r="M119" s="1070"/>
      <c r="N119" s="1017"/>
    </row>
    <row r="120" spans="1:14">
      <c r="A120" s="101">
        <v>28</v>
      </c>
      <c r="B120" s="1017"/>
      <c r="C120" s="1015"/>
      <c r="D120" s="3" t="s">
        <v>19</v>
      </c>
      <c r="E120" s="4" t="s">
        <v>650</v>
      </c>
      <c r="F120" s="4" t="s">
        <v>643</v>
      </c>
      <c r="G120" s="4">
        <v>2585</v>
      </c>
      <c r="H120" s="3" t="s">
        <v>18</v>
      </c>
      <c r="I120" s="116" t="s">
        <v>653</v>
      </c>
      <c r="J120" s="77" t="s">
        <v>654</v>
      </c>
      <c r="K120" s="135" t="s">
        <v>656</v>
      </c>
      <c r="L120" s="57" t="s">
        <v>209</v>
      </c>
      <c r="M120" s="471">
        <v>500000</v>
      </c>
      <c r="N120" s="79" t="s">
        <v>657</v>
      </c>
    </row>
    <row r="121" spans="1:14" ht="40.5">
      <c r="A121" s="55">
        <v>28</v>
      </c>
      <c r="B121" s="45" t="s">
        <v>24</v>
      </c>
      <c r="C121" s="11" t="s">
        <v>646</v>
      </c>
      <c r="D121" s="3" t="s">
        <v>633</v>
      </c>
      <c r="E121" s="4" t="s">
        <v>634</v>
      </c>
      <c r="F121" s="3" t="s">
        <v>635</v>
      </c>
      <c r="G121" s="3" t="s">
        <v>636</v>
      </c>
      <c r="H121" s="3" t="s">
        <v>637</v>
      </c>
      <c r="I121" s="9" t="s">
        <v>642</v>
      </c>
      <c r="J121" s="13" t="s">
        <v>639</v>
      </c>
      <c r="K121" s="3" t="s">
        <v>647</v>
      </c>
      <c r="L121" s="6" t="s">
        <v>15</v>
      </c>
      <c r="M121" s="96">
        <f>250000*4</f>
        <v>1000000</v>
      </c>
      <c r="N121" s="45" t="s">
        <v>648</v>
      </c>
    </row>
    <row r="122" spans="1:14" ht="16.5" customHeight="1">
      <c r="A122" s="55">
        <v>29</v>
      </c>
      <c r="B122" s="1033" t="s">
        <v>307</v>
      </c>
      <c r="C122" s="1033" t="s">
        <v>703</v>
      </c>
      <c r="D122" s="110" t="s">
        <v>306</v>
      </c>
      <c r="E122" s="110" t="s">
        <v>322</v>
      </c>
      <c r="F122" s="110" t="s">
        <v>651</v>
      </c>
      <c r="G122" s="110">
        <v>4209</v>
      </c>
      <c r="H122" s="110" t="s">
        <v>640</v>
      </c>
      <c r="I122" s="111" t="s">
        <v>704</v>
      </c>
      <c r="J122" s="110" t="s">
        <v>702</v>
      </c>
      <c r="K122" s="89" t="s">
        <v>705</v>
      </c>
      <c r="L122" s="110" t="s">
        <v>324</v>
      </c>
      <c r="M122" s="482" t="s">
        <v>458</v>
      </c>
      <c r="N122" s="110" t="s">
        <v>706</v>
      </c>
    </row>
    <row r="123" spans="1:14" ht="16.5" customHeight="1">
      <c r="A123" s="55">
        <v>29</v>
      </c>
      <c r="B123" s="1034"/>
      <c r="C123" s="1034"/>
      <c r="D123" s="110" t="s">
        <v>306</v>
      </c>
      <c r="E123" s="110" t="s">
        <v>322</v>
      </c>
      <c r="F123" s="110" t="s">
        <v>690</v>
      </c>
      <c r="G123" s="110" t="s">
        <v>689</v>
      </c>
      <c r="H123" s="110" t="s">
        <v>662</v>
      </c>
      <c r="I123" s="111" t="s">
        <v>663</v>
      </c>
      <c r="J123" s="1033" t="s">
        <v>664</v>
      </c>
      <c r="K123" s="1041" t="s">
        <v>707</v>
      </c>
      <c r="L123" s="110" t="s">
        <v>324</v>
      </c>
      <c r="M123" s="1071" t="s">
        <v>708</v>
      </c>
      <c r="N123" s="110"/>
    </row>
    <row r="124" spans="1:14">
      <c r="A124" s="55">
        <v>29</v>
      </c>
      <c r="B124" s="1034"/>
      <c r="C124" s="1034"/>
      <c r="D124" s="110" t="s">
        <v>306</v>
      </c>
      <c r="E124" s="110" t="s">
        <v>322</v>
      </c>
      <c r="F124" s="110" t="s">
        <v>651</v>
      </c>
      <c r="G124" s="110">
        <v>4209</v>
      </c>
      <c r="H124" s="110" t="s">
        <v>640</v>
      </c>
      <c r="I124" s="111" t="s">
        <v>663</v>
      </c>
      <c r="J124" s="1034"/>
      <c r="K124" s="1042"/>
      <c r="L124" s="110" t="s">
        <v>324</v>
      </c>
      <c r="M124" s="1072"/>
      <c r="N124" s="110"/>
    </row>
    <row r="125" spans="1:14">
      <c r="A125" s="55">
        <v>29</v>
      </c>
      <c r="B125" s="1034"/>
      <c r="C125" s="1034"/>
      <c r="D125" s="110" t="s">
        <v>306</v>
      </c>
      <c r="E125" s="110" t="s">
        <v>322</v>
      </c>
      <c r="F125" s="110" t="s">
        <v>709</v>
      </c>
      <c r="G125" s="110">
        <v>2584</v>
      </c>
      <c r="H125" s="110" t="s">
        <v>640</v>
      </c>
      <c r="I125" s="111" t="s">
        <v>691</v>
      </c>
      <c r="J125" s="1035"/>
      <c r="K125" s="1043"/>
      <c r="L125" s="110" t="s">
        <v>324</v>
      </c>
      <c r="M125" s="1073"/>
      <c r="N125" s="110"/>
    </row>
    <row r="126" spans="1:14">
      <c r="A126" s="55">
        <v>29</v>
      </c>
      <c r="B126" s="1035"/>
      <c r="C126" s="1035"/>
      <c r="D126" s="110" t="s">
        <v>306</v>
      </c>
      <c r="E126" s="110" t="s">
        <v>322</v>
      </c>
      <c r="F126" s="110" t="s">
        <v>709</v>
      </c>
      <c r="G126" s="110">
        <v>2579</v>
      </c>
      <c r="H126" s="110" t="s">
        <v>367</v>
      </c>
      <c r="I126" s="117" t="s">
        <v>710</v>
      </c>
      <c r="J126" s="110" t="s">
        <v>349</v>
      </c>
      <c r="K126" s="89" t="s">
        <v>655</v>
      </c>
      <c r="L126" s="110" t="s">
        <v>324</v>
      </c>
      <c r="M126" s="482" t="s">
        <v>458</v>
      </c>
      <c r="N126" s="110" t="s">
        <v>425</v>
      </c>
    </row>
    <row r="127" spans="1:14">
      <c r="A127" s="55">
        <v>29</v>
      </c>
      <c r="B127" s="1033" t="s">
        <v>311</v>
      </c>
      <c r="C127" s="110" t="s">
        <v>711</v>
      </c>
      <c r="D127" s="110" t="s">
        <v>700</v>
      </c>
      <c r="E127" s="110" t="s">
        <v>320</v>
      </c>
      <c r="F127" s="110" t="s">
        <v>337</v>
      </c>
      <c r="G127" s="110" t="s">
        <v>353</v>
      </c>
      <c r="H127" s="110" t="s">
        <v>701</v>
      </c>
      <c r="I127" s="111" t="s">
        <v>712</v>
      </c>
      <c r="J127" s="110" t="s">
        <v>638</v>
      </c>
      <c r="K127" s="89" t="s">
        <v>713</v>
      </c>
      <c r="L127" s="110" t="s">
        <v>309</v>
      </c>
      <c r="M127" s="482" t="s">
        <v>672</v>
      </c>
      <c r="N127" s="110" t="s">
        <v>696</v>
      </c>
    </row>
    <row r="128" spans="1:14">
      <c r="A128" s="55">
        <v>29</v>
      </c>
      <c r="B128" s="1034"/>
      <c r="C128" s="110" t="s">
        <v>711</v>
      </c>
      <c r="D128" s="110" t="s">
        <v>700</v>
      </c>
      <c r="E128" s="110" t="s">
        <v>320</v>
      </c>
      <c r="F128" s="110" t="s">
        <v>409</v>
      </c>
      <c r="G128" s="110" t="s">
        <v>403</v>
      </c>
      <c r="H128" s="110" t="s">
        <v>405</v>
      </c>
      <c r="I128" s="111" t="s">
        <v>714</v>
      </c>
      <c r="J128" s="110"/>
      <c r="K128" s="89" t="s">
        <v>328</v>
      </c>
      <c r="L128" s="110" t="s">
        <v>309</v>
      </c>
      <c r="M128" s="482" t="s">
        <v>458</v>
      </c>
      <c r="N128" s="110" t="s">
        <v>715</v>
      </c>
    </row>
    <row r="129" spans="1:14">
      <c r="A129" s="55">
        <v>29</v>
      </c>
      <c r="B129" s="1034"/>
      <c r="C129" s="110" t="s">
        <v>716</v>
      </c>
      <c r="D129" s="110" t="s">
        <v>700</v>
      </c>
      <c r="E129" s="110" t="s">
        <v>320</v>
      </c>
      <c r="F129" s="110" t="s">
        <v>370</v>
      </c>
      <c r="G129" s="110">
        <v>7060</v>
      </c>
      <c r="H129" s="110" t="s">
        <v>717</v>
      </c>
      <c r="I129" s="111" t="s">
        <v>687</v>
      </c>
      <c r="J129" s="110" t="s">
        <v>638</v>
      </c>
      <c r="K129" s="89" t="s">
        <v>698</v>
      </c>
      <c r="L129" s="110" t="s">
        <v>309</v>
      </c>
      <c r="M129" s="482" t="s">
        <v>672</v>
      </c>
      <c r="N129" s="110" t="s">
        <v>715</v>
      </c>
    </row>
    <row r="130" spans="1:14">
      <c r="A130" s="55">
        <v>29</v>
      </c>
      <c r="B130" s="1034"/>
      <c r="C130" s="1033" t="s">
        <v>718</v>
      </c>
      <c r="D130" s="110" t="s">
        <v>700</v>
      </c>
      <c r="E130" s="110" t="s">
        <v>320</v>
      </c>
      <c r="F130" s="110" t="s">
        <v>370</v>
      </c>
      <c r="G130" s="110">
        <v>7060</v>
      </c>
      <c r="H130" s="110" t="s">
        <v>717</v>
      </c>
      <c r="I130" s="111" t="s">
        <v>719</v>
      </c>
      <c r="J130" s="110" t="s">
        <v>638</v>
      </c>
      <c r="K130" s="89" t="s">
        <v>692</v>
      </c>
      <c r="L130" s="110" t="s">
        <v>309</v>
      </c>
      <c r="M130" s="482" t="s">
        <v>458</v>
      </c>
      <c r="N130" s="110" t="s">
        <v>715</v>
      </c>
    </row>
    <row r="131" spans="1:14">
      <c r="A131" s="55">
        <v>29</v>
      </c>
      <c r="B131" s="1034"/>
      <c r="C131" s="1035"/>
      <c r="D131" s="110" t="s">
        <v>311</v>
      </c>
      <c r="E131" s="110" t="s">
        <v>675</v>
      </c>
      <c r="F131" s="110" t="s">
        <v>720</v>
      </c>
      <c r="G131" s="110" t="s">
        <v>721</v>
      </c>
      <c r="H131" s="110" t="s">
        <v>347</v>
      </c>
      <c r="I131" s="111" t="s">
        <v>722</v>
      </c>
      <c r="J131" s="110"/>
      <c r="K131" s="89" t="s">
        <v>698</v>
      </c>
      <c r="L131" s="110" t="s">
        <v>309</v>
      </c>
      <c r="M131" s="482" t="s">
        <v>672</v>
      </c>
      <c r="N131" s="110" t="s">
        <v>723</v>
      </c>
    </row>
    <row r="132" spans="1:14">
      <c r="A132" s="55">
        <v>29</v>
      </c>
      <c r="B132" s="1034"/>
      <c r="C132" s="1033" t="s">
        <v>724</v>
      </c>
      <c r="D132" s="110" t="s">
        <v>700</v>
      </c>
      <c r="E132" s="110" t="s">
        <v>320</v>
      </c>
      <c r="F132" s="110" t="s">
        <v>370</v>
      </c>
      <c r="G132" s="110">
        <v>7060</v>
      </c>
      <c r="H132" s="110" t="s">
        <v>717</v>
      </c>
      <c r="I132" s="111" t="s">
        <v>697</v>
      </c>
      <c r="J132" s="110" t="s">
        <v>638</v>
      </c>
      <c r="K132" s="89" t="s">
        <v>713</v>
      </c>
      <c r="L132" s="110" t="s">
        <v>309</v>
      </c>
      <c r="M132" s="482" t="s">
        <v>672</v>
      </c>
      <c r="N132" s="110" t="s">
        <v>697</v>
      </c>
    </row>
    <row r="133" spans="1:14">
      <c r="A133" s="55">
        <v>29</v>
      </c>
      <c r="B133" s="1034"/>
      <c r="C133" s="1035"/>
      <c r="D133" s="110" t="s">
        <v>311</v>
      </c>
      <c r="E133" s="110" t="s">
        <v>320</v>
      </c>
      <c r="F133" s="110" t="s">
        <v>337</v>
      </c>
      <c r="G133" s="110" t="s">
        <v>333</v>
      </c>
      <c r="H133" s="110" t="s">
        <v>347</v>
      </c>
      <c r="I133" s="111" t="s">
        <v>725</v>
      </c>
      <c r="J133" s="110"/>
      <c r="K133" s="89" t="s">
        <v>705</v>
      </c>
      <c r="L133" s="110" t="s">
        <v>309</v>
      </c>
      <c r="M133" s="482" t="s">
        <v>458</v>
      </c>
      <c r="N133" s="110" t="s">
        <v>726</v>
      </c>
    </row>
    <row r="134" spans="1:14" ht="25.5">
      <c r="A134" s="55">
        <v>29</v>
      </c>
      <c r="B134" s="1035"/>
      <c r="C134" s="110" t="s">
        <v>727</v>
      </c>
      <c r="D134" s="110" t="s">
        <v>311</v>
      </c>
      <c r="E134" s="110" t="s">
        <v>675</v>
      </c>
      <c r="F134" s="110" t="s">
        <v>728</v>
      </c>
      <c r="G134" s="110" t="s">
        <v>729</v>
      </c>
      <c r="H134" s="110" t="s">
        <v>730</v>
      </c>
      <c r="I134" s="111" t="s">
        <v>688</v>
      </c>
      <c r="J134" s="110" t="s">
        <v>638</v>
      </c>
      <c r="K134" s="89" t="s">
        <v>731</v>
      </c>
      <c r="L134" s="110" t="s">
        <v>309</v>
      </c>
      <c r="M134" s="482" t="s">
        <v>359</v>
      </c>
      <c r="N134" s="110" t="s">
        <v>723</v>
      </c>
    </row>
    <row r="135" spans="1:14" ht="16.5" customHeight="1">
      <c r="A135" s="55">
        <v>30</v>
      </c>
      <c r="B135" s="1016" t="s">
        <v>618</v>
      </c>
      <c r="C135" s="1014" t="s">
        <v>734</v>
      </c>
      <c r="D135" s="3" t="s">
        <v>19</v>
      </c>
      <c r="E135" s="4" t="s">
        <v>25</v>
      </c>
      <c r="F135" s="4" t="s">
        <v>622</v>
      </c>
      <c r="G135" s="4" t="s">
        <v>619</v>
      </c>
      <c r="H135" s="3" t="s">
        <v>102</v>
      </c>
      <c r="I135" s="5" t="s">
        <v>732</v>
      </c>
      <c r="J135" s="13" t="s">
        <v>94</v>
      </c>
      <c r="K135" s="3" t="s">
        <v>757</v>
      </c>
      <c r="L135" s="57" t="s">
        <v>69</v>
      </c>
      <c r="M135" s="96">
        <f>250000*2</f>
        <v>500000</v>
      </c>
      <c r="N135" s="45" t="s">
        <v>247</v>
      </c>
    </row>
    <row r="136" spans="1:14">
      <c r="A136" s="55">
        <v>30</v>
      </c>
      <c r="B136" s="1032"/>
      <c r="C136" s="1036"/>
      <c r="D136" s="3" t="s">
        <v>19</v>
      </c>
      <c r="E136" s="4" t="s">
        <v>25</v>
      </c>
      <c r="F136" s="4" t="s">
        <v>387</v>
      </c>
      <c r="G136" s="4">
        <v>4209</v>
      </c>
      <c r="H136" s="3" t="s">
        <v>125</v>
      </c>
      <c r="I136" s="5" t="s">
        <v>732</v>
      </c>
      <c r="J136" s="13" t="s">
        <v>94</v>
      </c>
      <c r="K136" s="3" t="s">
        <v>684</v>
      </c>
      <c r="L136" s="57" t="s">
        <v>69</v>
      </c>
      <c r="M136" s="96">
        <f>250000*2</f>
        <v>500000</v>
      </c>
      <c r="N136" s="45" t="s">
        <v>247</v>
      </c>
    </row>
    <row r="137" spans="1:14">
      <c r="A137" s="55">
        <v>30</v>
      </c>
      <c r="B137" s="1032"/>
      <c r="C137" s="1036"/>
      <c r="D137" s="3" t="s">
        <v>19</v>
      </c>
      <c r="E137" s="4" t="s">
        <v>25</v>
      </c>
      <c r="F137" s="4" t="s">
        <v>211</v>
      </c>
      <c r="G137" s="4">
        <v>2584</v>
      </c>
      <c r="H137" s="3" t="s">
        <v>125</v>
      </c>
      <c r="I137" s="5" t="s">
        <v>732</v>
      </c>
      <c r="J137" s="13" t="s">
        <v>94</v>
      </c>
      <c r="K137" s="3" t="s">
        <v>684</v>
      </c>
      <c r="L137" s="57" t="s">
        <v>69</v>
      </c>
      <c r="M137" s="96">
        <f>250000*2</f>
        <v>500000</v>
      </c>
      <c r="N137" s="45" t="s">
        <v>247</v>
      </c>
    </row>
    <row r="138" spans="1:14">
      <c r="A138" s="55">
        <v>30</v>
      </c>
      <c r="B138" s="1017"/>
      <c r="C138" s="1015"/>
      <c r="D138" s="3" t="s">
        <v>19</v>
      </c>
      <c r="E138" s="4" t="s">
        <v>25</v>
      </c>
      <c r="F138" s="4" t="s">
        <v>211</v>
      </c>
      <c r="G138" s="4">
        <v>2579</v>
      </c>
      <c r="H138" s="3" t="s">
        <v>264</v>
      </c>
      <c r="I138" s="5" t="s">
        <v>733</v>
      </c>
      <c r="J138" s="13" t="s">
        <v>168</v>
      </c>
      <c r="K138" s="3" t="s">
        <v>645</v>
      </c>
      <c r="L138" s="57" t="s">
        <v>69</v>
      </c>
      <c r="M138" s="96">
        <f>250000*5</f>
        <v>1250000</v>
      </c>
      <c r="N138" s="45" t="s">
        <v>174</v>
      </c>
    </row>
    <row r="139" spans="1:14">
      <c r="A139" s="55">
        <v>30</v>
      </c>
      <c r="B139" s="1016" t="s">
        <v>596</v>
      </c>
      <c r="C139" s="35">
        <v>45132</v>
      </c>
      <c r="D139" s="3" t="s">
        <v>21</v>
      </c>
      <c r="E139" s="4" t="s">
        <v>17</v>
      </c>
      <c r="F139" s="3" t="s">
        <v>78</v>
      </c>
      <c r="G139" s="3" t="s">
        <v>502</v>
      </c>
      <c r="H139" s="3" t="s">
        <v>28</v>
      </c>
      <c r="I139" s="9" t="s">
        <v>699</v>
      </c>
      <c r="J139" s="13" t="s">
        <v>90</v>
      </c>
      <c r="K139" s="32" t="s">
        <v>684</v>
      </c>
      <c r="L139" s="6" t="s">
        <v>69</v>
      </c>
      <c r="M139" s="96">
        <f>250000*2</f>
        <v>500000</v>
      </c>
      <c r="N139" s="45" t="s">
        <v>127</v>
      </c>
    </row>
    <row r="140" spans="1:14">
      <c r="A140" s="55">
        <v>30</v>
      </c>
      <c r="B140" s="1032"/>
      <c r="C140" s="1014">
        <v>45133</v>
      </c>
      <c r="D140" s="3" t="s">
        <v>21</v>
      </c>
      <c r="E140" s="4" t="s">
        <v>17</v>
      </c>
      <c r="F140" s="3" t="s">
        <v>78</v>
      </c>
      <c r="G140" s="3" t="s">
        <v>502</v>
      </c>
      <c r="H140" s="3" t="s">
        <v>28</v>
      </c>
      <c r="I140" s="9" t="s">
        <v>699</v>
      </c>
      <c r="J140" s="13" t="s">
        <v>90</v>
      </c>
      <c r="K140" s="3" t="s">
        <v>684</v>
      </c>
      <c r="L140" s="6" t="s">
        <v>69</v>
      </c>
      <c r="M140" s="96">
        <f>250000*2</f>
        <v>500000</v>
      </c>
      <c r="N140" s="45" t="s">
        <v>127</v>
      </c>
    </row>
    <row r="141" spans="1:14">
      <c r="A141" s="55">
        <v>30</v>
      </c>
      <c r="B141" s="1032"/>
      <c r="C141" s="1015"/>
      <c r="D141" s="3" t="s">
        <v>138</v>
      </c>
      <c r="E141" s="4" t="s">
        <v>14</v>
      </c>
      <c r="F141" s="3" t="s">
        <v>107</v>
      </c>
      <c r="G141" s="3" t="s">
        <v>270</v>
      </c>
      <c r="H141" s="3" t="s">
        <v>67</v>
      </c>
      <c r="I141" s="9" t="s">
        <v>301</v>
      </c>
      <c r="J141" s="13"/>
      <c r="K141" s="3" t="s">
        <v>118</v>
      </c>
      <c r="L141" s="6" t="s">
        <v>69</v>
      </c>
      <c r="M141" s="96">
        <f>250000*2</f>
        <v>500000</v>
      </c>
      <c r="N141" s="1016" t="s">
        <v>735</v>
      </c>
    </row>
    <row r="142" spans="1:14">
      <c r="A142" s="55">
        <v>30</v>
      </c>
      <c r="B142" s="1017"/>
      <c r="C142" s="11">
        <v>45135</v>
      </c>
      <c r="D142" s="3" t="s">
        <v>138</v>
      </c>
      <c r="E142" s="4" t="s">
        <v>14</v>
      </c>
      <c r="F142" s="3" t="s">
        <v>107</v>
      </c>
      <c r="G142" s="3" t="s">
        <v>270</v>
      </c>
      <c r="H142" s="3" t="s">
        <v>67</v>
      </c>
      <c r="I142" s="9" t="s">
        <v>736</v>
      </c>
      <c r="J142" s="13"/>
      <c r="K142" s="3" t="s">
        <v>118</v>
      </c>
      <c r="L142" s="6" t="s">
        <v>69</v>
      </c>
      <c r="M142" s="96">
        <f>250000*2</f>
        <v>500000</v>
      </c>
      <c r="N142" s="1017"/>
    </row>
    <row r="143" spans="1:14" ht="40.5">
      <c r="A143" s="55">
        <v>31</v>
      </c>
      <c r="B143" s="45" t="s">
        <v>618</v>
      </c>
      <c r="C143" s="15" t="s">
        <v>753</v>
      </c>
      <c r="D143" s="3" t="s">
        <v>19</v>
      </c>
      <c r="E143" s="4" t="s">
        <v>25</v>
      </c>
      <c r="F143" s="4" t="s">
        <v>622</v>
      </c>
      <c r="G143" s="4" t="s">
        <v>756</v>
      </c>
      <c r="H143" s="3" t="s">
        <v>102</v>
      </c>
      <c r="I143" s="9" t="s">
        <v>732</v>
      </c>
      <c r="J143" s="13" t="s">
        <v>768</v>
      </c>
      <c r="K143" s="3" t="s">
        <v>769</v>
      </c>
      <c r="L143" s="57" t="s">
        <v>69</v>
      </c>
      <c r="M143" s="96">
        <v>1000000</v>
      </c>
      <c r="N143" s="45" t="s">
        <v>247</v>
      </c>
    </row>
    <row r="144" spans="1:14" ht="27">
      <c r="A144" s="55">
        <v>31</v>
      </c>
      <c r="B144" s="1016" t="s">
        <v>596</v>
      </c>
      <c r="C144" s="15">
        <v>45138</v>
      </c>
      <c r="D144" s="3" t="s">
        <v>758</v>
      </c>
      <c r="E144" s="4" t="s">
        <v>759</v>
      </c>
      <c r="F144" s="3" t="s">
        <v>760</v>
      </c>
      <c r="G144" s="3" t="s">
        <v>761</v>
      </c>
      <c r="H144" s="3" t="s">
        <v>762</v>
      </c>
      <c r="I144" s="9" t="s">
        <v>763</v>
      </c>
      <c r="J144" s="13" t="s">
        <v>766</v>
      </c>
      <c r="K144" s="3" t="s">
        <v>764</v>
      </c>
      <c r="L144" s="6" t="s">
        <v>69</v>
      </c>
      <c r="M144" s="96">
        <v>750000</v>
      </c>
      <c r="N144" s="45" t="s">
        <v>765</v>
      </c>
    </row>
    <row r="145" spans="1:14">
      <c r="A145" s="55">
        <v>31</v>
      </c>
      <c r="B145" s="1017"/>
      <c r="C145" s="15">
        <v>45139</v>
      </c>
      <c r="D145" s="3" t="s">
        <v>21</v>
      </c>
      <c r="E145" s="4" t="s">
        <v>14</v>
      </c>
      <c r="F145" s="3" t="s">
        <v>107</v>
      </c>
      <c r="G145" s="3" t="s">
        <v>144</v>
      </c>
      <c r="H145" s="3" t="s">
        <v>23</v>
      </c>
      <c r="I145" s="9" t="s">
        <v>754</v>
      </c>
      <c r="J145" s="13" t="s">
        <v>767</v>
      </c>
      <c r="K145" s="3" t="s">
        <v>487</v>
      </c>
      <c r="L145" s="6" t="s">
        <v>69</v>
      </c>
      <c r="M145" s="96">
        <f>250000*2</f>
        <v>500000</v>
      </c>
      <c r="N145" s="45" t="s">
        <v>755</v>
      </c>
    </row>
    <row r="146" spans="1:14" ht="54">
      <c r="A146" s="55">
        <v>32</v>
      </c>
      <c r="B146" s="1016" t="s">
        <v>20</v>
      </c>
      <c r="C146" s="1014" t="s">
        <v>869</v>
      </c>
      <c r="D146" s="1039" t="s">
        <v>19</v>
      </c>
      <c r="E146" s="1074" t="s">
        <v>25</v>
      </c>
      <c r="F146" s="4" t="s">
        <v>20</v>
      </c>
      <c r="G146" s="4" t="s">
        <v>770</v>
      </c>
      <c r="H146" s="3" t="s">
        <v>771</v>
      </c>
      <c r="I146" s="9" t="s">
        <v>732</v>
      </c>
      <c r="J146" s="13" t="s">
        <v>768</v>
      </c>
      <c r="K146" s="3" t="s">
        <v>772</v>
      </c>
      <c r="L146" s="57" t="s">
        <v>15</v>
      </c>
      <c r="M146" s="96">
        <v>2500000</v>
      </c>
      <c r="N146" s="45" t="s">
        <v>657</v>
      </c>
    </row>
    <row r="147" spans="1:14" ht="27">
      <c r="A147" s="55">
        <v>32</v>
      </c>
      <c r="B147" s="1017"/>
      <c r="C147" s="1015"/>
      <c r="D147" s="1040"/>
      <c r="E147" s="1075"/>
      <c r="F147" s="4" t="s">
        <v>20</v>
      </c>
      <c r="G147" s="4" t="s">
        <v>774</v>
      </c>
      <c r="H147" s="3" t="s">
        <v>775</v>
      </c>
      <c r="I147" s="9" t="s">
        <v>733</v>
      </c>
      <c r="J147" s="13" t="s">
        <v>220</v>
      </c>
      <c r="K147" s="3" t="s">
        <v>773</v>
      </c>
      <c r="L147" s="57" t="s">
        <v>15</v>
      </c>
      <c r="M147" s="96">
        <f>250000*5</f>
        <v>1250000</v>
      </c>
      <c r="N147" s="119" t="s">
        <v>121</v>
      </c>
    </row>
    <row r="148" spans="1:14" ht="54">
      <c r="A148" s="55">
        <v>33</v>
      </c>
      <c r="B148" s="1016" t="s">
        <v>123</v>
      </c>
      <c r="C148" s="1014" t="s">
        <v>782</v>
      </c>
      <c r="D148" s="1039" t="s">
        <v>19</v>
      </c>
      <c r="E148" s="1074" t="s">
        <v>25</v>
      </c>
      <c r="F148" s="4" t="s">
        <v>123</v>
      </c>
      <c r="G148" s="4" t="s">
        <v>784</v>
      </c>
      <c r="H148" s="3" t="s">
        <v>785</v>
      </c>
      <c r="I148" s="9" t="s">
        <v>732</v>
      </c>
      <c r="J148" s="13" t="s">
        <v>768</v>
      </c>
      <c r="K148" s="3" t="s">
        <v>783</v>
      </c>
      <c r="L148" s="57" t="s">
        <v>15</v>
      </c>
      <c r="M148" s="96">
        <f>250000*6</f>
        <v>1500000</v>
      </c>
      <c r="N148" s="45" t="s">
        <v>247</v>
      </c>
    </row>
    <row r="149" spans="1:14" ht="40.5">
      <c r="A149" s="55">
        <v>33</v>
      </c>
      <c r="B149" s="1017"/>
      <c r="C149" s="1015"/>
      <c r="D149" s="1040"/>
      <c r="E149" s="1075"/>
      <c r="F149" s="4" t="s">
        <v>123</v>
      </c>
      <c r="G149" s="4" t="s">
        <v>786</v>
      </c>
      <c r="H149" s="3" t="s">
        <v>787</v>
      </c>
      <c r="I149" s="9" t="s">
        <v>733</v>
      </c>
      <c r="J149" s="13" t="s">
        <v>737</v>
      </c>
      <c r="K149" s="3" t="s">
        <v>791</v>
      </c>
      <c r="L149" s="57" t="s">
        <v>15</v>
      </c>
      <c r="M149" s="96">
        <f>250000*4</f>
        <v>1000000</v>
      </c>
      <c r="N149" s="119" t="s">
        <v>121</v>
      </c>
    </row>
    <row r="150" spans="1:14">
      <c r="A150" s="55">
        <v>33</v>
      </c>
      <c r="B150" s="1016" t="s">
        <v>24</v>
      </c>
      <c r="C150" s="15">
        <v>45150</v>
      </c>
      <c r="D150" s="3" t="s">
        <v>21</v>
      </c>
      <c r="E150" s="4" t="s">
        <v>14</v>
      </c>
      <c r="F150" s="3" t="s">
        <v>277</v>
      </c>
      <c r="G150" s="3">
        <v>4207</v>
      </c>
      <c r="H150" s="3" t="s">
        <v>18</v>
      </c>
      <c r="I150" s="9" t="s">
        <v>788</v>
      </c>
      <c r="J150" s="13"/>
      <c r="K150" s="3" t="s">
        <v>789</v>
      </c>
      <c r="L150" s="6" t="s">
        <v>15</v>
      </c>
      <c r="M150" s="96">
        <v>500000</v>
      </c>
      <c r="N150" s="45" t="s">
        <v>790</v>
      </c>
    </row>
    <row r="151" spans="1:14" ht="27">
      <c r="A151" s="55">
        <v>33</v>
      </c>
      <c r="B151" s="1032"/>
      <c r="C151" s="15">
        <v>45152</v>
      </c>
      <c r="D151" s="3" t="s">
        <v>21</v>
      </c>
      <c r="E151" s="4" t="s">
        <v>17</v>
      </c>
      <c r="F151" s="3" t="s">
        <v>107</v>
      </c>
      <c r="G151" s="3" t="s">
        <v>82</v>
      </c>
      <c r="H151" s="3" t="s">
        <v>778</v>
      </c>
      <c r="I151" s="9" t="s">
        <v>779</v>
      </c>
      <c r="J151" s="13" t="s">
        <v>781</v>
      </c>
      <c r="K151" s="3" t="s">
        <v>780</v>
      </c>
      <c r="L151" s="6" t="s">
        <v>15</v>
      </c>
      <c r="M151" s="96">
        <v>500000</v>
      </c>
      <c r="N151" s="45" t="s">
        <v>127</v>
      </c>
    </row>
    <row r="152" spans="1:14">
      <c r="A152" s="55">
        <v>33</v>
      </c>
      <c r="B152" s="1017"/>
      <c r="C152" s="15">
        <v>45154</v>
      </c>
      <c r="D152" s="3" t="s">
        <v>21</v>
      </c>
      <c r="E152" s="4" t="s">
        <v>14</v>
      </c>
      <c r="F152" s="3" t="s">
        <v>107</v>
      </c>
      <c r="G152" s="3" t="s">
        <v>144</v>
      </c>
      <c r="H152" s="3" t="s">
        <v>205</v>
      </c>
      <c r="I152" s="9" t="s">
        <v>776</v>
      </c>
      <c r="J152" s="13"/>
      <c r="K152" s="3" t="s">
        <v>686</v>
      </c>
      <c r="L152" s="6" t="s">
        <v>15</v>
      </c>
      <c r="M152" s="96">
        <v>250000</v>
      </c>
      <c r="N152" s="45" t="s">
        <v>393</v>
      </c>
    </row>
    <row r="153" spans="1:14" ht="27">
      <c r="A153" s="55">
        <v>34</v>
      </c>
      <c r="B153" s="1016" t="s">
        <v>123</v>
      </c>
      <c r="C153" s="15">
        <v>45156</v>
      </c>
      <c r="D153" s="3" t="s">
        <v>19</v>
      </c>
      <c r="E153" s="4" t="s">
        <v>25</v>
      </c>
      <c r="F153" s="4" t="s">
        <v>123</v>
      </c>
      <c r="G153" s="4">
        <v>4209</v>
      </c>
      <c r="H153" s="3" t="s">
        <v>801</v>
      </c>
      <c r="I153" s="9" t="s">
        <v>732</v>
      </c>
      <c r="J153" s="13" t="s">
        <v>768</v>
      </c>
      <c r="K153" s="3" t="s">
        <v>826</v>
      </c>
      <c r="L153" s="57">
        <v>1</v>
      </c>
      <c r="M153" s="96">
        <f>250000*1</f>
        <v>250000</v>
      </c>
      <c r="N153" s="1016" t="s">
        <v>247</v>
      </c>
    </row>
    <row r="154" spans="1:14" ht="27">
      <c r="A154" s="55">
        <v>34</v>
      </c>
      <c r="B154" s="1032"/>
      <c r="C154" s="1014">
        <v>45157</v>
      </c>
      <c r="D154" s="3" t="s">
        <v>19</v>
      </c>
      <c r="E154" s="4" t="s">
        <v>25</v>
      </c>
      <c r="F154" s="4" t="s">
        <v>123</v>
      </c>
      <c r="G154" s="4">
        <v>4209</v>
      </c>
      <c r="H154" s="3" t="s">
        <v>801</v>
      </c>
      <c r="I154" s="9" t="s">
        <v>732</v>
      </c>
      <c r="J154" s="13" t="s">
        <v>768</v>
      </c>
      <c r="K154" s="3" t="s">
        <v>820</v>
      </c>
      <c r="L154" s="57">
        <v>1</v>
      </c>
      <c r="M154" s="96">
        <f>250000*3</f>
        <v>750000</v>
      </c>
      <c r="N154" s="1032"/>
    </row>
    <row r="155" spans="1:14" ht="27">
      <c r="A155" s="55">
        <v>34</v>
      </c>
      <c r="B155" s="1032"/>
      <c r="C155" s="1015"/>
      <c r="D155" s="3" t="s">
        <v>19</v>
      </c>
      <c r="E155" s="4" t="s">
        <v>25</v>
      </c>
      <c r="F155" s="4" t="s">
        <v>123</v>
      </c>
      <c r="G155" s="4" t="s">
        <v>802</v>
      </c>
      <c r="H155" s="3" t="s">
        <v>803</v>
      </c>
      <c r="I155" s="9" t="s">
        <v>732</v>
      </c>
      <c r="J155" s="13" t="s">
        <v>768</v>
      </c>
      <c r="K155" s="3" t="s">
        <v>820</v>
      </c>
      <c r="L155" s="57">
        <v>1</v>
      </c>
      <c r="M155" s="96">
        <f>250000*3</f>
        <v>750000</v>
      </c>
      <c r="N155" s="1017"/>
    </row>
    <row r="156" spans="1:14" ht="27">
      <c r="A156" s="55">
        <v>34</v>
      </c>
      <c r="B156" s="1032"/>
      <c r="C156" s="1014">
        <v>45159</v>
      </c>
      <c r="D156" s="3" t="s">
        <v>19</v>
      </c>
      <c r="E156" s="4" t="s">
        <v>25</v>
      </c>
      <c r="F156" s="4" t="s">
        <v>123</v>
      </c>
      <c r="G156" s="4">
        <v>4209</v>
      </c>
      <c r="H156" s="3" t="s">
        <v>801</v>
      </c>
      <c r="I156" s="9" t="s">
        <v>732</v>
      </c>
      <c r="J156" s="13" t="s">
        <v>768</v>
      </c>
      <c r="K156" s="3" t="s">
        <v>804</v>
      </c>
      <c r="L156" s="57" t="s">
        <v>805</v>
      </c>
      <c r="M156" s="96">
        <f>250000*2</f>
        <v>500000</v>
      </c>
      <c r="N156" s="1016" t="s">
        <v>825</v>
      </c>
    </row>
    <row r="157" spans="1:14" ht="27">
      <c r="A157" s="55">
        <v>34</v>
      </c>
      <c r="B157" s="1032"/>
      <c r="C157" s="1015"/>
      <c r="D157" s="3" t="s">
        <v>19</v>
      </c>
      <c r="E157" s="4" t="s">
        <v>25</v>
      </c>
      <c r="F157" s="4" t="s">
        <v>123</v>
      </c>
      <c r="G157" s="4" t="s">
        <v>802</v>
      </c>
      <c r="H157" s="3" t="s">
        <v>803</v>
      </c>
      <c r="I157" s="9" t="s">
        <v>732</v>
      </c>
      <c r="J157" s="13" t="s">
        <v>768</v>
      </c>
      <c r="K157" s="3" t="s">
        <v>804</v>
      </c>
      <c r="L157" s="57" t="s">
        <v>805</v>
      </c>
      <c r="M157" s="96">
        <f>250000*2</f>
        <v>500000</v>
      </c>
      <c r="N157" s="1032"/>
    </row>
    <row r="158" spans="1:14" ht="27">
      <c r="A158" s="55">
        <v>34</v>
      </c>
      <c r="B158" s="1032"/>
      <c r="C158" s="1014">
        <v>45160</v>
      </c>
      <c r="D158" s="3" t="s">
        <v>19</v>
      </c>
      <c r="E158" s="4" t="s">
        <v>25</v>
      </c>
      <c r="F158" s="4" t="s">
        <v>123</v>
      </c>
      <c r="G158" s="4">
        <v>4209</v>
      </c>
      <c r="H158" s="3" t="s">
        <v>801</v>
      </c>
      <c r="I158" s="9" t="s">
        <v>732</v>
      </c>
      <c r="J158" s="13" t="s">
        <v>768</v>
      </c>
      <c r="K158" s="3" t="s">
        <v>822</v>
      </c>
      <c r="L158" s="57" t="s">
        <v>805</v>
      </c>
      <c r="M158" s="96">
        <f>250000*1</f>
        <v>250000</v>
      </c>
      <c r="N158" s="1032"/>
    </row>
    <row r="159" spans="1:14" ht="27">
      <c r="A159" s="55">
        <v>34</v>
      </c>
      <c r="B159" s="1032"/>
      <c r="C159" s="1015"/>
      <c r="D159" s="3" t="s">
        <v>19</v>
      </c>
      <c r="E159" s="4" t="s">
        <v>25</v>
      </c>
      <c r="F159" s="4" t="s">
        <v>123</v>
      </c>
      <c r="G159" s="4" t="s">
        <v>802</v>
      </c>
      <c r="H159" s="3" t="s">
        <v>803</v>
      </c>
      <c r="I159" s="9" t="s">
        <v>732</v>
      </c>
      <c r="J159" s="13" t="s">
        <v>768</v>
      </c>
      <c r="K159" s="3" t="s">
        <v>821</v>
      </c>
      <c r="L159" s="57" t="s">
        <v>805</v>
      </c>
      <c r="M159" s="96">
        <f>250000*1</f>
        <v>250000</v>
      </c>
      <c r="N159" s="1032"/>
    </row>
    <row r="160" spans="1:14" ht="27">
      <c r="A160" s="55">
        <v>34</v>
      </c>
      <c r="B160" s="1032"/>
      <c r="C160" s="15">
        <v>45161</v>
      </c>
      <c r="D160" s="3" t="s">
        <v>19</v>
      </c>
      <c r="E160" s="4" t="s">
        <v>25</v>
      </c>
      <c r="F160" s="4" t="s">
        <v>123</v>
      </c>
      <c r="G160" s="4">
        <v>2584</v>
      </c>
      <c r="H160" s="3" t="s">
        <v>823</v>
      </c>
      <c r="I160" s="9" t="s">
        <v>732</v>
      </c>
      <c r="J160" s="13" t="s">
        <v>768</v>
      </c>
      <c r="K160" s="3" t="s">
        <v>804</v>
      </c>
      <c r="L160" s="57">
        <v>2</v>
      </c>
      <c r="M160" s="96">
        <f>250000*2</f>
        <v>500000</v>
      </c>
      <c r="N160" s="1032"/>
    </row>
    <row r="161" spans="1:15" ht="27">
      <c r="A161" s="55">
        <v>34</v>
      </c>
      <c r="B161" s="1032"/>
      <c r="C161" s="15">
        <v>45162</v>
      </c>
      <c r="D161" s="3" t="s">
        <v>19</v>
      </c>
      <c r="E161" s="4" t="s">
        <v>25</v>
      </c>
      <c r="F161" s="4" t="s">
        <v>123</v>
      </c>
      <c r="G161" s="4">
        <v>2584</v>
      </c>
      <c r="H161" s="3" t="s">
        <v>823</v>
      </c>
      <c r="I161" s="9" t="s">
        <v>732</v>
      </c>
      <c r="J161" s="13" t="s">
        <v>768</v>
      </c>
      <c r="K161" s="3" t="s">
        <v>804</v>
      </c>
      <c r="L161" s="57">
        <v>2</v>
      </c>
      <c r="M161" s="96">
        <f>250000*2</f>
        <v>500000</v>
      </c>
      <c r="N161" s="1017"/>
    </row>
    <row r="162" spans="1:15" ht="27">
      <c r="A162" s="55">
        <v>34</v>
      </c>
      <c r="B162" s="1017"/>
      <c r="C162" s="15" t="s">
        <v>870</v>
      </c>
      <c r="D162" s="3" t="s">
        <v>19</v>
      </c>
      <c r="E162" s="4" t="s">
        <v>25</v>
      </c>
      <c r="F162" s="4" t="s">
        <v>123</v>
      </c>
      <c r="G162" s="4">
        <v>3306</v>
      </c>
      <c r="H162" s="3" t="s">
        <v>811</v>
      </c>
      <c r="I162" s="9" t="s">
        <v>827</v>
      </c>
      <c r="J162" s="13" t="s">
        <v>812</v>
      </c>
      <c r="K162" s="3" t="s">
        <v>813</v>
      </c>
      <c r="L162" s="57" t="s">
        <v>805</v>
      </c>
      <c r="M162" s="96">
        <f>250000*5</f>
        <v>1250000</v>
      </c>
      <c r="N162" s="119" t="s">
        <v>824</v>
      </c>
      <c r="O162" t="s">
        <v>864</v>
      </c>
    </row>
    <row r="163" spans="1:15">
      <c r="A163" s="55">
        <v>34</v>
      </c>
      <c r="B163" s="1016" t="s">
        <v>24</v>
      </c>
      <c r="C163" s="15">
        <v>45159</v>
      </c>
      <c r="D163" s="3" t="s">
        <v>21</v>
      </c>
      <c r="E163" s="4" t="s">
        <v>17</v>
      </c>
      <c r="F163" s="3" t="s">
        <v>27</v>
      </c>
      <c r="G163" s="14" t="s">
        <v>38</v>
      </c>
      <c r="H163" s="3" t="s">
        <v>28</v>
      </c>
      <c r="I163" s="9" t="s">
        <v>740</v>
      </c>
      <c r="J163" s="13" t="s">
        <v>90</v>
      </c>
      <c r="K163" s="3" t="s">
        <v>810</v>
      </c>
      <c r="L163" s="6" t="s">
        <v>15</v>
      </c>
      <c r="M163" s="96">
        <v>300000</v>
      </c>
      <c r="N163" s="45" t="s">
        <v>806</v>
      </c>
    </row>
    <row r="164" spans="1:15">
      <c r="A164" s="55">
        <v>34</v>
      </c>
      <c r="B164" s="1032"/>
      <c r="C164" s="15">
        <v>45160</v>
      </c>
      <c r="D164" s="3" t="s">
        <v>21</v>
      </c>
      <c r="E164" s="4" t="s">
        <v>693</v>
      </c>
      <c r="F164" s="3" t="s">
        <v>623</v>
      </c>
      <c r="G164" s="3" t="s">
        <v>694</v>
      </c>
      <c r="H164" s="3" t="s">
        <v>695</v>
      </c>
      <c r="I164" s="9" t="s">
        <v>285</v>
      </c>
      <c r="J164" s="13" t="s">
        <v>90</v>
      </c>
      <c r="K164" s="3" t="s">
        <v>41</v>
      </c>
      <c r="L164" s="6" t="s">
        <v>15</v>
      </c>
      <c r="M164" s="96">
        <f>180000</f>
        <v>180000</v>
      </c>
      <c r="N164" s="45" t="s">
        <v>809</v>
      </c>
    </row>
    <row r="165" spans="1:15">
      <c r="A165" s="55">
        <v>34</v>
      </c>
      <c r="B165" s="1032"/>
      <c r="C165" s="15">
        <v>45162</v>
      </c>
      <c r="D165" s="3" t="s">
        <v>21</v>
      </c>
      <c r="E165" s="4" t="s">
        <v>693</v>
      </c>
      <c r="F165" s="3" t="s">
        <v>623</v>
      </c>
      <c r="G165" s="3" t="s">
        <v>694</v>
      </c>
      <c r="H165" s="3" t="s">
        <v>695</v>
      </c>
      <c r="I165" s="9" t="s">
        <v>303</v>
      </c>
      <c r="J165" s="13" t="s">
        <v>90</v>
      </c>
      <c r="K165" s="3" t="s">
        <v>41</v>
      </c>
      <c r="L165" s="6" t="s">
        <v>15</v>
      </c>
      <c r="M165" s="96">
        <f>180000</f>
        <v>180000</v>
      </c>
      <c r="N165" s="45" t="s">
        <v>809</v>
      </c>
    </row>
    <row r="166" spans="1:15">
      <c r="A166" s="55">
        <v>34</v>
      </c>
      <c r="B166" s="1017"/>
      <c r="C166" s="15">
        <v>45163</v>
      </c>
      <c r="D166" s="3" t="s">
        <v>796</v>
      </c>
      <c r="E166" s="4" t="s">
        <v>797</v>
      </c>
      <c r="F166" s="3" t="s">
        <v>22</v>
      </c>
      <c r="G166" s="3">
        <v>7060</v>
      </c>
      <c r="H166" s="3" t="s">
        <v>798</v>
      </c>
      <c r="I166" s="9" t="s">
        <v>799</v>
      </c>
      <c r="J166" s="13" t="s">
        <v>793</v>
      </c>
      <c r="K166" s="3" t="s">
        <v>1113</v>
      </c>
      <c r="L166" s="6" t="s">
        <v>795</v>
      </c>
      <c r="M166" s="96">
        <v>680000</v>
      </c>
      <c r="N166" s="45" t="s">
        <v>808</v>
      </c>
    </row>
    <row r="167" spans="1:15" ht="16.5" customHeight="1">
      <c r="A167" s="55">
        <v>35</v>
      </c>
      <c r="B167" s="992" t="s">
        <v>849</v>
      </c>
      <c r="C167" s="981" t="s">
        <v>871</v>
      </c>
      <c r="D167" s="4" t="s">
        <v>19</v>
      </c>
      <c r="E167" s="4" t="s">
        <v>25</v>
      </c>
      <c r="F167" s="4" t="s">
        <v>123</v>
      </c>
      <c r="G167" s="4">
        <v>4210</v>
      </c>
      <c r="H167" s="4" t="s">
        <v>850</v>
      </c>
      <c r="I167" s="9" t="s">
        <v>855</v>
      </c>
      <c r="J167" s="13" t="s">
        <v>812</v>
      </c>
      <c r="K167" s="3" t="s">
        <v>856</v>
      </c>
      <c r="L167" s="57" t="s">
        <v>805</v>
      </c>
      <c r="M167" s="96">
        <f>250000*2</f>
        <v>500000</v>
      </c>
      <c r="N167" s="119" t="s">
        <v>859</v>
      </c>
    </row>
    <row r="168" spans="1:15">
      <c r="A168" s="55">
        <v>35</v>
      </c>
      <c r="B168" s="993"/>
      <c r="C168" s="982"/>
      <c r="D168" s="4" t="s">
        <v>19</v>
      </c>
      <c r="E168" s="4" t="s">
        <v>25</v>
      </c>
      <c r="F168" s="4" t="s">
        <v>123</v>
      </c>
      <c r="G168" s="4" t="s">
        <v>851</v>
      </c>
      <c r="H168" s="4" t="s">
        <v>852</v>
      </c>
      <c r="I168" s="9" t="s">
        <v>855</v>
      </c>
      <c r="J168" s="13" t="s">
        <v>812</v>
      </c>
      <c r="K168" s="3" t="s">
        <v>857</v>
      </c>
      <c r="L168" s="57" t="s">
        <v>805</v>
      </c>
      <c r="M168" s="96">
        <f>250000</f>
        <v>250000</v>
      </c>
      <c r="N168" s="119" t="s">
        <v>859</v>
      </c>
    </row>
    <row r="169" spans="1:15">
      <c r="A169" s="55">
        <v>35</v>
      </c>
      <c r="B169" s="993"/>
      <c r="C169" s="982"/>
      <c r="D169" s="4" t="s">
        <v>19</v>
      </c>
      <c r="E169" s="4" t="s">
        <v>25</v>
      </c>
      <c r="F169" s="4" t="s">
        <v>123</v>
      </c>
      <c r="G169" s="4" t="s">
        <v>853</v>
      </c>
      <c r="H169" s="4" t="s">
        <v>854</v>
      </c>
      <c r="I169" s="9" t="s">
        <v>855</v>
      </c>
      <c r="J169" s="13" t="s">
        <v>812</v>
      </c>
      <c r="K169" s="3" t="s">
        <v>858</v>
      </c>
      <c r="L169" s="57" t="s">
        <v>805</v>
      </c>
      <c r="M169" s="96">
        <f>250000*2</f>
        <v>500000</v>
      </c>
      <c r="N169" s="119" t="s">
        <v>859</v>
      </c>
    </row>
    <row r="170" spans="1:15">
      <c r="A170" s="55">
        <v>35</v>
      </c>
      <c r="B170" s="994"/>
      <c r="C170" s="983"/>
      <c r="D170" s="4" t="s">
        <v>19</v>
      </c>
      <c r="E170" s="4" t="s">
        <v>25</v>
      </c>
      <c r="F170" s="4" t="s">
        <v>123</v>
      </c>
      <c r="G170" s="4" t="s">
        <v>853</v>
      </c>
      <c r="H170" s="4" t="s">
        <v>860</v>
      </c>
      <c r="I170" s="9" t="s">
        <v>861</v>
      </c>
      <c r="J170" s="13"/>
      <c r="K170" s="3" t="s">
        <v>862</v>
      </c>
      <c r="L170" s="57">
        <v>2</v>
      </c>
      <c r="M170" s="96">
        <f>250000*2</f>
        <v>500000</v>
      </c>
      <c r="N170" s="45" t="s">
        <v>863</v>
      </c>
    </row>
    <row r="171" spans="1:15">
      <c r="A171" s="55">
        <v>35</v>
      </c>
      <c r="B171" s="992" t="s">
        <v>24</v>
      </c>
      <c r="C171" s="15">
        <v>45166</v>
      </c>
      <c r="D171" s="3" t="s">
        <v>21</v>
      </c>
      <c r="E171" s="4" t="s">
        <v>14</v>
      </c>
      <c r="F171" s="3" t="s">
        <v>277</v>
      </c>
      <c r="G171" s="3">
        <v>4207</v>
      </c>
      <c r="H171" s="3" t="s">
        <v>18</v>
      </c>
      <c r="I171" s="9" t="s">
        <v>792</v>
      </c>
      <c r="J171" s="13"/>
      <c r="K171" s="3" t="s">
        <v>828</v>
      </c>
      <c r="L171" s="6" t="s">
        <v>15</v>
      </c>
      <c r="M171" s="96">
        <v>500000</v>
      </c>
      <c r="N171" s="45" t="s">
        <v>847</v>
      </c>
    </row>
    <row r="172" spans="1:15">
      <c r="A172" s="55">
        <v>35</v>
      </c>
      <c r="B172" s="993"/>
      <c r="C172" s="15">
        <v>45167</v>
      </c>
      <c r="D172" s="3" t="s">
        <v>21</v>
      </c>
      <c r="E172" s="4" t="s">
        <v>693</v>
      </c>
      <c r="F172" s="3" t="s">
        <v>623</v>
      </c>
      <c r="G172" s="3" t="s">
        <v>694</v>
      </c>
      <c r="H172" s="3" t="s">
        <v>695</v>
      </c>
      <c r="I172" s="9" t="s">
        <v>841</v>
      </c>
      <c r="J172" s="13" t="s">
        <v>90</v>
      </c>
      <c r="K172" s="3" t="s">
        <v>41</v>
      </c>
      <c r="L172" s="6" t="s">
        <v>15</v>
      </c>
      <c r="M172" s="96">
        <f>180000</f>
        <v>180000</v>
      </c>
      <c r="N172" s="45" t="s">
        <v>809</v>
      </c>
    </row>
    <row r="173" spans="1:15">
      <c r="A173" s="55">
        <v>35</v>
      </c>
      <c r="B173" s="993"/>
      <c r="C173" s="15">
        <v>45167</v>
      </c>
      <c r="D173" s="3" t="s">
        <v>796</v>
      </c>
      <c r="E173" s="4" t="s">
        <v>797</v>
      </c>
      <c r="F173" s="3" t="s">
        <v>22</v>
      </c>
      <c r="G173" s="3">
        <v>7060</v>
      </c>
      <c r="H173" s="3" t="s">
        <v>798</v>
      </c>
      <c r="I173" s="9" t="s">
        <v>799</v>
      </c>
      <c r="J173" s="13"/>
      <c r="K173" s="3" t="s">
        <v>845</v>
      </c>
      <c r="L173" s="6" t="s">
        <v>795</v>
      </c>
      <c r="M173" s="96">
        <f>250000*3</f>
        <v>750000</v>
      </c>
      <c r="N173" s="45" t="s">
        <v>848</v>
      </c>
    </row>
    <row r="174" spans="1:15">
      <c r="A174" s="55">
        <v>35</v>
      </c>
      <c r="B174" s="993"/>
      <c r="C174" s="15">
        <v>45168</v>
      </c>
      <c r="D174" s="3" t="s">
        <v>796</v>
      </c>
      <c r="E174" s="4" t="s">
        <v>815</v>
      </c>
      <c r="F174" s="3" t="s">
        <v>816</v>
      </c>
      <c r="G174" s="3" t="s">
        <v>817</v>
      </c>
      <c r="H174" s="3" t="s">
        <v>818</v>
      </c>
      <c r="I174" s="9" t="s">
        <v>839</v>
      </c>
      <c r="J174" s="13" t="s">
        <v>819</v>
      </c>
      <c r="K174" s="3" t="s">
        <v>840</v>
      </c>
      <c r="L174" s="6" t="s">
        <v>795</v>
      </c>
      <c r="M174" s="96">
        <v>180000</v>
      </c>
      <c r="N174" s="45" t="s">
        <v>846</v>
      </c>
    </row>
    <row r="175" spans="1:15">
      <c r="A175" s="55">
        <v>35</v>
      </c>
      <c r="B175" s="994"/>
      <c r="C175" s="15">
        <v>45168</v>
      </c>
      <c r="D175" s="3" t="s">
        <v>21</v>
      </c>
      <c r="E175" s="4" t="s">
        <v>14</v>
      </c>
      <c r="F175" s="3" t="s">
        <v>277</v>
      </c>
      <c r="G175" s="3">
        <v>4208</v>
      </c>
      <c r="H175" s="3" t="s">
        <v>18</v>
      </c>
      <c r="I175" s="9" t="s">
        <v>792</v>
      </c>
      <c r="J175" s="13"/>
      <c r="K175" s="3" t="s">
        <v>828</v>
      </c>
      <c r="L175" s="6" t="s">
        <v>15</v>
      </c>
      <c r="M175" s="96">
        <v>500000</v>
      </c>
      <c r="N175" s="45" t="s">
        <v>847</v>
      </c>
    </row>
    <row r="176" spans="1:15">
      <c r="A176" s="55">
        <v>36</v>
      </c>
      <c r="B176" s="992" t="s">
        <v>849</v>
      </c>
      <c r="C176" s="92">
        <v>45176</v>
      </c>
      <c r="D176" s="4" t="s">
        <v>19</v>
      </c>
      <c r="E176" s="4" t="s">
        <v>25</v>
      </c>
      <c r="F176" s="4" t="s">
        <v>123</v>
      </c>
      <c r="G176" s="4">
        <v>4210</v>
      </c>
      <c r="H176" s="4" t="s">
        <v>850</v>
      </c>
      <c r="I176" s="9" t="s">
        <v>904</v>
      </c>
      <c r="J176" s="13" t="s">
        <v>905</v>
      </c>
      <c r="K176" s="3" t="s">
        <v>906</v>
      </c>
      <c r="L176" s="57" t="s">
        <v>805</v>
      </c>
      <c r="M176" s="96">
        <f>250000*2</f>
        <v>500000</v>
      </c>
      <c r="N176" s="45" t="s">
        <v>907</v>
      </c>
    </row>
    <row r="177" spans="1:14">
      <c r="A177" s="55">
        <v>36</v>
      </c>
      <c r="B177" s="993"/>
      <c r="C177" s="92">
        <v>45177</v>
      </c>
      <c r="D177" s="4" t="s">
        <v>19</v>
      </c>
      <c r="E177" s="4" t="s">
        <v>25</v>
      </c>
      <c r="F177" s="4" t="s">
        <v>123</v>
      </c>
      <c r="G177" s="4">
        <v>4210</v>
      </c>
      <c r="H177" s="4" t="s">
        <v>850</v>
      </c>
      <c r="I177" s="9" t="s">
        <v>904</v>
      </c>
      <c r="J177" s="13" t="s">
        <v>905</v>
      </c>
      <c r="K177" s="3" t="s">
        <v>906</v>
      </c>
      <c r="L177" s="57" t="s">
        <v>805</v>
      </c>
      <c r="M177" s="96">
        <f>250000*2</f>
        <v>500000</v>
      </c>
      <c r="N177" s="45" t="s">
        <v>907</v>
      </c>
    </row>
    <row r="178" spans="1:14">
      <c r="A178" s="55">
        <v>36</v>
      </c>
      <c r="B178" s="993"/>
      <c r="C178" s="981" t="s">
        <v>903</v>
      </c>
      <c r="D178" s="4" t="s">
        <v>19</v>
      </c>
      <c r="E178" s="4" t="s">
        <v>25</v>
      </c>
      <c r="F178" s="4" t="s">
        <v>123</v>
      </c>
      <c r="G178" s="4">
        <v>3306</v>
      </c>
      <c r="H178" s="4" t="s">
        <v>908</v>
      </c>
      <c r="I178" s="9" t="s">
        <v>855</v>
      </c>
      <c r="J178" s="13" t="s">
        <v>812</v>
      </c>
      <c r="K178" s="3" t="s">
        <v>909</v>
      </c>
      <c r="L178" s="57" t="s">
        <v>805</v>
      </c>
      <c r="M178" s="96">
        <f>250000*3</f>
        <v>750000</v>
      </c>
      <c r="N178" s="45" t="s">
        <v>859</v>
      </c>
    </row>
    <row r="179" spans="1:14">
      <c r="A179" s="55">
        <v>36</v>
      </c>
      <c r="B179" s="994"/>
      <c r="C179" s="983"/>
      <c r="D179" s="4" t="s">
        <v>19</v>
      </c>
      <c r="E179" s="4" t="s">
        <v>25</v>
      </c>
      <c r="F179" s="4" t="s">
        <v>123</v>
      </c>
      <c r="G179" s="4">
        <v>2585</v>
      </c>
      <c r="H179" s="4" t="s">
        <v>801</v>
      </c>
      <c r="I179" s="9" t="s">
        <v>855</v>
      </c>
      <c r="J179" s="13" t="s">
        <v>812</v>
      </c>
      <c r="K179" s="3" t="s">
        <v>858</v>
      </c>
      <c r="L179" s="57"/>
      <c r="M179" s="96">
        <f>250000*2</f>
        <v>500000</v>
      </c>
      <c r="N179" s="45" t="s">
        <v>859</v>
      </c>
    </row>
    <row r="180" spans="1:14">
      <c r="A180" s="55">
        <v>36</v>
      </c>
      <c r="B180" s="992" t="s">
        <v>24</v>
      </c>
      <c r="C180" s="2">
        <v>45171</v>
      </c>
      <c r="D180" s="3" t="s">
        <v>829</v>
      </c>
      <c r="E180" s="4" t="s">
        <v>797</v>
      </c>
      <c r="F180" s="3" t="s">
        <v>865</v>
      </c>
      <c r="G180" s="3" t="s">
        <v>842</v>
      </c>
      <c r="H180" s="3" t="s">
        <v>866</v>
      </c>
      <c r="I180" s="9" t="s">
        <v>876</v>
      </c>
      <c r="J180" s="13" t="s">
        <v>844</v>
      </c>
      <c r="K180" s="3" t="s">
        <v>814</v>
      </c>
      <c r="L180" s="6" t="s">
        <v>832</v>
      </c>
      <c r="M180" s="96">
        <v>180000</v>
      </c>
      <c r="N180" s="45" t="s">
        <v>918</v>
      </c>
    </row>
    <row r="181" spans="1:14" ht="27">
      <c r="A181" s="55">
        <v>36</v>
      </c>
      <c r="B181" s="993"/>
      <c r="C181" s="1014">
        <v>45174</v>
      </c>
      <c r="D181" s="3" t="s">
        <v>796</v>
      </c>
      <c r="E181" s="4" t="s">
        <v>877</v>
      </c>
      <c r="F181" s="3" t="s">
        <v>878</v>
      </c>
      <c r="G181" s="3" t="s">
        <v>879</v>
      </c>
      <c r="H181" s="3" t="s">
        <v>880</v>
      </c>
      <c r="I181" s="9" t="s">
        <v>895</v>
      </c>
      <c r="J181" s="1022" t="s">
        <v>838</v>
      </c>
      <c r="K181" s="1039" t="s">
        <v>985</v>
      </c>
      <c r="L181" s="6" t="s">
        <v>910</v>
      </c>
      <c r="M181" s="1068">
        <f>180000+200000+200000</f>
        <v>580000</v>
      </c>
      <c r="N181" s="45" t="s">
        <v>806</v>
      </c>
    </row>
    <row r="182" spans="1:14">
      <c r="A182" s="55">
        <v>36</v>
      </c>
      <c r="B182" s="993"/>
      <c r="C182" s="1036"/>
      <c r="D182" s="3" t="s">
        <v>24</v>
      </c>
      <c r="E182" s="4" t="s">
        <v>834</v>
      </c>
      <c r="F182" s="3" t="s">
        <v>835</v>
      </c>
      <c r="G182" s="3" t="s">
        <v>836</v>
      </c>
      <c r="H182" s="3" t="s">
        <v>837</v>
      </c>
      <c r="I182" s="9" t="s">
        <v>896</v>
      </c>
      <c r="J182" s="1023"/>
      <c r="K182" s="1040"/>
      <c r="L182" s="6" t="s">
        <v>911</v>
      </c>
      <c r="M182" s="1070"/>
      <c r="N182" s="45" t="s">
        <v>806</v>
      </c>
    </row>
    <row r="183" spans="1:14">
      <c r="A183" s="55">
        <v>36</v>
      </c>
      <c r="B183" s="993"/>
      <c r="C183" s="1015"/>
      <c r="D183" s="3" t="s">
        <v>24</v>
      </c>
      <c r="E183" s="4" t="s">
        <v>877</v>
      </c>
      <c r="F183" s="3" t="s">
        <v>899</v>
      </c>
      <c r="G183" s="3" t="s">
        <v>842</v>
      </c>
      <c r="H183" s="3" t="s">
        <v>843</v>
      </c>
      <c r="I183" s="9" t="s">
        <v>900</v>
      </c>
      <c r="J183" s="13"/>
      <c r="K183" s="3" t="s">
        <v>901</v>
      </c>
      <c r="L183" s="6" t="s">
        <v>912</v>
      </c>
      <c r="M183" s="96">
        <v>300000</v>
      </c>
      <c r="N183" s="45" t="s">
        <v>807</v>
      </c>
    </row>
    <row r="184" spans="1:14">
      <c r="A184" s="55">
        <v>36</v>
      </c>
      <c r="B184" s="994"/>
      <c r="C184" s="35">
        <v>45175</v>
      </c>
      <c r="D184" s="3" t="s">
        <v>138</v>
      </c>
      <c r="E184" s="4" t="s">
        <v>913</v>
      </c>
      <c r="F184" s="3" t="s">
        <v>914</v>
      </c>
      <c r="G184" s="3">
        <v>4204</v>
      </c>
      <c r="H184" s="3" t="s">
        <v>831</v>
      </c>
      <c r="I184" s="9" t="s">
        <v>915</v>
      </c>
      <c r="J184" s="13"/>
      <c r="K184" s="3" t="s">
        <v>916</v>
      </c>
      <c r="L184" s="6" t="s">
        <v>912</v>
      </c>
      <c r="M184" s="96">
        <v>500000</v>
      </c>
      <c r="N184" s="45" t="s">
        <v>917</v>
      </c>
    </row>
    <row r="185" spans="1:14">
      <c r="A185" s="55">
        <v>37</v>
      </c>
      <c r="B185" s="992" t="s">
        <v>20</v>
      </c>
      <c r="C185" s="92">
        <v>45181</v>
      </c>
      <c r="D185" s="4" t="s">
        <v>19</v>
      </c>
      <c r="E185" s="4" t="s">
        <v>25</v>
      </c>
      <c r="F185" s="4" t="s">
        <v>20</v>
      </c>
      <c r="G185" s="4">
        <v>6602</v>
      </c>
      <c r="H185" s="4" t="s">
        <v>18</v>
      </c>
      <c r="I185" s="9" t="s">
        <v>904</v>
      </c>
      <c r="J185" s="13" t="s">
        <v>94</v>
      </c>
      <c r="K185" s="3" t="s">
        <v>906</v>
      </c>
      <c r="L185" s="57" t="s">
        <v>209</v>
      </c>
      <c r="M185" s="96">
        <f>250000*2</f>
        <v>500000</v>
      </c>
      <c r="N185" s="45" t="s">
        <v>907</v>
      </c>
    </row>
    <row r="186" spans="1:14">
      <c r="A186" s="55">
        <v>37</v>
      </c>
      <c r="B186" s="993"/>
      <c r="C186" s="92">
        <v>45182</v>
      </c>
      <c r="D186" s="4" t="s">
        <v>19</v>
      </c>
      <c r="E186" s="4" t="s">
        <v>25</v>
      </c>
      <c r="F186" s="4" t="s">
        <v>20</v>
      </c>
      <c r="G186" s="4">
        <v>6602</v>
      </c>
      <c r="H186" s="4" t="s">
        <v>18</v>
      </c>
      <c r="I186" s="9" t="s">
        <v>904</v>
      </c>
      <c r="J186" s="13" t="s">
        <v>94</v>
      </c>
      <c r="K186" s="3" t="s">
        <v>906</v>
      </c>
      <c r="L186" s="57" t="s">
        <v>209</v>
      </c>
      <c r="M186" s="96">
        <f>250000*2</f>
        <v>500000</v>
      </c>
      <c r="N186" s="45" t="s">
        <v>907</v>
      </c>
    </row>
    <row r="187" spans="1:14" ht="16.5" customHeight="1">
      <c r="A187" s="55">
        <v>37</v>
      </c>
      <c r="B187" s="993"/>
      <c r="C187" s="981" t="s">
        <v>924</v>
      </c>
      <c r="D187" s="4" t="s">
        <v>19</v>
      </c>
      <c r="E187" s="4" t="s">
        <v>25</v>
      </c>
      <c r="F187" s="4" t="s">
        <v>20</v>
      </c>
      <c r="G187" s="4">
        <v>2585</v>
      </c>
      <c r="H187" s="4" t="s">
        <v>18</v>
      </c>
      <c r="I187" s="9" t="s">
        <v>855</v>
      </c>
      <c r="J187" s="13" t="s">
        <v>126</v>
      </c>
      <c r="K187" s="3" t="s">
        <v>909</v>
      </c>
      <c r="L187" s="57" t="s">
        <v>209</v>
      </c>
      <c r="M187" s="96">
        <f>250000*3</f>
        <v>750000</v>
      </c>
      <c r="N187" s="45" t="s">
        <v>121</v>
      </c>
    </row>
    <row r="188" spans="1:14">
      <c r="A188" s="55">
        <v>37</v>
      </c>
      <c r="B188" s="994"/>
      <c r="C188" s="983"/>
      <c r="D188" s="4" t="s">
        <v>19</v>
      </c>
      <c r="E188" s="4" t="s">
        <v>25</v>
      </c>
      <c r="F188" s="4" t="s">
        <v>20</v>
      </c>
      <c r="G188" s="4" t="s">
        <v>851</v>
      </c>
      <c r="H188" s="4" t="s">
        <v>102</v>
      </c>
      <c r="I188" s="9" t="s">
        <v>855</v>
      </c>
      <c r="J188" s="13" t="s">
        <v>126</v>
      </c>
      <c r="K188" s="3" t="s">
        <v>118</v>
      </c>
      <c r="L188" s="57" t="s">
        <v>209</v>
      </c>
      <c r="M188" s="96">
        <f>250000*2</f>
        <v>500000</v>
      </c>
      <c r="N188" s="45" t="s">
        <v>121</v>
      </c>
    </row>
    <row r="189" spans="1:14">
      <c r="A189" s="55">
        <v>37</v>
      </c>
      <c r="B189" s="992" t="s">
        <v>21</v>
      </c>
      <c r="C189" s="2">
        <v>45180</v>
      </c>
      <c r="D189" s="3" t="s">
        <v>21</v>
      </c>
      <c r="E189" s="4" t="s">
        <v>14</v>
      </c>
      <c r="F189" s="3" t="s">
        <v>107</v>
      </c>
      <c r="G189" s="3" t="s">
        <v>187</v>
      </c>
      <c r="H189" s="3" t="s">
        <v>23</v>
      </c>
      <c r="I189" s="9" t="s">
        <v>925</v>
      </c>
      <c r="J189" s="13"/>
      <c r="K189" s="3" t="s">
        <v>897</v>
      </c>
      <c r="L189" s="6" t="s">
        <v>69</v>
      </c>
      <c r="M189" s="96">
        <v>360000</v>
      </c>
      <c r="N189" s="45" t="s">
        <v>393</v>
      </c>
    </row>
    <row r="190" spans="1:14">
      <c r="A190" s="55">
        <v>37</v>
      </c>
      <c r="B190" s="993"/>
      <c r="C190" s="2">
        <v>45181</v>
      </c>
      <c r="D190" s="3" t="s">
        <v>21</v>
      </c>
      <c r="E190" s="4" t="s">
        <v>14</v>
      </c>
      <c r="F190" s="3" t="s">
        <v>923</v>
      </c>
      <c r="G190" s="3">
        <v>7060</v>
      </c>
      <c r="H190" s="3" t="s">
        <v>86</v>
      </c>
      <c r="I190" s="9" t="s">
        <v>920</v>
      </c>
      <c r="J190" s="13" t="s">
        <v>90</v>
      </c>
      <c r="K190" s="3" t="s">
        <v>777</v>
      </c>
      <c r="L190" s="6" t="s">
        <v>69</v>
      </c>
      <c r="M190" s="96">
        <v>250000</v>
      </c>
      <c r="N190" s="45" t="s">
        <v>127</v>
      </c>
    </row>
    <row r="191" spans="1:14">
      <c r="A191" s="55">
        <v>37</v>
      </c>
      <c r="B191" s="994"/>
      <c r="C191" s="15">
        <v>45182</v>
      </c>
      <c r="D191" s="3" t="s">
        <v>21</v>
      </c>
      <c r="E191" s="4" t="s">
        <v>14</v>
      </c>
      <c r="F191" s="3" t="s">
        <v>211</v>
      </c>
      <c r="G191" s="3" t="s">
        <v>830</v>
      </c>
      <c r="H191" s="3" t="s">
        <v>921</v>
      </c>
      <c r="I191" s="9" t="s">
        <v>922</v>
      </c>
      <c r="J191" s="13" t="s">
        <v>90</v>
      </c>
      <c r="K191" s="3" t="s">
        <v>777</v>
      </c>
      <c r="L191" s="6" t="s">
        <v>69</v>
      </c>
      <c r="M191" s="96">
        <v>250000</v>
      </c>
      <c r="N191" s="45" t="s">
        <v>393</v>
      </c>
    </row>
    <row r="192" spans="1:14" ht="16.5" customHeight="1">
      <c r="A192" s="55">
        <v>38</v>
      </c>
      <c r="B192" s="992" t="s">
        <v>939</v>
      </c>
      <c r="C192" s="981" t="s">
        <v>937</v>
      </c>
      <c r="D192" s="4" t="s">
        <v>19</v>
      </c>
      <c r="E192" s="4" t="s">
        <v>25</v>
      </c>
      <c r="F192" s="4" t="s">
        <v>20</v>
      </c>
      <c r="G192" s="4">
        <v>2585</v>
      </c>
      <c r="H192" s="4" t="s">
        <v>18</v>
      </c>
      <c r="I192" s="9" t="s">
        <v>855</v>
      </c>
      <c r="J192" s="13" t="s">
        <v>126</v>
      </c>
      <c r="K192" s="3" t="s">
        <v>118</v>
      </c>
      <c r="L192" s="57" t="s">
        <v>209</v>
      </c>
      <c r="M192" s="96">
        <v>500000</v>
      </c>
      <c r="N192" s="45" t="s">
        <v>121</v>
      </c>
    </row>
    <row r="193" spans="1:15">
      <c r="A193" s="55">
        <v>38</v>
      </c>
      <c r="B193" s="993"/>
      <c r="C193" s="983"/>
      <c r="D193" s="4" t="s">
        <v>19</v>
      </c>
      <c r="E193" s="4" t="s">
        <v>25</v>
      </c>
      <c r="F193" s="4" t="s">
        <v>20</v>
      </c>
      <c r="G193" s="4">
        <v>3306</v>
      </c>
      <c r="H193" s="4" t="s">
        <v>811</v>
      </c>
      <c r="I193" s="9" t="s">
        <v>855</v>
      </c>
      <c r="J193" s="13" t="s">
        <v>126</v>
      </c>
      <c r="K193" s="3" t="s">
        <v>938</v>
      </c>
      <c r="L193" s="57" t="s">
        <v>209</v>
      </c>
      <c r="M193" s="96">
        <v>750000</v>
      </c>
      <c r="N193" s="45" t="s">
        <v>121</v>
      </c>
    </row>
    <row r="194" spans="1:15">
      <c r="A194" s="55">
        <v>38</v>
      </c>
      <c r="B194" s="994"/>
      <c r="C194" s="92">
        <v>45191</v>
      </c>
      <c r="D194" s="4" t="s">
        <v>19</v>
      </c>
      <c r="E194" s="4" t="s">
        <v>25</v>
      </c>
      <c r="F194" s="4" t="s">
        <v>20</v>
      </c>
      <c r="G194" s="4" t="s">
        <v>942</v>
      </c>
      <c r="H194" s="4" t="s">
        <v>943</v>
      </c>
      <c r="I194" s="9" t="s">
        <v>265</v>
      </c>
      <c r="J194" s="13" t="s">
        <v>94</v>
      </c>
      <c r="K194" s="3" t="s">
        <v>906</v>
      </c>
      <c r="L194" s="57" t="s">
        <v>209</v>
      </c>
      <c r="M194" s="96">
        <v>500000</v>
      </c>
      <c r="N194" s="79" t="s">
        <v>944</v>
      </c>
    </row>
    <row r="195" spans="1:15">
      <c r="A195" s="55">
        <v>38</v>
      </c>
      <c r="B195" s="992" t="s">
        <v>21</v>
      </c>
      <c r="C195" s="2">
        <v>45189</v>
      </c>
      <c r="D195" s="3" t="s">
        <v>21</v>
      </c>
      <c r="E195" s="4" t="s">
        <v>14</v>
      </c>
      <c r="F195" s="3" t="s">
        <v>919</v>
      </c>
      <c r="G195" s="3" t="s">
        <v>190</v>
      </c>
      <c r="H195" s="3" t="s">
        <v>23</v>
      </c>
      <c r="I195" s="9" t="s">
        <v>936</v>
      </c>
      <c r="J195" s="13"/>
      <c r="K195" s="32" t="s">
        <v>935</v>
      </c>
      <c r="L195" s="6" t="s">
        <v>69</v>
      </c>
      <c r="M195" s="96">
        <v>360000</v>
      </c>
      <c r="N195" s="45" t="s">
        <v>940</v>
      </c>
    </row>
    <row r="196" spans="1:15">
      <c r="A196" s="55">
        <v>38</v>
      </c>
      <c r="B196" s="993"/>
      <c r="C196" s="1014">
        <v>45190</v>
      </c>
      <c r="D196" s="3" t="s">
        <v>21</v>
      </c>
      <c r="E196" s="4" t="s">
        <v>14</v>
      </c>
      <c r="F196" s="3" t="s">
        <v>919</v>
      </c>
      <c r="G196" s="3" t="s">
        <v>190</v>
      </c>
      <c r="H196" s="3" t="s">
        <v>23</v>
      </c>
      <c r="I196" s="9" t="s">
        <v>936</v>
      </c>
      <c r="J196" s="13"/>
      <c r="K196" s="32" t="s">
        <v>935</v>
      </c>
      <c r="L196" s="6" t="s">
        <v>933</v>
      </c>
      <c r="M196" s="96">
        <v>360000</v>
      </c>
      <c r="N196" s="45" t="s">
        <v>940</v>
      </c>
    </row>
    <row r="197" spans="1:15">
      <c r="A197" s="55">
        <v>38</v>
      </c>
      <c r="B197" s="993"/>
      <c r="C197" s="1015"/>
      <c r="D197" s="3" t="s">
        <v>21</v>
      </c>
      <c r="E197" s="4" t="s">
        <v>14</v>
      </c>
      <c r="F197" s="3" t="s">
        <v>211</v>
      </c>
      <c r="G197" s="3" t="s">
        <v>830</v>
      </c>
      <c r="H197" s="3" t="s">
        <v>921</v>
      </c>
      <c r="I197" s="9" t="s">
        <v>922</v>
      </c>
      <c r="J197" s="13" t="s">
        <v>931</v>
      </c>
      <c r="K197" s="32" t="s">
        <v>932</v>
      </c>
      <c r="L197" s="6" t="s">
        <v>933</v>
      </c>
      <c r="M197" s="96">
        <v>250000</v>
      </c>
      <c r="N197" s="45" t="s">
        <v>941</v>
      </c>
    </row>
    <row r="198" spans="1:15">
      <c r="A198" s="55">
        <v>38</v>
      </c>
      <c r="B198" s="993"/>
      <c r="C198" s="1014">
        <v>45191</v>
      </c>
      <c r="D198" s="3" t="s">
        <v>21</v>
      </c>
      <c r="E198" s="4" t="s">
        <v>14</v>
      </c>
      <c r="F198" s="3" t="s">
        <v>919</v>
      </c>
      <c r="G198" s="3" t="s">
        <v>190</v>
      </c>
      <c r="H198" s="3" t="s">
        <v>23</v>
      </c>
      <c r="I198" s="9" t="s">
        <v>936</v>
      </c>
      <c r="J198" s="13"/>
      <c r="K198" s="32" t="s">
        <v>935</v>
      </c>
      <c r="L198" s="6" t="s">
        <v>933</v>
      </c>
      <c r="M198" s="96">
        <v>360000</v>
      </c>
      <c r="N198" s="45" t="s">
        <v>940</v>
      </c>
    </row>
    <row r="199" spans="1:15">
      <c r="A199" s="55">
        <v>38</v>
      </c>
      <c r="B199" s="994"/>
      <c r="C199" s="1015"/>
      <c r="D199" s="3" t="s">
        <v>21</v>
      </c>
      <c r="E199" s="4" t="s">
        <v>926</v>
      </c>
      <c r="F199" s="3" t="s">
        <v>927</v>
      </c>
      <c r="G199" s="3" t="s">
        <v>928</v>
      </c>
      <c r="H199" s="3" t="s">
        <v>929</v>
      </c>
      <c r="I199" s="9" t="s">
        <v>930</v>
      </c>
      <c r="J199" s="13" t="s">
        <v>934</v>
      </c>
      <c r="K199" s="3" t="s">
        <v>932</v>
      </c>
      <c r="L199" s="6" t="s">
        <v>69</v>
      </c>
      <c r="M199" s="96">
        <v>250000</v>
      </c>
      <c r="N199" s="45" t="s">
        <v>940</v>
      </c>
    </row>
    <row r="200" spans="1:15">
      <c r="A200" s="55">
        <v>39</v>
      </c>
      <c r="B200" s="992" t="s">
        <v>20</v>
      </c>
      <c r="C200" s="981" t="s">
        <v>949</v>
      </c>
      <c r="D200" s="4" t="s">
        <v>19</v>
      </c>
      <c r="E200" s="4" t="s">
        <v>25</v>
      </c>
      <c r="F200" s="4" t="s">
        <v>20</v>
      </c>
      <c r="G200" s="4">
        <v>2585</v>
      </c>
      <c r="H200" s="4" t="s">
        <v>361</v>
      </c>
      <c r="I200" s="9" t="s">
        <v>855</v>
      </c>
      <c r="J200" s="13" t="s">
        <v>126</v>
      </c>
      <c r="K200" s="3" t="s">
        <v>111</v>
      </c>
      <c r="L200" s="57" t="s">
        <v>209</v>
      </c>
      <c r="M200" s="96">
        <v>250000</v>
      </c>
      <c r="N200" s="45" t="s">
        <v>121</v>
      </c>
    </row>
    <row r="201" spans="1:15">
      <c r="A201" s="55">
        <v>39</v>
      </c>
      <c r="B201" s="993"/>
      <c r="C201" s="983"/>
      <c r="D201" s="4" t="s">
        <v>19</v>
      </c>
      <c r="E201" s="4" t="s">
        <v>25</v>
      </c>
      <c r="F201" s="4" t="s">
        <v>20</v>
      </c>
      <c r="G201" s="4">
        <v>3306</v>
      </c>
      <c r="H201" s="4" t="s">
        <v>811</v>
      </c>
      <c r="I201" s="9" t="s">
        <v>855</v>
      </c>
      <c r="J201" s="13" t="s">
        <v>126</v>
      </c>
      <c r="K201" s="3" t="s">
        <v>118</v>
      </c>
      <c r="L201" s="57" t="s">
        <v>209</v>
      </c>
      <c r="M201" s="96">
        <v>500000</v>
      </c>
      <c r="N201" s="45" t="s">
        <v>121</v>
      </c>
    </row>
    <row r="202" spans="1:15" ht="16.5" customHeight="1">
      <c r="A202" s="55">
        <v>39</v>
      </c>
      <c r="B202" s="993"/>
      <c r="C202" s="981" t="s">
        <v>950</v>
      </c>
      <c r="D202" s="4" t="s">
        <v>19</v>
      </c>
      <c r="E202" s="4" t="s">
        <v>25</v>
      </c>
      <c r="F202" s="4" t="s">
        <v>20</v>
      </c>
      <c r="G202" s="4">
        <v>2585</v>
      </c>
      <c r="H202" s="4" t="s">
        <v>398</v>
      </c>
      <c r="I202" s="9" t="s">
        <v>265</v>
      </c>
      <c r="J202" s="13" t="s">
        <v>94</v>
      </c>
      <c r="K202" s="3" t="s">
        <v>951</v>
      </c>
      <c r="L202" s="57" t="s">
        <v>209</v>
      </c>
      <c r="M202" s="96">
        <f>250000*4</f>
        <v>1000000</v>
      </c>
      <c r="N202" s="79" t="s">
        <v>247</v>
      </c>
    </row>
    <row r="203" spans="1:15">
      <c r="A203" s="55">
        <v>39</v>
      </c>
      <c r="B203" s="994"/>
      <c r="C203" s="983"/>
      <c r="D203" s="4" t="s">
        <v>19</v>
      </c>
      <c r="E203" s="4" t="s">
        <v>25</v>
      </c>
      <c r="F203" s="4" t="s">
        <v>20</v>
      </c>
      <c r="G203" s="4" t="s">
        <v>851</v>
      </c>
      <c r="H203" s="4" t="s">
        <v>102</v>
      </c>
      <c r="I203" s="9" t="s">
        <v>265</v>
      </c>
      <c r="J203" s="13" t="s">
        <v>94</v>
      </c>
      <c r="K203" s="3" t="s">
        <v>951</v>
      </c>
      <c r="L203" s="57" t="s">
        <v>209</v>
      </c>
      <c r="M203" s="96">
        <f>250000*4</f>
        <v>1000000</v>
      </c>
      <c r="N203" s="79" t="s">
        <v>247</v>
      </c>
    </row>
    <row r="204" spans="1:15">
      <c r="A204" s="55">
        <v>39</v>
      </c>
      <c r="B204" s="992" t="s">
        <v>21</v>
      </c>
      <c r="C204" s="15">
        <v>45194</v>
      </c>
      <c r="D204" s="3" t="s">
        <v>21</v>
      </c>
      <c r="E204" s="4" t="s">
        <v>14</v>
      </c>
      <c r="F204" s="3" t="s">
        <v>277</v>
      </c>
      <c r="G204" s="3">
        <v>4208</v>
      </c>
      <c r="H204" s="3" t="s">
        <v>227</v>
      </c>
      <c r="I204" s="9" t="s">
        <v>946</v>
      </c>
      <c r="J204" s="13"/>
      <c r="K204" s="3" t="s">
        <v>641</v>
      </c>
      <c r="L204" s="6" t="s">
        <v>69</v>
      </c>
      <c r="M204" s="96">
        <v>500000</v>
      </c>
      <c r="N204" s="45" t="s">
        <v>941</v>
      </c>
    </row>
    <row r="205" spans="1:15">
      <c r="A205" s="55">
        <v>39</v>
      </c>
      <c r="B205" s="993"/>
      <c r="C205" s="15">
        <v>45195</v>
      </c>
      <c r="D205" s="3" t="s">
        <v>21</v>
      </c>
      <c r="E205" s="4" t="s">
        <v>14</v>
      </c>
      <c r="F205" s="3" t="s">
        <v>107</v>
      </c>
      <c r="G205" s="3" t="s">
        <v>108</v>
      </c>
      <c r="H205" s="3" t="s">
        <v>376</v>
      </c>
      <c r="I205" s="9" t="s">
        <v>285</v>
      </c>
      <c r="J205" s="13" t="s">
        <v>90</v>
      </c>
      <c r="K205" s="3" t="s">
        <v>153</v>
      </c>
      <c r="L205" s="6" t="s">
        <v>69</v>
      </c>
      <c r="M205" s="96">
        <v>250000</v>
      </c>
      <c r="N205" s="45" t="s">
        <v>214</v>
      </c>
      <c r="O205" t="s">
        <v>1004</v>
      </c>
    </row>
    <row r="206" spans="1:15">
      <c r="A206" s="55">
        <v>39</v>
      </c>
      <c r="B206" s="994"/>
      <c r="C206" s="15">
        <v>45196</v>
      </c>
      <c r="D206" s="3" t="s">
        <v>21</v>
      </c>
      <c r="E206" s="4" t="s">
        <v>14</v>
      </c>
      <c r="F206" s="3" t="s">
        <v>623</v>
      </c>
      <c r="G206" s="3" t="s">
        <v>273</v>
      </c>
      <c r="H206" s="3" t="s">
        <v>102</v>
      </c>
      <c r="I206" s="9" t="s">
        <v>948</v>
      </c>
      <c r="J206" s="13" t="s">
        <v>90</v>
      </c>
      <c r="K206" s="3" t="s">
        <v>111</v>
      </c>
      <c r="L206" s="6" t="s">
        <v>69</v>
      </c>
      <c r="M206" s="96">
        <v>250000</v>
      </c>
      <c r="N206" s="45" t="s">
        <v>952</v>
      </c>
    </row>
    <row r="207" spans="1:15" ht="16.5" customHeight="1">
      <c r="A207" s="55">
        <v>41</v>
      </c>
      <c r="B207" s="992" t="s">
        <v>20</v>
      </c>
      <c r="C207" s="981" t="s">
        <v>965</v>
      </c>
      <c r="D207" s="4" t="s">
        <v>19</v>
      </c>
      <c r="E207" s="4" t="s">
        <v>25</v>
      </c>
      <c r="F207" s="4" t="s">
        <v>20</v>
      </c>
      <c r="G207" s="4" t="s">
        <v>963</v>
      </c>
      <c r="H207" s="4" t="s">
        <v>964</v>
      </c>
      <c r="I207" s="9" t="s">
        <v>855</v>
      </c>
      <c r="J207" s="13" t="s">
        <v>126</v>
      </c>
      <c r="K207" s="3" t="s">
        <v>118</v>
      </c>
      <c r="L207" s="57" t="s">
        <v>209</v>
      </c>
      <c r="M207" s="96">
        <f>250000*2</f>
        <v>500000</v>
      </c>
      <c r="N207" s="45" t="s">
        <v>121</v>
      </c>
    </row>
    <row r="208" spans="1:15">
      <c r="A208" s="55">
        <v>41</v>
      </c>
      <c r="B208" s="993"/>
      <c r="C208" s="983"/>
      <c r="D208" s="4" t="s">
        <v>19</v>
      </c>
      <c r="E208" s="4" t="s">
        <v>25</v>
      </c>
      <c r="F208" s="4" t="s">
        <v>20</v>
      </c>
      <c r="G208" s="4">
        <v>3306</v>
      </c>
      <c r="H208" s="4" t="s">
        <v>811</v>
      </c>
      <c r="I208" s="9" t="s">
        <v>855</v>
      </c>
      <c r="J208" s="13" t="s">
        <v>126</v>
      </c>
      <c r="K208" s="3" t="s">
        <v>118</v>
      </c>
      <c r="L208" s="57" t="s">
        <v>209</v>
      </c>
      <c r="M208" s="96">
        <v>500000</v>
      </c>
      <c r="N208" s="45" t="s">
        <v>121</v>
      </c>
    </row>
    <row r="209" spans="1:15">
      <c r="A209" s="55">
        <v>41</v>
      </c>
      <c r="B209" s="994"/>
      <c r="C209" s="121">
        <v>45209</v>
      </c>
      <c r="D209" s="4" t="s">
        <v>19</v>
      </c>
      <c r="E209" s="4" t="s">
        <v>25</v>
      </c>
      <c r="F209" s="4" t="s">
        <v>20</v>
      </c>
      <c r="G209" s="4">
        <v>2584</v>
      </c>
      <c r="H209" s="4" t="s">
        <v>966</v>
      </c>
      <c r="I209" s="9" t="s">
        <v>265</v>
      </c>
      <c r="J209" s="13" t="s">
        <v>94</v>
      </c>
      <c r="K209" s="3" t="s">
        <v>906</v>
      </c>
      <c r="L209" s="57" t="s">
        <v>209</v>
      </c>
      <c r="M209" s="96">
        <f>250000*2</f>
        <v>500000</v>
      </c>
      <c r="N209" s="79" t="s">
        <v>247</v>
      </c>
    </row>
    <row r="210" spans="1:15" ht="27">
      <c r="A210" s="55">
        <v>41</v>
      </c>
      <c r="B210" s="992" t="s">
        <v>21</v>
      </c>
      <c r="C210" s="2">
        <v>45209</v>
      </c>
      <c r="D210" s="3" t="s">
        <v>21</v>
      </c>
      <c r="E210" s="4" t="s">
        <v>14</v>
      </c>
      <c r="F210" s="3" t="s">
        <v>211</v>
      </c>
      <c r="G210" s="14" t="s">
        <v>830</v>
      </c>
      <c r="H210" s="3" t="s">
        <v>957</v>
      </c>
      <c r="I210" s="5" t="s">
        <v>238</v>
      </c>
      <c r="J210" s="13"/>
      <c r="K210" s="32" t="s">
        <v>323</v>
      </c>
      <c r="L210" s="6"/>
      <c r="M210" s="96">
        <f>250000*2</f>
        <v>500000</v>
      </c>
      <c r="N210" s="45" t="s">
        <v>967</v>
      </c>
    </row>
    <row r="211" spans="1:15" ht="40.5">
      <c r="A211" s="55">
        <v>41</v>
      </c>
      <c r="B211" s="994"/>
      <c r="C211" s="35">
        <v>45210</v>
      </c>
      <c r="D211" s="3" t="s">
        <v>138</v>
      </c>
      <c r="E211" s="4" t="s">
        <v>14</v>
      </c>
      <c r="F211" s="3" t="s">
        <v>211</v>
      </c>
      <c r="G211" s="3">
        <v>2461</v>
      </c>
      <c r="H211" s="3" t="s">
        <v>18</v>
      </c>
      <c r="I211" s="9" t="s">
        <v>962</v>
      </c>
      <c r="J211" s="13" t="s">
        <v>90</v>
      </c>
      <c r="K211" s="3" t="s">
        <v>959</v>
      </c>
      <c r="L211" s="6"/>
      <c r="M211" s="96">
        <f>250000*1</f>
        <v>250000</v>
      </c>
      <c r="N211" s="45" t="s">
        <v>968</v>
      </c>
    </row>
    <row r="212" spans="1:15" ht="27">
      <c r="A212" s="55">
        <v>42</v>
      </c>
      <c r="B212" s="992" t="s">
        <v>979</v>
      </c>
      <c r="C212" s="92" t="s">
        <v>976</v>
      </c>
      <c r="D212" s="4" t="s">
        <v>19</v>
      </c>
      <c r="E212" s="4" t="s">
        <v>25</v>
      </c>
      <c r="F212" s="4" t="s">
        <v>20</v>
      </c>
      <c r="G212" s="4">
        <v>3306</v>
      </c>
      <c r="H212" s="4" t="s">
        <v>811</v>
      </c>
      <c r="I212" s="9" t="s">
        <v>855</v>
      </c>
      <c r="J212" s="13" t="s">
        <v>126</v>
      </c>
      <c r="K212" s="3" t="s">
        <v>977</v>
      </c>
      <c r="L212" s="57" t="s">
        <v>209</v>
      </c>
      <c r="M212" s="96">
        <f>250000*5</f>
        <v>1250000</v>
      </c>
      <c r="N212" s="45" t="s">
        <v>121</v>
      </c>
    </row>
    <row r="213" spans="1:15">
      <c r="A213" s="55">
        <v>42</v>
      </c>
      <c r="B213" s="993"/>
      <c r="C213" s="92">
        <v>45213</v>
      </c>
      <c r="D213" s="4" t="s">
        <v>19</v>
      </c>
      <c r="E213" s="4" t="s">
        <v>25</v>
      </c>
      <c r="F213" s="4" t="s">
        <v>20</v>
      </c>
      <c r="G213" s="4" t="s">
        <v>963</v>
      </c>
      <c r="H213" s="4" t="s">
        <v>964</v>
      </c>
      <c r="I213" s="9" t="s">
        <v>265</v>
      </c>
      <c r="J213" s="13" t="s">
        <v>94</v>
      </c>
      <c r="K213" s="3" t="s">
        <v>906</v>
      </c>
      <c r="L213" s="57" t="s">
        <v>209</v>
      </c>
      <c r="M213" s="96">
        <f>250000*2</f>
        <v>500000</v>
      </c>
      <c r="N213" s="45" t="s">
        <v>247</v>
      </c>
    </row>
    <row r="214" spans="1:15">
      <c r="A214" s="55">
        <v>42</v>
      </c>
      <c r="B214" s="994"/>
      <c r="C214" s="92">
        <v>45216</v>
      </c>
      <c r="D214" s="4" t="s">
        <v>19</v>
      </c>
      <c r="E214" s="4" t="s">
        <v>25</v>
      </c>
      <c r="F214" s="4" t="s">
        <v>20</v>
      </c>
      <c r="G214" s="4" t="s">
        <v>974</v>
      </c>
      <c r="H214" s="4" t="s">
        <v>975</v>
      </c>
      <c r="I214" s="9" t="s">
        <v>265</v>
      </c>
      <c r="J214" s="13" t="s">
        <v>94</v>
      </c>
      <c r="K214" s="3" t="s">
        <v>906</v>
      </c>
      <c r="L214" s="57" t="s">
        <v>209</v>
      </c>
      <c r="M214" s="96">
        <f>250000*2</f>
        <v>500000</v>
      </c>
      <c r="N214" s="45" t="s">
        <v>247</v>
      </c>
    </row>
    <row r="215" spans="1:15">
      <c r="A215" s="55">
        <v>42</v>
      </c>
      <c r="B215" s="992" t="s">
        <v>21</v>
      </c>
      <c r="C215" s="15">
        <v>45215</v>
      </c>
      <c r="D215" s="3" t="s">
        <v>21</v>
      </c>
      <c r="E215" s="4" t="s">
        <v>14</v>
      </c>
      <c r="F215" s="3" t="s">
        <v>149</v>
      </c>
      <c r="G215" s="14" t="s">
        <v>244</v>
      </c>
      <c r="H215" s="3" t="s">
        <v>23</v>
      </c>
      <c r="I215" s="9" t="s">
        <v>947</v>
      </c>
      <c r="J215" s="13" t="s">
        <v>973</v>
      </c>
      <c r="K215" s="3" t="s">
        <v>970</v>
      </c>
      <c r="L215" s="6" t="s">
        <v>969</v>
      </c>
      <c r="M215" s="96">
        <v>250000</v>
      </c>
      <c r="N215" s="45" t="s">
        <v>978</v>
      </c>
    </row>
    <row r="216" spans="1:15">
      <c r="A216" s="55">
        <v>42</v>
      </c>
      <c r="B216" s="993"/>
      <c r="C216" s="15">
        <v>45216</v>
      </c>
      <c r="D216" s="3" t="s">
        <v>21</v>
      </c>
      <c r="E216" s="4" t="s">
        <v>14</v>
      </c>
      <c r="F216" s="3" t="s">
        <v>149</v>
      </c>
      <c r="G216" s="14" t="s">
        <v>244</v>
      </c>
      <c r="H216" s="3" t="s">
        <v>23</v>
      </c>
      <c r="I216" s="9" t="s">
        <v>972</v>
      </c>
      <c r="J216" s="13" t="s">
        <v>973</v>
      </c>
      <c r="K216" s="3" t="s">
        <v>970</v>
      </c>
      <c r="L216" s="6" t="s">
        <v>969</v>
      </c>
      <c r="M216" s="96">
        <v>250000</v>
      </c>
      <c r="N216" s="45" t="s">
        <v>978</v>
      </c>
    </row>
    <row r="217" spans="1:15">
      <c r="A217" s="55">
        <v>42</v>
      </c>
      <c r="B217" s="994"/>
      <c r="C217" s="15">
        <v>45217</v>
      </c>
      <c r="D217" s="3" t="s">
        <v>21</v>
      </c>
      <c r="E217" s="4" t="s">
        <v>14</v>
      </c>
      <c r="F217" s="3" t="s">
        <v>149</v>
      </c>
      <c r="G217" s="14" t="s">
        <v>244</v>
      </c>
      <c r="H217" s="3" t="s">
        <v>23</v>
      </c>
      <c r="I217" s="9" t="s">
        <v>971</v>
      </c>
      <c r="J217" s="13" t="s">
        <v>973</v>
      </c>
      <c r="K217" s="3" t="s">
        <v>970</v>
      </c>
      <c r="L217" s="6" t="s">
        <v>969</v>
      </c>
      <c r="M217" s="96">
        <v>250000</v>
      </c>
      <c r="N217" s="45" t="s">
        <v>978</v>
      </c>
    </row>
    <row r="218" spans="1:15" ht="16.5" customHeight="1">
      <c r="A218" s="55">
        <v>43</v>
      </c>
      <c r="B218" s="992" t="s">
        <v>20</v>
      </c>
      <c r="C218" s="981" t="s">
        <v>980</v>
      </c>
      <c r="D218" s="4" t="s">
        <v>19</v>
      </c>
      <c r="E218" s="4" t="s">
        <v>25</v>
      </c>
      <c r="F218" s="4" t="s">
        <v>20</v>
      </c>
      <c r="G218" s="4">
        <v>3306</v>
      </c>
      <c r="H218" s="4" t="s">
        <v>811</v>
      </c>
      <c r="I218" s="9" t="s">
        <v>855</v>
      </c>
      <c r="J218" s="13" t="s">
        <v>126</v>
      </c>
      <c r="K218" s="3" t="s">
        <v>613</v>
      </c>
      <c r="L218" s="57" t="s">
        <v>209</v>
      </c>
      <c r="M218" s="96">
        <f>250000*3</f>
        <v>750000</v>
      </c>
      <c r="N218" s="45" t="s">
        <v>121</v>
      </c>
    </row>
    <row r="219" spans="1:15">
      <c r="A219" s="55">
        <v>43</v>
      </c>
      <c r="B219" s="993"/>
      <c r="C219" s="983"/>
      <c r="D219" s="4" t="s">
        <v>19</v>
      </c>
      <c r="E219" s="4" t="s">
        <v>25</v>
      </c>
      <c r="F219" s="4" t="s">
        <v>20</v>
      </c>
      <c r="G219" s="4">
        <v>2584</v>
      </c>
      <c r="H219" s="4" t="s">
        <v>264</v>
      </c>
      <c r="I219" s="9" t="s">
        <v>855</v>
      </c>
      <c r="J219" s="13" t="s">
        <v>126</v>
      </c>
      <c r="K219" s="3" t="s">
        <v>118</v>
      </c>
      <c r="L219" s="57" t="s">
        <v>209</v>
      </c>
      <c r="M219" s="96">
        <f>250000*2</f>
        <v>500000</v>
      </c>
      <c r="N219" s="45" t="s">
        <v>121</v>
      </c>
    </row>
    <row r="220" spans="1:15">
      <c r="A220" s="55">
        <v>43</v>
      </c>
      <c r="B220" s="994"/>
      <c r="C220" s="92">
        <v>45222</v>
      </c>
      <c r="D220" s="4" t="s">
        <v>19</v>
      </c>
      <c r="E220" s="4" t="s">
        <v>25</v>
      </c>
      <c r="F220" s="4" t="s">
        <v>20</v>
      </c>
      <c r="G220" s="4" t="s">
        <v>961</v>
      </c>
      <c r="H220" s="4" t="s">
        <v>145</v>
      </c>
      <c r="I220" s="9" t="s">
        <v>265</v>
      </c>
      <c r="J220" s="13" t="s">
        <v>94</v>
      </c>
      <c r="K220" s="3" t="s">
        <v>906</v>
      </c>
      <c r="L220" s="57" t="s">
        <v>209</v>
      </c>
      <c r="M220" s="96">
        <f>250000*2</f>
        <v>500000</v>
      </c>
      <c r="N220" s="45" t="s">
        <v>247</v>
      </c>
    </row>
    <row r="221" spans="1:15">
      <c r="A221" s="55">
        <v>43</v>
      </c>
      <c r="B221" s="992" t="s">
        <v>21</v>
      </c>
      <c r="C221" s="2">
        <v>45222</v>
      </c>
      <c r="D221" s="3" t="s">
        <v>21</v>
      </c>
      <c r="E221" s="4" t="s">
        <v>14</v>
      </c>
      <c r="F221" s="3" t="s">
        <v>277</v>
      </c>
      <c r="G221" s="3">
        <v>4208</v>
      </c>
      <c r="H221" s="3" t="s">
        <v>18</v>
      </c>
      <c r="I221" s="5" t="s">
        <v>981</v>
      </c>
      <c r="J221" s="13" t="s">
        <v>90</v>
      </c>
      <c r="K221" s="32" t="s">
        <v>641</v>
      </c>
      <c r="L221" s="6" t="s">
        <v>15</v>
      </c>
      <c r="M221" s="96">
        <f>250000*2</f>
        <v>500000</v>
      </c>
      <c r="N221" s="45" t="s">
        <v>982</v>
      </c>
      <c r="O221" t="s">
        <v>229</v>
      </c>
    </row>
    <row r="222" spans="1:15">
      <c r="A222" s="55">
        <v>43</v>
      </c>
      <c r="B222" s="993"/>
      <c r="C222" s="2">
        <v>45223</v>
      </c>
      <c r="D222" s="3" t="s">
        <v>21</v>
      </c>
      <c r="E222" s="4" t="s">
        <v>14</v>
      </c>
      <c r="F222" s="3" t="s">
        <v>277</v>
      </c>
      <c r="G222" s="3">
        <v>4209</v>
      </c>
      <c r="H222" s="3" t="s">
        <v>18</v>
      </c>
      <c r="I222" s="5" t="s">
        <v>981</v>
      </c>
      <c r="J222" s="13" t="s">
        <v>90</v>
      </c>
      <c r="K222" s="32" t="s">
        <v>641</v>
      </c>
      <c r="L222" s="6" t="s">
        <v>15</v>
      </c>
      <c r="M222" s="96">
        <f>250000*2</f>
        <v>500000</v>
      </c>
      <c r="N222" s="45" t="s">
        <v>982</v>
      </c>
      <c r="O222" t="s">
        <v>1003</v>
      </c>
    </row>
    <row r="223" spans="1:15">
      <c r="A223" s="55">
        <v>43</v>
      </c>
      <c r="B223" s="994"/>
      <c r="C223" s="35">
        <v>45224</v>
      </c>
      <c r="D223" s="3" t="s">
        <v>21</v>
      </c>
      <c r="E223" s="4" t="s">
        <v>14</v>
      </c>
      <c r="F223" s="3" t="s">
        <v>277</v>
      </c>
      <c r="G223" s="3">
        <v>4204</v>
      </c>
      <c r="H223" s="3" t="s">
        <v>18</v>
      </c>
      <c r="I223" s="9" t="s">
        <v>981</v>
      </c>
      <c r="J223" s="13" t="s">
        <v>90</v>
      </c>
      <c r="K223" s="3" t="s">
        <v>641</v>
      </c>
      <c r="L223" s="6" t="s">
        <v>15</v>
      </c>
      <c r="M223" s="96">
        <f>250000*2</f>
        <v>500000</v>
      </c>
      <c r="N223" s="45" t="s">
        <v>982</v>
      </c>
    </row>
    <row r="224" spans="1:15" ht="27">
      <c r="A224" s="55">
        <v>44</v>
      </c>
      <c r="B224" s="992" t="s">
        <v>20</v>
      </c>
      <c r="C224" s="122" t="s">
        <v>996</v>
      </c>
      <c r="D224" s="4" t="s">
        <v>19</v>
      </c>
      <c r="E224" s="4" t="s">
        <v>25</v>
      </c>
      <c r="F224" s="4" t="s">
        <v>20</v>
      </c>
      <c r="G224" s="4">
        <v>3306</v>
      </c>
      <c r="H224" s="4" t="s">
        <v>811</v>
      </c>
      <c r="I224" s="9" t="s">
        <v>855</v>
      </c>
      <c r="J224" s="13" t="s">
        <v>126</v>
      </c>
      <c r="K224" s="3" t="s">
        <v>813</v>
      </c>
      <c r="L224" s="57" t="s">
        <v>209</v>
      </c>
      <c r="M224" s="96">
        <f>250000*5</f>
        <v>1250000</v>
      </c>
      <c r="N224" s="45" t="s">
        <v>121</v>
      </c>
    </row>
    <row r="225" spans="1:14">
      <c r="A225" s="55">
        <v>44</v>
      </c>
      <c r="B225" s="993"/>
      <c r="C225" s="92">
        <v>45232</v>
      </c>
      <c r="D225" s="4" t="s">
        <v>19</v>
      </c>
      <c r="E225" s="4" t="s">
        <v>25</v>
      </c>
      <c r="F225" s="4" t="s">
        <v>20</v>
      </c>
      <c r="G225" s="4">
        <v>2584</v>
      </c>
      <c r="H225" s="4" t="s">
        <v>264</v>
      </c>
      <c r="I225" s="9" t="s">
        <v>265</v>
      </c>
      <c r="J225" s="13" t="s">
        <v>94</v>
      </c>
      <c r="K225" s="3" t="s">
        <v>906</v>
      </c>
      <c r="L225" s="57" t="s">
        <v>209</v>
      </c>
      <c r="M225" s="96">
        <f>250000*2</f>
        <v>500000</v>
      </c>
      <c r="N225" s="1016" t="s">
        <v>247</v>
      </c>
    </row>
    <row r="226" spans="1:14">
      <c r="A226" s="55">
        <v>44</v>
      </c>
      <c r="B226" s="993"/>
      <c r="C226" s="92">
        <v>45233</v>
      </c>
      <c r="D226" s="4" t="s">
        <v>19</v>
      </c>
      <c r="E226" s="4" t="s">
        <v>25</v>
      </c>
      <c r="F226" s="4" t="s">
        <v>20</v>
      </c>
      <c r="G226" s="4">
        <v>2584</v>
      </c>
      <c r="H226" s="4" t="s">
        <v>264</v>
      </c>
      <c r="I226" s="9" t="s">
        <v>265</v>
      </c>
      <c r="J226" s="13" t="s">
        <v>94</v>
      </c>
      <c r="K226" s="3" t="s">
        <v>906</v>
      </c>
      <c r="L226" s="57" t="s">
        <v>209</v>
      </c>
      <c r="M226" s="96">
        <f>250000*2</f>
        <v>500000</v>
      </c>
      <c r="N226" s="1032"/>
    </row>
    <row r="227" spans="1:14">
      <c r="A227" s="55">
        <v>44</v>
      </c>
      <c r="B227" s="994"/>
      <c r="C227" s="92">
        <v>45234</v>
      </c>
      <c r="D227" s="4" t="s">
        <v>19</v>
      </c>
      <c r="E227" s="4" t="s">
        <v>25</v>
      </c>
      <c r="F227" s="4" t="s">
        <v>20</v>
      </c>
      <c r="G227" s="4">
        <v>2584</v>
      </c>
      <c r="H227" s="4" t="s">
        <v>361</v>
      </c>
      <c r="I227" s="9" t="s">
        <v>265</v>
      </c>
      <c r="J227" s="13" t="s">
        <v>94</v>
      </c>
      <c r="K227" s="3" t="s">
        <v>906</v>
      </c>
      <c r="L227" s="57" t="s">
        <v>209</v>
      </c>
      <c r="M227" s="96">
        <f>250000*2</f>
        <v>500000</v>
      </c>
      <c r="N227" s="1017"/>
    </row>
    <row r="228" spans="1:14">
      <c r="A228" s="55">
        <v>44</v>
      </c>
      <c r="B228" s="992" t="s">
        <v>21</v>
      </c>
      <c r="C228" s="2">
        <v>45230</v>
      </c>
      <c r="D228" s="3" t="s">
        <v>990</v>
      </c>
      <c r="E228" s="4" t="s">
        <v>991</v>
      </c>
      <c r="F228" s="3" t="s">
        <v>992</v>
      </c>
      <c r="G228" s="3" t="s">
        <v>993</v>
      </c>
      <c r="H228" s="3" t="s">
        <v>994</v>
      </c>
      <c r="I228" s="9" t="s">
        <v>998</v>
      </c>
      <c r="J228" s="13" t="s">
        <v>988</v>
      </c>
      <c r="K228" s="3" t="s">
        <v>995</v>
      </c>
      <c r="L228" s="6" t="s">
        <v>15</v>
      </c>
      <c r="M228" s="96">
        <f>250000*1</f>
        <v>250000</v>
      </c>
      <c r="N228" s="45" t="s">
        <v>997</v>
      </c>
    </row>
    <row r="229" spans="1:14">
      <c r="A229" s="55">
        <v>44</v>
      </c>
      <c r="B229" s="994"/>
      <c r="C229" s="35">
        <v>45231</v>
      </c>
      <c r="D229" s="3" t="s">
        <v>21</v>
      </c>
      <c r="E229" s="4" t="s">
        <v>14</v>
      </c>
      <c r="F229" s="3" t="s">
        <v>277</v>
      </c>
      <c r="G229" s="3">
        <v>4210</v>
      </c>
      <c r="H229" s="3" t="s">
        <v>18</v>
      </c>
      <c r="I229" s="9" t="s">
        <v>981</v>
      </c>
      <c r="J229" s="13"/>
      <c r="K229" s="3" t="s">
        <v>641</v>
      </c>
      <c r="L229" s="6" t="s">
        <v>15</v>
      </c>
      <c r="M229" s="96">
        <f>250000*2</f>
        <v>500000</v>
      </c>
      <c r="N229" s="45" t="s">
        <v>982</v>
      </c>
    </row>
    <row r="230" spans="1:14" ht="27">
      <c r="A230" s="55">
        <v>45</v>
      </c>
      <c r="B230" s="992" t="s">
        <v>20</v>
      </c>
      <c r="C230" s="92" t="s">
        <v>996</v>
      </c>
      <c r="D230" s="4" t="s">
        <v>19</v>
      </c>
      <c r="E230" s="4" t="s">
        <v>25</v>
      </c>
      <c r="F230" s="4" t="s">
        <v>20</v>
      </c>
      <c r="G230" s="4">
        <v>3306</v>
      </c>
      <c r="H230" s="4" t="s">
        <v>811</v>
      </c>
      <c r="I230" s="9" t="s">
        <v>855</v>
      </c>
      <c r="J230" s="13" t="s">
        <v>126</v>
      </c>
      <c r="K230" s="3" t="s">
        <v>813</v>
      </c>
      <c r="L230" s="57" t="s">
        <v>209</v>
      </c>
      <c r="M230" s="96">
        <f>250000*5</f>
        <v>1250000</v>
      </c>
      <c r="N230" s="26"/>
    </row>
    <row r="231" spans="1:14">
      <c r="A231" s="55">
        <v>45</v>
      </c>
      <c r="B231" s="993"/>
      <c r="C231" s="92">
        <v>45232</v>
      </c>
      <c r="D231" s="4" t="s">
        <v>19</v>
      </c>
      <c r="E231" s="4" t="s">
        <v>25</v>
      </c>
      <c r="F231" s="4" t="s">
        <v>20</v>
      </c>
      <c r="G231" s="4">
        <v>2584</v>
      </c>
      <c r="H231" s="4" t="s">
        <v>264</v>
      </c>
      <c r="I231" s="9" t="s">
        <v>265</v>
      </c>
      <c r="J231" s="13" t="s">
        <v>94</v>
      </c>
      <c r="K231" s="3" t="s">
        <v>906</v>
      </c>
      <c r="L231" s="57" t="s">
        <v>209</v>
      </c>
      <c r="M231" s="96">
        <f>250000*2</f>
        <v>500000</v>
      </c>
      <c r="N231" s="26"/>
    </row>
    <row r="232" spans="1:14">
      <c r="A232" s="55">
        <v>45</v>
      </c>
      <c r="B232" s="993"/>
      <c r="C232" s="92">
        <v>45233</v>
      </c>
      <c r="D232" s="4" t="s">
        <v>19</v>
      </c>
      <c r="E232" s="4" t="s">
        <v>25</v>
      </c>
      <c r="F232" s="4" t="s">
        <v>20</v>
      </c>
      <c r="G232" s="4">
        <v>2584</v>
      </c>
      <c r="H232" s="4" t="s">
        <v>264</v>
      </c>
      <c r="I232" s="9" t="s">
        <v>265</v>
      </c>
      <c r="J232" s="13" t="s">
        <v>94</v>
      </c>
      <c r="K232" s="3" t="s">
        <v>906</v>
      </c>
      <c r="L232" s="57" t="s">
        <v>209</v>
      </c>
      <c r="M232" s="96">
        <f>250000*2</f>
        <v>500000</v>
      </c>
      <c r="N232" s="26"/>
    </row>
    <row r="233" spans="1:14">
      <c r="A233" s="55">
        <v>45</v>
      </c>
      <c r="B233" s="994"/>
      <c r="C233" s="92">
        <v>45234</v>
      </c>
      <c r="D233" s="4" t="s">
        <v>19</v>
      </c>
      <c r="E233" s="4" t="s">
        <v>25</v>
      </c>
      <c r="F233" s="4" t="s">
        <v>20</v>
      </c>
      <c r="G233" s="4">
        <v>2584</v>
      </c>
      <c r="H233" s="4" t="s">
        <v>361</v>
      </c>
      <c r="I233" s="9" t="s">
        <v>265</v>
      </c>
      <c r="J233" s="13" t="s">
        <v>94</v>
      </c>
      <c r="K233" s="3" t="s">
        <v>906</v>
      </c>
      <c r="L233" s="57" t="s">
        <v>209</v>
      </c>
      <c r="M233" s="96">
        <f>250000*2</f>
        <v>500000</v>
      </c>
      <c r="N233" s="26"/>
    </row>
    <row r="234" spans="1:14">
      <c r="A234" s="55">
        <v>45</v>
      </c>
      <c r="B234" s="992" t="s">
        <v>21</v>
      </c>
      <c r="C234" s="15">
        <v>45222</v>
      </c>
      <c r="D234" s="3" t="s">
        <v>990</v>
      </c>
      <c r="E234" s="4" t="s">
        <v>991</v>
      </c>
      <c r="F234" s="3" t="s">
        <v>992</v>
      </c>
      <c r="G234" s="3" t="s">
        <v>993</v>
      </c>
      <c r="H234" s="3" t="s">
        <v>994</v>
      </c>
      <c r="I234" s="9" t="s">
        <v>998</v>
      </c>
      <c r="J234" s="13" t="s">
        <v>988</v>
      </c>
      <c r="K234" s="3" t="s">
        <v>995</v>
      </c>
      <c r="L234" s="6" t="s">
        <v>15</v>
      </c>
      <c r="M234" s="96">
        <f>250000*1</f>
        <v>250000</v>
      </c>
      <c r="N234" s="26"/>
    </row>
    <row r="235" spans="1:14">
      <c r="A235" s="55">
        <v>45</v>
      </c>
      <c r="B235" s="994"/>
      <c r="C235" s="15">
        <v>45223</v>
      </c>
      <c r="D235" s="3" t="s">
        <v>21</v>
      </c>
      <c r="E235" s="4" t="s">
        <v>14</v>
      </c>
      <c r="F235" s="3" t="s">
        <v>277</v>
      </c>
      <c r="G235" s="3">
        <v>4210</v>
      </c>
      <c r="H235" s="3" t="s">
        <v>18</v>
      </c>
      <c r="I235" s="9" t="s">
        <v>981</v>
      </c>
      <c r="J235" s="13"/>
      <c r="K235" s="3" t="s">
        <v>641</v>
      </c>
      <c r="L235" s="6" t="s">
        <v>15</v>
      </c>
      <c r="M235" s="96">
        <f>250000*2</f>
        <v>500000</v>
      </c>
      <c r="N235" s="26"/>
    </row>
    <row r="236" spans="1:14" ht="27">
      <c r="A236" s="55">
        <v>46</v>
      </c>
      <c r="B236" s="992" t="s">
        <v>20</v>
      </c>
      <c r="C236" s="92" t="s">
        <v>1012</v>
      </c>
      <c r="D236" s="4" t="s">
        <v>19</v>
      </c>
      <c r="E236" s="4" t="s">
        <v>25</v>
      </c>
      <c r="F236" s="4" t="s">
        <v>20</v>
      </c>
      <c r="G236" s="4">
        <v>3306</v>
      </c>
      <c r="H236" s="4" t="s">
        <v>811</v>
      </c>
      <c r="I236" s="9" t="s">
        <v>855</v>
      </c>
      <c r="J236" s="13" t="s">
        <v>126</v>
      </c>
      <c r="K236" s="3" t="s">
        <v>813</v>
      </c>
      <c r="L236" s="57" t="s">
        <v>209</v>
      </c>
      <c r="M236" s="96">
        <f>250000*5</f>
        <v>1250000</v>
      </c>
      <c r="N236" s="26"/>
    </row>
    <row r="237" spans="1:14">
      <c r="A237" s="55">
        <v>46</v>
      </c>
      <c r="B237" s="993"/>
      <c r="C237" s="92">
        <v>45236</v>
      </c>
      <c r="D237" s="4" t="s">
        <v>19</v>
      </c>
      <c r="E237" s="4" t="s">
        <v>25</v>
      </c>
      <c r="F237" s="4" t="s">
        <v>20</v>
      </c>
      <c r="G237" s="4">
        <v>2584</v>
      </c>
      <c r="H237" s="4" t="s">
        <v>264</v>
      </c>
      <c r="I237" s="9" t="s">
        <v>265</v>
      </c>
      <c r="J237" s="13" t="s">
        <v>94</v>
      </c>
      <c r="K237" s="3" t="s">
        <v>1016</v>
      </c>
      <c r="L237" s="57" t="s">
        <v>209</v>
      </c>
      <c r="M237" s="96">
        <f>250000*2</f>
        <v>500000</v>
      </c>
      <c r="N237" s="26"/>
    </row>
    <row r="238" spans="1:14">
      <c r="A238" s="55">
        <v>46</v>
      </c>
      <c r="B238" s="994"/>
      <c r="C238" s="92">
        <v>45236</v>
      </c>
      <c r="D238" s="4" t="s">
        <v>19</v>
      </c>
      <c r="E238" s="4" t="s">
        <v>25</v>
      </c>
      <c r="F238" s="4" t="s">
        <v>20</v>
      </c>
      <c r="G238" s="4">
        <v>2584</v>
      </c>
      <c r="H238" s="4" t="s">
        <v>361</v>
      </c>
      <c r="I238" s="9" t="s">
        <v>265</v>
      </c>
      <c r="J238" s="13" t="s">
        <v>94</v>
      </c>
      <c r="K238" s="3" t="s">
        <v>1017</v>
      </c>
      <c r="L238" s="57" t="s">
        <v>209</v>
      </c>
      <c r="M238" s="96">
        <f>250000*2</f>
        <v>500000</v>
      </c>
      <c r="N238" s="26"/>
    </row>
    <row r="239" spans="1:14" ht="27">
      <c r="A239" s="55">
        <v>46</v>
      </c>
      <c r="B239" s="123" t="s">
        <v>21</v>
      </c>
      <c r="C239" s="15" t="s">
        <v>1013</v>
      </c>
      <c r="D239" s="3" t="s">
        <v>983</v>
      </c>
      <c r="E239" s="4" t="s">
        <v>1009</v>
      </c>
      <c r="F239" s="3" t="s">
        <v>1010</v>
      </c>
      <c r="G239" s="14">
        <v>7060</v>
      </c>
      <c r="H239" s="3" t="s">
        <v>1011</v>
      </c>
      <c r="I239" s="9" t="s">
        <v>1014</v>
      </c>
      <c r="J239" s="13" t="s">
        <v>988</v>
      </c>
      <c r="K239" s="3" t="s">
        <v>1015</v>
      </c>
      <c r="L239" s="6"/>
      <c r="M239" s="96">
        <f>(300000*4)*2</f>
        <v>2400000</v>
      </c>
      <c r="N239" s="26"/>
    </row>
    <row r="240" spans="1:14">
      <c r="A240" s="55">
        <v>46</v>
      </c>
      <c r="B240" s="992" t="s">
        <v>20</v>
      </c>
      <c r="C240" s="92">
        <v>45239</v>
      </c>
      <c r="D240" s="4" t="s">
        <v>19</v>
      </c>
      <c r="E240" s="4" t="s">
        <v>25</v>
      </c>
      <c r="F240" s="4" t="s">
        <v>20</v>
      </c>
      <c r="G240" s="4">
        <v>3306</v>
      </c>
      <c r="H240" s="4" t="s">
        <v>811</v>
      </c>
      <c r="I240" s="9" t="s">
        <v>1024</v>
      </c>
      <c r="J240" s="13" t="s">
        <v>95</v>
      </c>
      <c r="K240" s="3" t="s">
        <v>1022</v>
      </c>
      <c r="L240" s="57" t="s">
        <v>209</v>
      </c>
      <c r="M240" s="96">
        <f>250000*1</f>
        <v>250000</v>
      </c>
      <c r="N240" s="45" t="s">
        <v>1023</v>
      </c>
    </row>
    <row r="241" spans="1:14">
      <c r="A241" s="55">
        <v>46</v>
      </c>
      <c r="B241" s="993"/>
      <c r="C241" s="122">
        <v>45243</v>
      </c>
      <c r="D241" s="4" t="s">
        <v>19</v>
      </c>
      <c r="E241" s="4" t="s">
        <v>25</v>
      </c>
      <c r="F241" s="4" t="s">
        <v>20</v>
      </c>
      <c r="G241" s="4">
        <v>3306</v>
      </c>
      <c r="H241" s="4" t="s">
        <v>811</v>
      </c>
      <c r="I241" s="9" t="s">
        <v>732</v>
      </c>
      <c r="J241" s="13" t="s">
        <v>94</v>
      </c>
      <c r="K241" s="3" t="s">
        <v>1016</v>
      </c>
      <c r="L241" s="57" t="s">
        <v>209</v>
      </c>
      <c r="M241" s="96">
        <f>250000*2</f>
        <v>500000</v>
      </c>
      <c r="N241" s="45" t="s">
        <v>1027</v>
      </c>
    </row>
    <row r="242" spans="1:14" ht="27">
      <c r="A242" s="55">
        <v>46</v>
      </c>
      <c r="B242" s="994"/>
      <c r="C242" s="122" t="s">
        <v>1021</v>
      </c>
      <c r="D242" s="4" t="s">
        <v>19</v>
      </c>
      <c r="E242" s="4" t="s">
        <v>25</v>
      </c>
      <c r="F242" s="4" t="s">
        <v>20</v>
      </c>
      <c r="G242" s="4">
        <v>3306</v>
      </c>
      <c r="H242" s="4" t="s">
        <v>811</v>
      </c>
      <c r="I242" s="9" t="s">
        <v>855</v>
      </c>
      <c r="J242" s="13" t="s">
        <v>126</v>
      </c>
      <c r="K242" s="3" t="s">
        <v>613</v>
      </c>
      <c r="L242" s="57" t="s">
        <v>209</v>
      </c>
      <c r="M242" s="96">
        <f>250000*3</f>
        <v>750000</v>
      </c>
      <c r="N242" s="45" t="s">
        <v>121</v>
      </c>
    </row>
    <row r="243" spans="1:14" ht="27">
      <c r="A243" s="55">
        <v>46</v>
      </c>
      <c r="B243" s="123" t="s">
        <v>21</v>
      </c>
      <c r="C243" s="35">
        <v>45246</v>
      </c>
      <c r="D243" s="3" t="s">
        <v>21</v>
      </c>
      <c r="E243" s="4" t="s">
        <v>991</v>
      </c>
      <c r="F243" s="3" t="s">
        <v>1000</v>
      </c>
      <c r="G243" s="3" t="s">
        <v>1001</v>
      </c>
      <c r="H243" s="3" t="s">
        <v>1002</v>
      </c>
      <c r="I243" s="9" t="s">
        <v>1018</v>
      </c>
      <c r="J243" s="4" t="s">
        <v>989</v>
      </c>
      <c r="K243" s="68" t="s">
        <v>1020</v>
      </c>
      <c r="L243" s="6"/>
      <c r="M243" s="96">
        <v>250000</v>
      </c>
      <c r="N243" s="45" t="s">
        <v>1025</v>
      </c>
    </row>
    <row r="244" spans="1:14" ht="27">
      <c r="A244" s="55">
        <v>47</v>
      </c>
      <c r="B244" s="992" t="s">
        <v>20</v>
      </c>
      <c r="C244" s="92" t="s">
        <v>1032</v>
      </c>
      <c r="D244" s="4" t="s">
        <v>19</v>
      </c>
      <c r="E244" s="4" t="s">
        <v>25</v>
      </c>
      <c r="F244" s="4" t="s">
        <v>20</v>
      </c>
      <c r="G244" s="4">
        <v>3306</v>
      </c>
      <c r="H244" s="4" t="s">
        <v>811</v>
      </c>
      <c r="I244" s="9" t="s">
        <v>1033</v>
      </c>
      <c r="J244" s="13" t="s">
        <v>126</v>
      </c>
      <c r="K244" s="3" t="s">
        <v>813</v>
      </c>
      <c r="L244" s="57" t="s">
        <v>209</v>
      </c>
      <c r="M244" s="96">
        <f>250000*5</f>
        <v>1250000</v>
      </c>
      <c r="N244" s="45" t="s">
        <v>121</v>
      </c>
    </row>
    <row r="245" spans="1:14" ht="27">
      <c r="A245" s="55">
        <v>47</v>
      </c>
      <c r="B245" s="994"/>
      <c r="C245" s="92">
        <v>45252</v>
      </c>
      <c r="D245" s="3" t="s">
        <v>19</v>
      </c>
      <c r="E245" s="4" t="s">
        <v>25</v>
      </c>
      <c r="F245" s="4" t="s">
        <v>20</v>
      </c>
      <c r="G245" s="4" t="s">
        <v>986</v>
      </c>
      <c r="H245" s="3" t="s">
        <v>987</v>
      </c>
      <c r="I245" s="9" t="s">
        <v>732</v>
      </c>
      <c r="J245" s="13" t="s">
        <v>768</v>
      </c>
      <c r="K245" s="3" t="s">
        <v>133</v>
      </c>
      <c r="L245" s="57"/>
      <c r="M245" s="96">
        <f>250000*2</f>
        <v>500000</v>
      </c>
      <c r="N245" s="45" t="s">
        <v>247</v>
      </c>
    </row>
    <row r="246" spans="1:14">
      <c r="A246" s="55">
        <v>47</v>
      </c>
      <c r="B246" s="992" t="s">
        <v>21</v>
      </c>
      <c r="C246" s="127">
        <v>45247</v>
      </c>
      <c r="D246" s="61" t="s">
        <v>21</v>
      </c>
      <c r="E246" s="9" t="s">
        <v>30</v>
      </c>
      <c r="F246" s="61" t="s">
        <v>953</v>
      </c>
      <c r="G246" s="62">
        <v>7060</v>
      </c>
      <c r="H246" s="61" t="s">
        <v>36</v>
      </c>
      <c r="I246" s="9" t="s">
        <v>1030</v>
      </c>
      <c r="J246" s="9" t="s">
        <v>90</v>
      </c>
      <c r="K246" s="136" t="s">
        <v>41</v>
      </c>
      <c r="L246" s="6" t="s">
        <v>15</v>
      </c>
      <c r="M246" s="96">
        <v>250000</v>
      </c>
      <c r="N246" s="45" t="s">
        <v>1029</v>
      </c>
    </row>
    <row r="247" spans="1:14">
      <c r="A247" s="55">
        <v>47</v>
      </c>
      <c r="B247" s="994"/>
      <c r="C247" s="15">
        <v>45250</v>
      </c>
      <c r="D247" s="3" t="s">
        <v>138</v>
      </c>
      <c r="E247" s="4" t="s">
        <v>30</v>
      </c>
      <c r="F247" s="3" t="s">
        <v>107</v>
      </c>
      <c r="G247" s="3" t="s">
        <v>961</v>
      </c>
      <c r="H247" s="3" t="s">
        <v>143</v>
      </c>
      <c r="I247" s="9" t="s">
        <v>1031</v>
      </c>
      <c r="J247" s="13"/>
      <c r="K247" s="3" t="s">
        <v>41</v>
      </c>
      <c r="L247" s="6" t="s">
        <v>15</v>
      </c>
      <c r="M247" s="96">
        <v>250000</v>
      </c>
      <c r="N247" s="79" t="s">
        <v>529</v>
      </c>
    </row>
    <row r="248" spans="1:14" ht="27">
      <c r="A248" s="55">
        <v>48</v>
      </c>
      <c r="B248" s="992" t="s">
        <v>20</v>
      </c>
      <c r="C248" s="122" t="s">
        <v>1050</v>
      </c>
      <c r="D248" s="4" t="s">
        <v>19</v>
      </c>
      <c r="E248" s="4" t="s">
        <v>25</v>
      </c>
      <c r="F248" s="4" t="s">
        <v>20</v>
      </c>
      <c r="G248" s="4">
        <v>3306</v>
      </c>
      <c r="H248" s="4" t="s">
        <v>811</v>
      </c>
      <c r="I248" s="9" t="s">
        <v>1033</v>
      </c>
      <c r="J248" s="13" t="s">
        <v>126</v>
      </c>
      <c r="K248" s="3" t="s">
        <v>813</v>
      </c>
      <c r="L248" s="57" t="s">
        <v>209</v>
      </c>
      <c r="M248" s="96">
        <f>250000*5</f>
        <v>1250000</v>
      </c>
      <c r="N248" s="45" t="s">
        <v>121</v>
      </c>
    </row>
    <row r="249" spans="1:14" ht="16.5" customHeight="1">
      <c r="A249" s="55">
        <v>48</v>
      </c>
      <c r="B249" s="993"/>
      <c r="C249" s="981" t="s">
        <v>1051</v>
      </c>
      <c r="D249" s="4" t="s">
        <v>19</v>
      </c>
      <c r="E249" s="4" t="s">
        <v>25</v>
      </c>
      <c r="F249" s="4" t="s">
        <v>20</v>
      </c>
      <c r="G249" s="4">
        <v>2585</v>
      </c>
      <c r="H249" s="4" t="s">
        <v>1048</v>
      </c>
      <c r="I249" s="9" t="s">
        <v>1049</v>
      </c>
      <c r="J249" s="13" t="s">
        <v>1056</v>
      </c>
      <c r="K249" s="3" t="s">
        <v>133</v>
      </c>
      <c r="L249" s="57"/>
      <c r="M249" s="96">
        <v>500000</v>
      </c>
      <c r="N249" s="1016" t="s">
        <v>247</v>
      </c>
    </row>
    <row r="250" spans="1:14">
      <c r="A250" s="55">
        <v>48</v>
      </c>
      <c r="B250" s="994"/>
      <c r="C250" s="983"/>
      <c r="D250" s="3" t="s">
        <v>19</v>
      </c>
      <c r="E250" s="4" t="s">
        <v>25</v>
      </c>
      <c r="F250" s="4" t="s">
        <v>20</v>
      </c>
      <c r="G250" s="4">
        <v>2585</v>
      </c>
      <c r="H250" s="3" t="s">
        <v>1046</v>
      </c>
      <c r="I250" s="9" t="s">
        <v>732</v>
      </c>
      <c r="J250" s="13" t="s">
        <v>1056</v>
      </c>
      <c r="K250" s="3" t="s">
        <v>1055</v>
      </c>
      <c r="L250" s="57"/>
      <c r="M250" s="96">
        <f>250000*4</f>
        <v>1000000</v>
      </c>
      <c r="N250" s="1017"/>
    </row>
    <row r="251" spans="1:14">
      <c r="A251" s="55">
        <v>48</v>
      </c>
      <c r="B251" s="992" t="s">
        <v>21</v>
      </c>
      <c r="C251" s="127">
        <v>45257</v>
      </c>
      <c r="D251" s="3" t="s">
        <v>21</v>
      </c>
      <c r="E251" s="4" t="s">
        <v>30</v>
      </c>
      <c r="F251" s="3" t="s">
        <v>919</v>
      </c>
      <c r="G251" s="3" t="s">
        <v>1026</v>
      </c>
      <c r="H251" s="3" t="s">
        <v>23</v>
      </c>
      <c r="I251" s="9" t="s">
        <v>1044</v>
      </c>
      <c r="J251" s="4" t="s">
        <v>1042</v>
      </c>
      <c r="K251" s="163" t="s">
        <v>1043</v>
      </c>
      <c r="L251" s="6" t="s">
        <v>15</v>
      </c>
      <c r="M251" s="96">
        <v>250000</v>
      </c>
      <c r="N251" s="45" t="s">
        <v>1053</v>
      </c>
    </row>
    <row r="252" spans="1:14">
      <c r="A252" s="55">
        <v>48</v>
      </c>
      <c r="B252" s="993"/>
      <c r="C252" s="127">
        <v>45258</v>
      </c>
      <c r="D252" s="3" t="s">
        <v>21</v>
      </c>
      <c r="E252" s="4" t="s">
        <v>30</v>
      </c>
      <c r="F252" s="3" t="s">
        <v>919</v>
      </c>
      <c r="G252" s="3" t="s">
        <v>1026</v>
      </c>
      <c r="H252" s="3" t="s">
        <v>23</v>
      </c>
      <c r="I252" s="9" t="s">
        <v>1044</v>
      </c>
      <c r="J252" s="4" t="s">
        <v>1042</v>
      </c>
      <c r="K252" s="164" t="s">
        <v>1043</v>
      </c>
      <c r="L252" s="6" t="s">
        <v>15</v>
      </c>
      <c r="M252" s="96">
        <v>250000</v>
      </c>
      <c r="N252" s="45" t="s">
        <v>1053</v>
      </c>
    </row>
    <row r="253" spans="1:14">
      <c r="A253" s="55">
        <v>48</v>
      </c>
      <c r="B253" s="993"/>
      <c r="C253" s="127">
        <v>45259</v>
      </c>
      <c r="D253" s="3" t="s">
        <v>21</v>
      </c>
      <c r="E253" s="4" t="s">
        <v>30</v>
      </c>
      <c r="F253" s="3" t="s">
        <v>919</v>
      </c>
      <c r="G253" s="3" t="s">
        <v>1026</v>
      </c>
      <c r="H253" s="3" t="s">
        <v>23</v>
      </c>
      <c r="I253" s="9" t="s">
        <v>1044</v>
      </c>
      <c r="J253" s="4" t="s">
        <v>1042</v>
      </c>
      <c r="K253" s="164" t="s">
        <v>1043</v>
      </c>
      <c r="L253" s="6" t="s">
        <v>15</v>
      </c>
      <c r="M253" s="96">
        <v>250000</v>
      </c>
      <c r="N253" s="45" t="s">
        <v>1053</v>
      </c>
    </row>
    <row r="254" spans="1:14">
      <c r="A254" s="55">
        <v>48</v>
      </c>
      <c r="B254" s="994"/>
      <c r="C254" s="127">
        <v>45260</v>
      </c>
      <c r="D254" s="3" t="s">
        <v>1034</v>
      </c>
      <c r="E254" s="4" t="s">
        <v>1035</v>
      </c>
      <c r="F254" s="3" t="s">
        <v>1036</v>
      </c>
      <c r="G254" s="14" t="s">
        <v>1037</v>
      </c>
      <c r="H254" s="3" t="s">
        <v>1038</v>
      </c>
      <c r="I254" s="9" t="s">
        <v>1039</v>
      </c>
      <c r="J254" s="13" t="s">
        <v>1040</v>
      </c>
      <c r="K254" s="143" t="s">
        <v>1045</v>
      </c>
      <c r="L254" s="6" t="s">
        <v>1041</v>
      </c>
      <c r="M254" s="96">
        <v>250000</v>
      </c>
      <c r="N254" s="45" t="s">
        <v>127</v>
      </c>
    </row>
    <row r="255" spans="1:14" ht="27">
      <c r="A255" s="55">
        <v>49</v>
      </c>
      <c r="B255" s="992" t="s">
        <v>20</v>
      </c>
      <c r="C255" s="122" t="s">
        <v>1086</v>
      </c>
      <c r="D255" s="4" t="s">
        <v>19</v>
      </c>
      <c r="E255" s="4" t="s">
        <v>25</v>
      </c>
      <c r="F255" s="4" t="s">
        <v>20</v>
      </c>
      <c r="G255" s="4">
        <v>3306</v>
      </c>
      <c r="H255" s="4" t="s">
        <v>811</v>
      </c>
      <c r="I255" s="9" t="s">
        <v>1033</v>
      </c>
      <c r="J255" s="13" t="s">
        <v>126</v>
      </c>
      <c r="K255" s="137" t="s">
        <v>813</v>
      </c>
      <c r="L255" s="57" t="s">
        <v>209</v>
      </c>
      <c r="M255" s="96">
        <f>250000*5</f>
        <v>1250000</v>
      </c>
      <c r="N255" s="45" t="s">
        <v>121</v>
      </c>
    </row>
    <row r="256" spans="1:14" ht="16.5" customHeight="1">
      <c r="A256" s="55">
        <v>49</v>
      </c>
      <c r="B256" s="993"/>
      <c r="C256" s="981" t="s">
        <v>1085</v>
      </c>
      <c r="D256" s="4" t="s">
        <v>19</v>
      </c>
      <c r="E256" s="4" t="s">
        <v>25</v>
      </c>
      <c r="F256" s="4" t="s">
        <v>20</v>
      </c>
      <c r="G256" s="4" t="s">
        <v>1088</v>
      </c>
      <c r="H256" s="4" t="s">
        <v>1089</v>
      </c>
      <c r="I256" s="9" t="s">
        <v>1117</v>
      </c>
      <c r="J256" s="13" t="s">
        <v>1056</v>
      </c>
      <c r="K256" s="144" t="s">
        <v>135</v>
      </c>
      <c r="L256" s="57"/>
      <c r="M256" s="96">
        <f>250000*4</f>
        <v>1000000</v>
      </c>
      <c r="N256" s="1016" t="s">
        <v>247</v>
      </c>
    </row>
    <row r="257" spans="1:14">
      <c r="A257" s="55">
        <v>49</v>
      </c>
      <c r="B257" s="994"/>
      <c r="C257" s="983"/>
      <c r="D257" s="3" t="s">
        <v>19</v>
      </c>
      <c r="E257" s="4" t="s">
        <v>25</v>
      </c>
      <c r="F257" s="4" t="s">
        <v>20</v>
      </c>
      <c r="G257" s="4">
        <v>2585</v>
      </c>
      <c r="H257" s="3" t="s">
        <v>1046</v>
      </c>
      <c r="I257" s="9" t="s">
        <v>732</v>
      </c>
      <c r="J257" s="13" t="s">
        <v>1056</v>
      </c>
      <c r="K257" s="144" t="s">
        <v>133</v>
      </c>
      <c r="L257" s="57"/>
      <c r="M257" s="96">
        <f>250000*2</f>
        <v>500000</v>
      </c>
      <c r="N257" s="1017"/>
    </row>
    <row r="258" spans="1:14" ht="40.5">
      <c r="A258" s="55">
        <v>49</v>
      </c>
      <c r="B258" s="992" t="s">
        <v>21</v>
      </c>
      <c r="C258" s="127">
        <v>45264</v>
      </c>
      <c r="D258" s="3" t="s">
        <v>21</v>
      </c>
      <c r="E258" s="4" t="s">
        <v>30</v>
      </c>
      <c r="F258" s="3" t="s">
        <v>1059</v>
      </c>
      <c r="G258" s="3">
        <v>4209</v>
      </c>
      <c r="H258" s="3" t="s">
        <v>1060</v>
      </c>
      <c r="I258" s="9" t="s">
        <v>1084</v>
      </c>
      <c r="J258" s="4" t="s">
        <v>1083</v>
      </c>
      <c r="K258" s="141" t="s">
        <v>1092</v>
      </c>
      <c r="L258" s="6" t="s">
        <v>15</v>
      </c>
      <c r="M258" s="96">
        <v>250000</v>
      </c>
      <c r="N258" s="45" t="s">
        <v>1091</v>
      </c>
    </row>
    <row r="259" spans="1:14">
      <c r="A259" s="55">
        <v>49</v>
      </c>
      <c r="B259" s="994"/>
      <c r="C259" s="127">
        <v>45265</v>
      </c>
      <c r="D259" s="3" t="s">
        <v>21</v>
      </c>
      <c r="E259" s="4" t="s">
        <v>30</v>
      </c>
      <c r="F259" s="3" t="s">
        <v>211</v>
      </c>
      <c r="G259" s="3" t="s">
        <v>400</v>
      </c>
      <c r="H259" s="3" t="s">
        <v>361</v>
      </c>
      <c r="I259" s="9" t="s">
        <v>1058</v>
      </c>
      <c r="J259" s="4"/>
      <c r="K259" s="162" t="s">
        <v>1090</v>
      </c>
      <c r="L259" s="16" t="s">
        <v>15</v>
      </c>
      <c r="M259" s="96">
        <f>250000*2</f>
        <v>500000</v>
      </c>
      <c r="N259" s="45" t="s">
        <v>1091</v>
      </c>
    </row>
    <row r="260" spans="1:14" ht="25.5">
      <c r="A260" s="55">
        <v>49</v>
      </c>
      <c r="B260" s="1005" t="s">
        <v>307</v>
      </c>
      <c r="C260" s="128" t="s">
        <v>1095</v>
      </c>
      <c r="D260" s="129" t="s">
        <v>306</v>
      </c>
      <c r="E260" s="129" t="s">
        <v>322</v>
      </c>
      <c r="F260" s="129" t="s">
        <v>307</v>
      </c>
      <c r="G260" s="129">
        <v>8384</v>
      </c>
      <c r="H260" s="129" t="s">
        <v>640</v>
      </c>
      <c r="I260" s="130" t="s">
        <v>1096</v>
      </c>
      <c r="J260" s="129" t="s">
        <v>1111</v>
      </c>
      <c r="K260" s="142" t="s">
        <v>1054</v>
      </c>
      <c r="L260" s="129" t="s">
        <v>324</v>
      </c>
      <c r="M260" s="483" t="s">
        <v>1112</v>
      </c>
      <c r="N260" s="129" t="s">
        <v>1097</v>
      </c>
    </row>
    <row r="261" spans="1:14">
      <c r="A261" s="55">
        <v>49</v>
      </c>
      <c r="B261" s="1006"/>
      <c r="C261" s="131" t="s">
        <v>1109</v>
      </c>
      <c r="D261" s="129" t="s">
        <v>306</v>
      </c>
      <c r="E261" s="129" t="s">
        <v>322</v>
      </c>
      <c r="F261" s="129" t="s">
        <v>307</v>
      </c>
      <c r="G261" s="129" t="s">
        <v>1087</v>
      </c>
      <c r="H261" s="129" t="s">
        <v>347</v>
      </c>
      <c r="I261" s="130" t="s">
        <v>1098</v>
      </c>
      <c r="J261" s="129" t="s">
        <v>664</v>
      </c>
      <c r="K261" s="138" t="s">
        <v>1100</v>
      </c>
      <c r="L261" s="129"/>
      <c r="M261" s="483" t="s">
        <v>458</v>
      </c>
      <c r="N261" s="1003" t="s">
        <v>1103</v>
      </c>
    </row>
    <row r="262" spans="1:14" ht="25.5">
      <c r="A262" s="132">
        <v>49</v>
      </c>
      <c r="B262" s="1007"/>
      <c r="C262" s="133" t="s">
        <v>1110</v>
      </c>
      <c r="D262" s="103" t="s">
        <v>306</v>
      </c>
      <c r="E262" s="128" t="s">
        <v>322</v>
      </c>
      <c r="F262" s="128" t="s">
        <v>307</v>
      </c>
      <c r="G262" s="128">
        <v>2585</v>
      </c>
      <c r="H262" s="103" t="s">
        <v>1047</v>
      </c>
      <c r="I262" s="134" t="s">
        <v>1057</v>
      </c>
      <c r="J262" s="128" t="s">
        <v>664</v>
      </c>
      <c r="K262" s="139" t="s">
        <v>1102</v>
      </c>
      <c r="L262" s="128"/>
      <c r="M262" s="484" t="s">
        <v>672</v>
      </c>
      <c r="N262" s="1004"/>
    </row>
    <row r="263" spans="1:14" ht="16.5" customHeight="1">
      <c r="A263" s="55">
        <v>50</v>
      </c>
      <c r="B263" s="992" t="s">
        <v>20</v>
      </c>
      <c r="C263" s="981" t="s">
        <v>1120</v>
      </c>
      <c r="D263" s="4" t="s">
        <v>19</v>
      </c>
      <c r="E263" s="4" t="s">
        <v>25</v>
      </c>
      <c r="F263" s="4" t="s">
        <v>20</v>
      </c>
      <c r="G263" s="4">
        <v>8384</v>
      </c>
      <c r="H263" s="4" t="s">
        <v>125</v>
      </c>
      <c r="I263" s="9" t="s">
        <v>378</v>
      </c>
      <c r="J263" s="13" t="s">
        <v>126</v>
      </c>
      <c r="K263" s="3" t="s">
        <v>1114</v>
      </c>
      <c r="L263" s="57" t="s">
        <v>209</v>
      </c>
      <c r="M263" s="96">
        <f>250000*7</f>
        <v>1750000</v>
      </c>
      <c r="N263" s="45" t="s">
        <v>121</v>
      </c>
    </row>
    <row r="264" spans="1:14">
      <c r="A264" s="55">
        <v>50</v>
      </c>
      <c r="B264" s="993"/>
      <c r="C264" s="982"/>
      <c r="D264" s="4" t="s">
        <v>19</v>
      </c>
      <c r="E264" s="4" t="s">
        <v>25</v>
      </c>
      <c r="F264" s="4" t="s">
        <v>20</v>
      </c>
      <c r="G264" s="4" t="s">
        <v>1062</v>
      </c>
      <c r="H264" s="4" t="s">
        <v>102</v>
      </c>
      <c r="I264" s="9" t="s">
        <v>1106</v>
      </c>
      <c r="J264" s="13" t="s">
        <v>168</v>
      </c>
      <c r="K264" s="168" t="s">
        <v>1101</v>
      </c>
      <c r="L264" s="57"/>
      <c r="M264" s="96">
        <f>250000*2</f>
        <v>500000</v>
      </c>
      <c r="N264" s="45" t="s">
        <v>1104</v>
      </c>
    </row>
    <row r="265" spans="1:14">
      <c r="A265" s="55">
        <v>50</v>
      </c>
      <c r="B265" s="993"/>
      <c r="C265" s="982"/>
      <c r="D265" s="4" t="s">
        <v>19</v>
      </c>
      <c r="E265" s="4" t="s">
        <v>25</v>
      </c>
      <c r="F265" s="4" t="s">
        <v>20</v>
      </c>
      <c r="G265" s="4" t="s">
        <v>1107</v>
      </c>
      <c r="H265" s="4" t="s">
        <v>23</v>
      </c>
      <c r="I265" s="9" t="s">
        <v>1099</v>
      </c>
      <c r="J265" s="13" t="s">
        <v>168</v>
      </c>
      <c r="K265" s="140" t="s">
        <v>1101</v>
      </c>
      <c r="L265" s="57"/>
      <c r="M265" s="96">
        <f>250000*2</f>
        <v>500000</v>
      </c>
      <c r="N265" s="45" t="s">
        <v>1104</v>
      </c>
    </row>
    <row r="266" spans="1:14">
      <c r="A266" s="55">
        <v>50</v>
      </c>
      <c r="B266" s="993"/>
      <c r="C266" s="982"/>
      <c r="D266" s="3" t="s">
        <v>19</v>
      </c>
      <c r="E266" s="4" t="s">
        <v>25</v>
      </c>
      <c r="F266" s="4" t="s">
        <v>20</v>
      </c>
      <c r="G266" s="4" t="s">
        <v>961</v>
      </c>
      <c r="H266" s="3" t="s">
        <v>145</v>
      </c>
      <c r="I266" s="9" t="s">
        <v>1105</v>
      </c>
      <c r="J266" s="13" t="s">
        <v>94</v>
      </c>
      <c r="K266" s="3" t="s">
        <v>1116</v>
      </c>
      <c r="L266" s="57"/>
      <c r="M266" s="96">
        <f>250000*2</f>
        <v>500000</v>
      </c>
      <c r="N266" s="45" t="s">
        <v>247</v>
      </c>
    </row>
    <row r="267" spans="1:14">
      <c r="A267" s="55">
        <v>50</v>
      </c>
      <c r="B267" s="994"/>
      <c r="C267" s="983"/>
      <c r="D267" s="3" t="s">
        <v>19</v>
      </c>
      <c r="E267" s="4" t="s">
        <v>25</v>
      </c>
      <c r="F267" s="4" t="s">
        <v>20</v>
      </c>
      <c r="G267" s="4">
        <v>2585</v>
      </c>
      <c r="H267" s="3" t="s">
        <v>279</v>
      </c>
      <c r="I267" s="9" t="s">
        <v>1105</v>
      </c>
      <c r="J267" s="13" t="s">
        <v>94</v>
      </c>
      <c r="K267" s="144" t="s">
        <v>135</v>
      </c>
      <c r="L267" s="57"/>
      <c r="M267" s="96">
        <f>250000*4</f>
        <v>1000000</v>
      </c>
      <c r="N267" s="45" t="s">
        <v>247</v>
      </c>
    </row>
    <row r="268" spans="1:14">
      <c r="A268" s="55">
        <v>51</v>
      </c>
      <c r="B268" s="1005" t="s">
        <v>658</v>
      </c>
      <c r="C268" s="1003" t="s">
        <v>1281</v>
      </c>
      <c r="D268" s="148" t="s">
        <v>306</v>
      </c>
      <c r="E268" s="148" t="s">
        <v>322</v>
      </c>
      <c r="F268" s="148" t="s">
        <v>307</v>
      </c>
      <c r="G268" s="148">
        <v>3306</v>
      </c>
      <c r="H268" s="148" t="s">
        <v>1153</v>
      </c>
      <c r="I268" s="149" t="s">
        <v>1154</v>
      </c>
      <c r="J268" s="148" t="s">
        <v>1111</v>
      </c>
      <c r="K268" s="148" t="s">
        <v>1155</v>
      </c>
      <c r="L268" s="148" t="s">
        <v>324</v>
      </c>
      <c r="M268" s="485" t="s">
        <v>708</v>
      </c>
      <c r="N268" s="148" t="s">
        <v>665</v>
      </c>
    </row>
    <row r="269" spans="1:14">
      <c r="A269" s="55">
        <v>51</v>
      </c>
      <c r="B269" s="1006"/>
      <c r="C269" s="1031"/>
      <c r="D269" s="148" t="s">
        <v>306</v>
      </c>
      <c r="E269" s="148" t="s">
        <v>322</v>
      </c>
      <c r="F269" s="148" t="s">
        <v>307</v>
      </c>
      <c r="G269" s="148">
        <v>8384</v>
      </c>
      <c r="H269" s="148" t="s">
        <v>640</v>
      </c>
      <c r="I269" s="149" t="s">
        <v>1156</v>
      </c>
      <c r="J269" s="148" t="s">
        <v>349</v>
      </c>
      <c r="K269" s="156" t="s">
        <v>1157</v>
      </c>
      <c r="L269" s="148" t="s">
        <v>324</v>
      </c>
      <c r="M269" s="485" t="s">
        <v>1112</v>
      </c>
      <c r="N269" s="148" t="s">
        <v>425</v>
      </c>
    </row>
    <row r="270" spans="1:14">
      <c r="A270" s="55">
        <v>51</v>
      </c>
      <c r="B270" s="1007"/>
      <c r="C270" s="1004"/>
      <c r="D270" s="148" t="s">
        <v>306</v>
      </c>
      <c r="E270" s="148" t="s">
        <v>322</v>
      </c>
      <c r="F270" s="148" t="s">
        <v>307</v>
      </c>
      <c r="G270" s="148" t="s">
        <v>1158</v>
      </c>
      <c r="H270" s="148" t="s">
        <v>662</v>
      </c>
      <c r="I270" s="149" t="s">
        <v>1159</v>
      </c>
      <c r="J270" s="148" t="s">
        <v>664</v>
      </c>
      <c r="K270" s="167" t="s">
        <v>1100</v>
      </c>
      <c r="L270" s="148" t="s">
        <v>324</v>
      </c>
      <c r="M270" s="485" t="s">
        <v>458</v>
      </c>
      <c r="N270" s="148" t="s">
        <v>1160</v>
      </c>
    </row>
    <row r="271" spans="1:14" ht="16.5" customHeight="1">
      <c r="A271" s="55">
        <v>52</v>
      </c>
      <c r="B271" s="992" t="s">
        <v>20</v>
      </c>
      <c r="C271" s="981" t="s">
        <v>1134</v>
      </c>
      <c r="D271" s="4" t="s">
        <v>19</v>
      </c>
      <c r="E271" s="4" t="s">
        <v>25</v>
      </c>
      <c r="F271" s="4" t="s">
        <v>20</v>
      </c>
      <c r="G271" s="4">
        <v>3306</v>
      </c>
      <c r="H271" s="4" t="s">
        <v>811</v>
      </c>
      <c r="I271" s="9" t="s">
        <v>1122</v>
      </c>
      <c r="J271" s="13" t="s">
        <v>126</v>
      </c>
      <c r="K271" s="4" t="s">
        <v>1135</v>
      </c>
      <c r="L271" s="57" t="s">
        <v>209</v>
      </c>
      <c r="M271" s="96">
        <f>250000*4</f>
        <v>1000000</v>
      </c>
      <c r="N271" s="45" t="s">
        <v>121</v>
      </c>
    </row>
    <row r="272" spans="1:14">
      <c r="A272" s="55">
        <v>52</v>
      </c>
      <c r="B272" s="993"/>
      <c r="C272" s="982"/>
      <c r="D272" s="4" t="s">
        <v>19</v>
      </c>
      <c r="E272" s="4" t="s">
        <v>25</v>
      </c>
      <c r="F272" s="4" t="s">
        <v>20</v>
      </c>
      <c r="G272" s="4">
        <v>3306</v>
      </c>
      <c r="H272" s="4" t="s">
        <v>811</v>
      </c>
      <c r="I272" s="9" t="s">
        <v>1148</v>
      </c>
      <c r="J272" s="13"/>
      <c r="K272" s="159" t="s">
        <v>1149</v>
      </c>
      <c r="L272" s="57" t="s">
        <v>209</v>
      </c>
      <c r="M272" s="96">
        <f>250000*3</f>
        <v>750000</v>
      </c>
      <c r="N272" s="45" t="s">
        <v>1150</v>
      </c>
    </row>
    <row r="273" spans="1:15">
      <c r="A273" s="55">
        <v>52</v>
      </c>
      <c r="B273" s="993"/>
      <c r="C273" s="983"/>
      <c r="D273" s="4" t="s">
        <v>19</v>
      </c>
      <c r="E273" s="4" t="s">
        <v>25</v>
      </c>
      <c r="F273" s="4" t="s">
        <v>20</v>
      </c>
      <c r="G273" s="4">
        <v>8384</v>
      </c>
      <c r="H273" s="4" t="s">
        <v>1147</v>
      </c>
      <c r="I273" s="9" t="s">
        <v>1106</v>
      </c>
      <c r="J273" s="13" t="s">
        <v>168</v>
      </c>
      <c r="K273" s="170" t="s">
        <v>487</v>
      </c>
      <c r="L273" s="57" t="s">
        <v>209</v>
      </c>
      <c r="M273" s="96">
        <f>250000*2</f>
        <v>500000</v>
      </c>
      <c r="N273" s="45" t="s">
        <v>1023</v>
      </c>
      <c r="O273" s="165" t="s">
        <v>1262</v>
      </c>
    </row>
    <row r="274" spans="1:15">
      <c r="A274" s="55">
        <v>52</v>
      </c>
      <c r="B274" s="993"/>
      <c r="C274" s="92">
        <v>45287</v>
      </c>
      <c r="D274" s="3" t="s">
        <v>24</v>
      </c>
      <c r="E274" s="4" t="s">
        <v>30</v>
      </c>
      <c r="F274" s="3" t="s">
        <v>1125</v>
      </c>
      <c r="G274" s="3" t="s">
        <v>604</v>
      </c>
      <c r="H274" s="3" t="s">
        <v>102</v>
      </c>
      <c r="I274" s="9" t="s">
        <v>1127</v>
      </c>
      <c r="J274" s="4"/>
      <c r="K274" s="171" t="s">
        <v>1129</v>
      </c>
      <c r="L274" s="57"/>
      <c r="M274" s="96">
        <f>250000*2</f>
        <v>500000</v>
      </c>
      <c r="N274" s="45" t="s">
        <v>1137</v>
      </c>
    </row>
    <row r="275" spans="1:15">
      <c r="A275" s="55">
        <v>52</v>
      </c>
      <c r="B275" s="993"/>
      <c r="C275" s="981">
        <v>45288</v>
      </c>
      <c r="D275" s="3" t="s">
        <v>24</v>
      </c>
      <c r="E275" s="4" t="s">
        <v>30</v>
      </c>
      <c r="F275" s="3" t="s">
        <v>623</v>
      </c>
      <c r="G275" s="3" t="s">
        <v>1123</v>
      </c>
      <c r="H275" s="3" t="s">
        <v>102</v>
      </c>
      <c r="I275" s="9" t="s">
        <v>1124</v>
      </c>
      <c r="J275" s="13"/>
      <c r="K275" s="171" t="s">
        <v>1129</v>
      </c>
      <c r="L275" s="57"/>
      <c r="M275" s="96">
        <f>250000*2</f>
        <v>500000</v>
      </c>
      <c r="N275" s="45" t="s">
        <v>1137</v>
      </c>
    </row>
    <row r="276" spans="1:15" ht="27">
      <c r="A276" s="55">
        <v>52</v>
      </c>
      <c r="B276" s="993"/>
      <c r="C276" s="983"/>
      <c r="D276" s="3" t="s">
        <v>21</v>
      </c>
      <c r="E276" s="4" t="s">
        <v>31</v>
      </c>
      <c r="F276" s="3" t="s">
        <v>898</v>
      </c>
      <c r="G276" s="3" t="s">
        <v>879</v>
      </c>
      <c r="H276" s="3" t="s">
        <v>102</v>
      </c>
      <c r="I276" s="9" t="s">
        <v>1139</v>
      </c>
      <c r="J276" s="4"/>
      <c r="K276" s="166" t="s">
        <v>1126</v>
      </c>
      <c r="L276" s="57"/>
      <c r="M276" s="96">
        <f>250000*3</f>
        <v>750000</v>
      </c>
      <c r="N276" s="45" t="s">
        <v>1138</v>
      </c>
    </row>
    <row r="277" spans="1:15" ht="27">
      <c r="A277" s="55">
        <v>52</v>
      </c>
      <c r="B277" s="994"/>
      <c r="C277" s="92">
        <v>45289</v>
      </c>
      <c r="D277" s="3" t="s">
        <v>21</v>
      </c>
      <c r="E277" s="4" t="s">
        <v>30</v>
      </c>
      <c r="F277" s="3" t="s">
        <v>1132</v>
      </c>
      <c r="G277" s="146">
        <v>2461</v>
      </c>
      <c r="H277" s="147" t="s">
        <v>1131</v>
      </c>
      <c r="I277" s="146" t="s">
        <v>238</v>
      </c>
      <c r="J277" s="13"/>
      <c r="K277" s="4" t="s">
        <v>1133</v>
      </c>
      <c r="L277" s="57"/>
      <c r="M277" s="96">
        <f>250000*2</f>
        <v>500000</v>
      </c>
      <c r="N277" s="45" t="s">
        <v>1137</v>
      </c>
    </row>
    <row r="278" spans="1:15">
      <c r="A278" s="1026" t="s">
        <v>1196</v>
      </c>
      <c r="B278" s="1027"/>
      <c r="C278" s="1027"/>
      <c r="D278" s="1027"/>
      <c r="E278" s="1027"/>
      <c r="F278" s="1027"/>
      <c r="G278" s="1027"/>
      <c r="H278" s="1027"/>
      <c r="I278" s="1027"/>
      <c r="J278" s="1027"/>
      <c r="K278" s="1027"/>
      <c r="L278" s="1027"/>
      <c r="M278" s="1027"/>
      <c r="N278" s="1028"/>
    </row>
    <row r="279" spans="1:15" ht="16.5" customHeight="1">
      <c r="A279" s="55">
        <v>1</v>
      </c>
      <c r="B279" s="992" t="s">
        <v>20</v>
      </c>
      <c r="C279" s="981" t="s">
        <v>1184</v>
      </c>
      <c r="D279" s="4" t="s">
        <v>19</v>
      </c>
      <c r="E279" s="4" t="s">
        <v>25</v>
      </c>
      <c r="F279" s="4" t="s">
        <v>20</v>
      </c>
      <c r="G279" s="4">
        <v>3306</v>
      </c>
      <c r="H279" s="4" t="s">
        <v>811</v>
      </c>
      <c r="I279" s="9" t="s">
        <v>1122</v>
      </c>
      <c r="J279" s="13" t="s">
        <v>126</v>
      </c>
      <c r="K279" s="4" t="s">
        <v>1135</v>
      </c>
      <c r="L279" s="57" t="s">
        <v>209</v>
      </c>
      <c r="M279" s="96">
        <f>250000*4</f>
        <v>1000000</v>
      </c>
      <c r="N279" s="45" t="s">
        <v>121</v>
      </c>
    </row>
    <row r="280" spans="1:15">
      <c r="A280" s="55">
        <v>1</v>
      </c>
      <c r="B280" s="994"/>
      <c r="C280" s="983"/>
      <c r="D280" s="4" t="s">
        <v>19</v>
      </c>
      <c r="E280" s="4" t="s">
        <v>25</v>
      </c>
      <c r="F280" s="4" t="s">
        <v>20</v>
      </c>
      <c r="G280" s="4">
        <v>8384</v>
      </c>
      <c r="H280" s="4" t="s">
        <v>125</v>
      </c>
      <c r="I280" s="9" t="s">
        <v>130</v>
      </c>
      <c r="J280" s="13" t="s">
        <v>1186</v>
      </c>
      <c r="K280" s="157" t="s">
        <v>135</v>
      </c>
      <c r="L280" s="57" t="s">
        <v>209</v>
      </c>
      <c r="M280" s="96">
        <f>250000*4</f>
        <v>1000000</v>
      </c>
      <c r="N280" s="45" t="s">
        <v>1194</v>
      </c>
    </row>
    <row r="281" spans="1:15">
      <c r="A281" s="55">
        <v>1</v>
      </c>
      <c r="B281" s="992" t="s">
        <v>64</v>
      </c>
      <c r="C281" s="981">
        <v>45293</v>
      </c>
      <c r="D281" s="3" t="s">
        <v>64</v>
      </c>
      <c r="E281" s="4" t="s">
        <v>1169</v>
      </c>
      <c r="F281" s="3" t="s">
        <v>1170</v>
      </c>
      <c r="G281" s="3" t="s">
        <v>1166</v>
      </c>
      <c r="H281" s="3" t="s">
        <v>1167</v>
      </c>
      <c r="I281" s="9" t="s">
        <v>1168</v>
      </c>
      <c r="J281" s="13" t="s">
        <v>1173</v>
      </c>
      <c r="K281" s="170" t="s">
        <v>1182</v>
      </c>
      <c r="L281" s="16" t="s">
        <v>1175</v>
      </c>
      <c r="M281" s="96">
        <v>500000</v>
      </c>
      <c r="N281" s="45" t="s">
        <v>1189</v>
      </c>
    </row>
    <row r="282" spans="1:15" ht="27">
      <c r="A282" s="55">
        <v>1</v>
      </c>
      <c r="B282" s="993"/>
      <c r="C282" s="983"/>
      <c r="D282" s="3" t="s">
        <v>1162</v>
      </c>
      <c r="E282" s="4" t="s">
        <v>1163</v>
      </c>
      <c r="F282" s="3" t="s">
        <v>1164</v>
      </c>
      <c r="G282" s="3">
        <v>2461</v>
      </c>
      <c r="H282" s="3" t="s">
        <v>1165</v>
      </c>
      <c r="I282" s="9" t="s">
        <v>1171</v>
      </c>
      <c r="J282" s="145"/>
      <c r="K282" s="159" t="s">
        <v>1178</v>
      </c>
      <c r="L282" s="6" t="s">
        <v>1175</v>
      </c>
      <c r="M282" s="96">
        <v>500000</v>
      </c>
      <c r="N282" s="45" t="s">
        <v>1190</v>
      </c>
    </row>
    <row r="283" spans="1:15">
      <c r="A283" s="55">
        <v>1</v>
      </c>
      <c r="B283" s="993"/>
      <c r="C283" s="981">
        <v>45294</v>
      </c>
      <c r="D283" s="3" t="s">
        <v>24</v>
      </c>
      <c r="E283" s="4" t="s">
        <v>31</v>
      </c>
      <c r="F283" s="3" t="s">
        <v>78</v>
      </c>
      <c r="G283" s="3" t="s">
        <v>1118</v>
      </c>
      <c r="H283" s="3" t="s">
        <v>345</v>
      </c>
      <c r="I283" s="9" t="s">
        <v>1119</v>
      </c>
      <c r="J283" s="1022" t="s">
        <v>1174</v>
      </c>
      <c r="K283" s="1024" t="s">
        <v>1188</v>
      </c>
      <c r="L283" s="6" t="s">
        <v>1176</v>
      </c>
      <c r="M283" s="96">
        <v>500000</v>
      </c>
      <c r="N283" s="45" t="s">
        <v>1191</v>
      </c>
    </row>
    <row r="284" spans="1:15">
      <c r="A284" s="55">
        <v>1</v>
      </c>
      <c r="B284" s="993"/>
      <c r="C284" s="983"/>
      <c r="D284" s="3" t="s">
        <v>21</v>
      </c>
      <c r="E284" s="4" t="s">
        <v>17</v>
      </c>
      <c r="F284" s="3" t="s">
        <v>78</v>
      </c>
      <c r="G284" s="14" t="s">
        <v>867</v>
      </c>
      <c r="H284" s="3" t="s">
        <v>83</v>
      </c>
      <c r="I284" s="9" t="s">
        <v>1128</v>
      </c>
      <c r="J284" s="1023"/>
      <c r="K284" s="1025"/>
      <c r="L284" s="6" t="s">
        <v>1175</v>
      </c>
      <c r="M284" s="96">
        <v>500000</v>
      </c>
      <c r="N284" s="45" t="s">
        <v>1191</v>
      </c>
    </row>
    <row r="285" spans="1:15">
      <c r="A285" s="55">
        <v>1</v>
      </c>
      <c r="B285" s="993"/>
      <c r="C285" s="92">
        <v>45295</v>
      </c>
      <c r="D285" s="3" t="s">
        <v>64</v>
      </c>
      <c r="E285" s="4" t="s">
        <v>70</v>
      </c>
      <c r="F285" s="3" t="s">
        <v>1125</v>
      </c>
      <c r="G285" s="3" t="s">
        <v>604</v>
      </c>
      <c r="H285" s="3" t="s">
        <v>102</v>
      </c>
      <c r="I285" s="9" t="s">
        <v>1180</v>
      </c>
      <c r="J285" s="13"/>
      <c r="K285" s="172" t="s">
        <v>1182</v>
      </c>
      <c r="L285" s="6" t="s">
        <v>1175</v>
      </c>
      <c r="M285" s="96">
        <v>500000</v>
      </c>
      <c r="N285" s="45" t="s">
        <v>1192</v>
      </c>
    </row>
    <row r="286" spans="1:15">
      <c r="A286" s="55">
        <v>1</v>
      </c>
      <c r="B286" s="994"/>
      <c r="C286" s="92">
        <v>45296</v>
      </c>
      <c r="D286" s="3" t="s">
        <v>21</v>
      </c>
      <c r="E286" s="4" t="s">
        <v>30</v>
      </c>
      <c r="F286" s="3" t="s">
        <v>107</v>
      </c>
      <c r="G286" s="3" t="s">
        <v>108</v>
      </c>
      <c r="H286" s="3" t="s">
        <v>1172</v>
      </c>
      <c r="I286" s="9" t="s">
        <v>1181</v>
      </c>
      <c r="J286" s="13" t="s">
        <v>1173</v>
      </c>
      <c r="K286" s="159" t="s">
        <v>1183</v>
      </c>
      <c r="L286" s="6" t="s">
        <v>1175</v>
      </c>
      <c r="M286" s="96">
        <v>250000</v>
      </c>
      <c r="N286" s="45" t="s">
        <v>1193</v>
      </c>
    </row>
    <row r="287" spans="1:15" ht="25.5" customHeight="1">
      <c r="A287" s="55">
        <v>2</v>
      </c>
      <c r="B287" s="1029" t="s">
        <v>123</v>
      </c>
      <c r="C287" s="1003" t="s">
        <v>1282</v>
      </c>
      <c r="D287" s="129" t="s">
        <v>306</v>
      </c>
      <c r="E287" s="129" t="s">
        <v>322</v>
      </c>
      <c r="F287" s="129" t="s">
        <v>307</v>
      </c>
      <c r="G287" s="129">
        <v>3306</v>
      </c>
      <c r="H287" s="129" t="s">
        <v>1153</v>
      </c>
      <c r="I287" s="130" t="s">
        <v>1154</v>
      </c>
      <c r="J287" s="129" t="s">
        <v>1111</v>
      </c>
      <c r="K287" s="129" t="s">
        <v>1155</v>
      </c>
      <c r="L287" s="129" t="s">
        <v>324</v>
      </c>
      <c r="M287" s="483" t="s">
        <v>708</v>
      </c>
      <c r="N287" s="129" t="s">
        <v>665</v>
      </c>
    </row>
    <row r="288" spans="1:15">
      <c r="A288" s="55">
        <v>2</v>
      </c>
      <c r="B288" s="1030"/>
      <c r="C288" s="1004"/>
      <c r="D288" s="129" t="s">
        <v>306</v>
      </c>
      <c r="E288" s="129" t="s">
        <v>322</v>
      </c>
      <c r="F288" s="129" t="s">
        <v>307</v>
      </c>
      <c r="G288" s="129" t="s">
        <v>1187</v>
      </c>
      <c r="H288" s="129" t="s">
        <v>1195</v>
      </c>
      <c r="I288" s="130" t="s">
        <v>1185</v>
      </c>
      <c r="J288" s="129" t="s">
        <v>349</v>
      </c>
      <c r="K288" s="158" t="s">
        <v>1157</v>
      </c>
      <c r="L288" s="129" t="s">
        <v>324</v>
      </c>
      <c r="M288" s="483" t="s">
        <v>1112</v>
      </c>
      <c r="N288" s="128" t="s">
        <v>425</v>
      </c>
    </row>
    <row r="289" spans="1:15">
      <c r="A289" s="55">
        <v>2</v>
      </c>
      <c r="B289" s="1005" t="s">
        <v>64</v>
      </c>
      <c r="C289" s="1003" t="s">
        <v>1231</v>
      </c>
      <c r="D289" s="64" t="s">
        <v>311</v>
      </c>
      <c r="E289" s="129" t="s">
        <v>320</v>
      </c>
      <c r="F289" s="64" t="s">
        <v>1232</v>
      </c>
      <c r="G289" s="64" t="s">
        <v>689</v>
      </c>
      <c r="H289" s="64" t="s">
        <v>662</v>
      </c>
      <c r="I289" s="134" t="s">
        <v>1204</v>
      </c>
      <c r="J289" s="129" t="s">
        <v>638</v>
      </c>
      <c r="K289" s="173" t="s">
        <v>671</v>
      </c>
      <c r="L289" s="129" t="s">
        <v>309</v>
      </c>
      <c r="M289" s="483" t="s">
        <v>672</v>
      </c>
      <c r="N289" s="151" t="s">
        <v>1206</v>
      </c>
      <c r="O289" s="153" t="s">
        <v>1243</v>
      </c>
    </row>
    <row r="290" spans="1:15">
      <c r="A290" s="55">
        <v>2</v>
      </c>
      <c r="B290" s="1006"/>
      <c r="C290" s="1020"/>
      <c r="D290" s="64" t="s">
        <v>311</v>
      </c>
      <c r="E290" s="129" t="s">
        <v>320</v>
      </c>
      <c r="F290" s="64" t="s">
        <v>709</v>
      </c>
      <c r="G290" s="64">
        <v>2461</v>
      </c>
      <c r="H290" s="64" t="s">
        <v>1047</v>
      </c>
      <c r="I290" s="152" t="s">
        <v>1212</v>
      </c>
      <c r="J290" s="129"/>
      <c r="K290" s="160" t="s">
        <v>692</v>
      </c>
      <c r="L290" s="129" t="s">
        <v>309</v>
      </c>
      <c r="M290" s="486" t="s">
        <v>1233</v>
      </c>
      <c r="N290" s="151" t="s">
        <v>726</v>
      </c>
    </row>
    <row r="291" spans="1:15" ht="25.5">
      <c r="A291" s="55">
        <v>2</v>
      </c>
      <c r="B291" s="1006"/>
      <c r="C291" s="1021" t="s">
        <v>1234</v>
      </c>
      <c r="D291" s="64" t="s">
        <v>311</v>
      </c>
      <c r="E291" s="129" t="s">
        <v>675</v>
      </c>
      <c r="F291" s="64" t="s">
        <v>720</v>
      </c>
      <c r="G291" s="64" t="s">
        <v>1235</v>
      </c>
      <c r="H291" s="64" t="s">
        <v>1236</v>
      </c>
      <c r="I291" s="149" t="s">
        <v>1177</v>
      </c>
      <c r="J291" s="1003" t="s">
        <v>638</v>
      </c>
      <c r="K291" s="1018" t="s">
        <v>671</v>
      </c>
      <c r="L291" s="148" t="s">
        <v>309</v>
      </c>
      <c r="M291" s="1012" t="s">
        <v>672</v>
      </c>
      <c r="N291" s="148" t="s">
        <v>723</v>
      </c>
    </row>
    <row r="292" spans="1:15">
      <c r="A292" s="55">
        <v>2</v>
      </c>
      <c r="B292" s="1006"/>
      <c r="C292" s="1020"/>
      <c r="D292" s="64" t="s">
        <v>311</v>
      </c>
      <c r="E292" s="129" t="s">
        <v>675</v>
      </c>
      <c r="F292" s="64" t="s">
        <v>720</v>
      </c>
      <c r="G292" s="64" t="s">
        <v>1237</v>
      </c>
      <c r="H292" s="64" t="s">
        <v>1238</v>
      </c>
      <c r="I292" s="149" t="s">
        <v>1239</v>
      </c>
      <c r="J292" s="1004"/>
      <c r="K292" s="1019"/>
      <c r="L292" s="148" t="s">
        <v>309</v>
      </c>
      <c r="M292" s="1013"/>
      <c r="N292" s="148" t="s">
        <v>723</v>
      </c>
    </row>
    <row r="293" spans="1:15">
      <c r="A293" s="55">
        <v>2</v>
      </c>
      <c r="B293" s="1006"/>
      <c r="C293" s="1021" t="s">
        <v>1240</v>
      </c>
      <c r="D293" s="64" t="s">
        <v>311</v>
      </c>
      <c r="E293" s="129" t="s">
        <v>675</v>
      </c>
      <c r="F293" s="64" t="s">
        <v>337</v>
      </c>
      <c r="G293" s="64" t="s">
        <v>333</v>
      </c>
      <c r="H293" s="64" t="s">
        <v>1198</v>
      </c>
      <c r="I293" s="149" t="s">
        <v>1199</v>
      </c>
      <c r="J293" s="148" t="s">
        <v>638</v>
      </c>
      <c r="K293" s="174" t="s">
        <v>671</v>
      </c>
      <c r="L293" s="148" t="s">
        <v>309</v>
      </c>
      <c r="M293" s="485" t="s">
        <v>672</v>
      </c>
      <c r="N293" s="148" t="s">
        <v>723</v>
      </c>
    </row>
    <row r="294" spans="1:15">
      <c r="A294" s="55">
        <v>2</v>
      </c>
      <c r="B294" s="1006"/>
      <c r="C294" s="1004"/>
      <c r="D294" s="64" t="s">
        <v>700</v>
      </c>
      <c r="E294" s="129" t="s">
        <v>320</v>
      </c>
      <c r="F294" s="64" t="s">
        <v>337</v>
      </c>
      <c r="G294" s="64" t="s">
        <v>1200</v>
      </c>
      <c r="H294" s="64" t="s">
        <v>329</v>
      </c>
      <c r="I294" s="149" t="s">
        <v>1209</v>
      </c>
      <c r="J294" s="148" t="s">
        <v>638</v>
      </c>
      <c r="K294" s="161" t="s">
        <v>671</v>
      </c>
      <c r="L294" s="148" t="s">
        <v>309</v>
      </c>
      <c r="M294" s="485" t="s">
        <v>672</v>
      </c>
      <c r="N294" s="148" t="s">
        <v>1208</v>
      </c>
    </row>
    <row r="295" spans="1:15">
      <c r="A295" s="55">
        <v>2</v>
      </c>
      <c r="B295" s="1007"/>
      <c r="C295" s="148" t="s">
        <v>1241</v>
      </c>
      <c r="D295" s="64" t="s">
        <v>311</v>
      </c>
      <c r="E295" s="129" t="s">
        <v>320</v>
      </c>
      <c r="F295" s="64" t="s">
        <v>337</v>
      </c>
      <c r="G295" s="64" t="s">
        <v>1201</v>
      </c>
      <c r="H295" s="64" t="s">
        <v>1197</v>
      </c>
      <c r="I295" s="149" t="s">
        <v>1242</v>
      </c>
      <c r="J295" s="148" t="s">
        <v>638</v>
      </c>
      <c r="K295" s="174" t="s">
        <v>671</v>
      </c>
      <c r="L295" s="148" t="s">
        <v>309</v>
      </c>
      <c r="M295" s="485" t="s">
        <v>672</v>
      </c>
      <c r="N295" s="148" t="s">
        <v>1210</v>
      </c>
    </row>
    <row r="296" spans="1:15" ht="16.5" customHeight="1">
      <c r="A296" s="55">
        <v>3</v>
      </c>
      <c r="B296" s="992" t="s">
        <v>20</v>
      </c>
      <c r="C296" s="981" t="s">
        <v>1283</v>
      </c>
      <c r="D296" s="4" t="s">
        <v>19</v>
      </c>
      <c r="E296" s="4" t="s">
        <v>25</v>
      </c>
      <c r="F296" s="4" t="s">
        <v>20</v>
      </c>
      <c r="G296" s="4">
        <v>3306</v>
      </c>
      <c r="H296" s="4" t="s">
        <v>811</v>
      </c>
      <c r="I296" s="9" t="s">
        <v>1122</v>
      </c>
      <c r="J296" s="13" t="s">
        <v>126</v>
      </c>
      <c r="K296" s="4" t="s">
        <v>1205</v>
      </c>
      <c r="L296" s="57" t="s">
        <v>209</v>
      </c>
      <c r="M296" s="96">
        <f>250000*5</f>
        <v>1250000</v>
      </c>
      <c r="N296" s="45" t="s">
        <v>121</v>
      </c>
    </row>
    <row r="297" spans="1:15">
      <c r="A297" s="55">
        <v>3</v>
      </c>
      <c r="B297" s="993"/>
      <c r="C297" s="982"/>
      <c r="D297" s="4" t="s">
        <v>19</v>
      </c>
      <c r="E297" s="4" t="s">
        <v>25</v>
      </c>
      <c r="F297" s="4" t="s">
        <v>20</v>
      </c>
      <c r="G297" s="4" t="s">
        <v>1224</v>
      </c>
      <c r="H297" s="4" t="s">
        <v>1225</v>
      </c>
      <c r="I297" s="9" t="s">
        <v>130</v>
      </c>
      <c r="J297" s="13" t="s">
        <v>1186</v>
      </c>
      <c r="K297" s="157" t="s">
        <v>135</v>
      </c>
      <c r="L297" s="57" t="s">
        <v>209</v>
      </c>
      <c r="M297" s="96">
        <f>250000*4</f>
        <v>1000000</v>
      </c>
      <c r="N297" s="78" t="s">
        <v>1194</v>
      </c>
    </row>
    <row r="298" spans="1:15">
      <c r="A298" s="55">
        <v>3</v>
      </c>
      <c r="B298" s="994"/>
      <c r="C298" s="983"/>
      <c r="D298" s="4" t="s">
        <v>19</v>
      </c>
      <c r="E298" s="4" t="s">
        <v>25</v>
      </c>
      <c r="F298" s="4" t="s">
        <v>20</v>
      </c>
      <c r="G298" s="4" t="s">
        <v>1222</v>
      </c>
      <c r="H298" s="4" t="s">
        <v>1223</v>
      </c>
      <c r="I298" s="9" t="s">
        <v>130</v>
      </c>
      <c r="J298" s="13" t="s">
        <v>1186</v>
      </c>
      <c r="K298" s="157" t="s">
        <v>133</v>
      </c>
      <c r="L298" s="57" t="s">
        <v>209</v>
      </c>
      <c r="M298" s="96">
        <f>250000*2</f>
        <v>500000</v>
      </c>
      <c r="N298" s="78" t="s">
        <v>1194</v>
      </c>
    </row>
    <row r="299" spans="1:15">
      <c r="A299" s="55">
        <v>3</v>
      </c>
      <c r="B299" s="992" t="s">
        <v>64</v>
      </c>
      <c r="C299" s="92">
        <v>45306</v>
      </c>
      <c r="D299" s="3" t="s">
        <v>1202</v>
      </c>
      <c r="E299" s="4" t="s">
        <v>1213</v>
      </c>
      <c r="F299" s="3" t="s">
        <v>1214</v>
      </c>
      <c r="G299" s="3" t="s">
        <v>1220</v>
      </c>
      <c r="H299" s="3" t="s">
        <v>1221</v>
      </c>
      <c r="I299" s="9" t="s">
        <v>1218</v>
      </c>
      <c r="J299" s="13" t="s">
        <v>1173</v>
      </c>
      <c r="K299" s="159" t="s">
        <v>1179</v>
      </c>
      <c r="L299" s="6" t="s">
        <v>1175</v>
      </c>
      <c r="M299" s="96">
        <v>250000</v>
      </c>
      <c r="N299" s="45" t="s">
        <v>1207</v>
      </c>
    </row>
    <row r="300" spans="1:15">
      <c r="A300" s="55">
        <v>3</v>
      </c>
      <c r="B300" s="993"/>
      <c r="C300" s="92">
        <v>45307</v>
      </c>
      <c r="D300" s="3" t="s">
        <v>1202</v>
      </c>
      <c r="E300" s="4" t="s">
        <v>1213</v>
      </c>
      <c r="F300" s="3" t="s">
        <v>1214</v>
      </c>
      <c r="G300" s="3" t="s">
        <v>1220</v>
      </c>
      <c r="H300" s="3" t="s">
        <v>1221</v>
      </c>
      <c r="I300" s="9" t="s">
        <v>1219</v>
      </c>
      <c r="J300" s="13" t="s">
        <v>1173</v>
      </c>
      <c r="K300" s="159" t="s">
        <v>1179</v>
      </c>
      <c r="L300" s="6" t="s">
        <v>1175</v>
      </c>
      <c r="M300" s="150">
        <v>250000</v>
      </c>
      <c r="N300" s="45" t="s">
        <v>1211</v>
      </c>
    </row>
    <row r="301" spans="1:15" ht="27">
      <c r="A301" s="55">
        <v>3</v>
      </c>
      <c r="B301" s="994"/>
      <c r="C301" s="92">
        <v>45307</v>
      </c>
      <c r="D301" s="3" t="s">
        <v>1215</v>
      </c>
      <c r="E301" s="4" t="s">
        <v>1203</v>
      </c>
      <c r="F301" s="3" t="s">
        <v>1216</v>
      </c>
      <c r="G301" s="3" t="s">
        <v>1217</v>
      </c>
      <c r="H301" s="3" t="s">
        <v>1228</v>
      </c>
      <c r="I301" s="9" t="s">
        <v>1229</v>
      </c>
      <c r="J301" s="4"/>
      <c r="K301" s="4" t="s">
        <v>1226</v>
      </c>
      <c r="L301" s="6" t="s">
        <v>1227</v>
      </c>
      <c r="M301" s="96">
        <v>250000</v>
      </c>
      <c r="N301" s="45" t="s">
        <v>1230</v>
      </c>
    </row>
    <row r="302" spans="1:15" ht="16.5" customHeight="1">
      <c r="A302" s="55">
        <v>4</v>
      </c>
      <c r="B302" s="992" t="s">
        <v>20</v>
      </c>
      <c r="C302" s="981" t="s">
        <v>1245</v>
      </c>
      <c r="D302" s="4" t="s">
        <v>19</v>
      </c>
      <c r="E302" s="4" t="s">
        <v>25</v>
      </c>
      <c r="F302" s="4" t="s">
        <v>20</v>
      </c>
      <c r="G302" s="4">
        <v>3306</v>
      </c>
      <c r="H302" s="4" t="s">
        <v>811</v>
      </c>
      <c r="I302" s="9" t="s">
        <v>1122</v>
      </c>
      <c r="J302" s="13" t="s">
        <v>126</v>
      </c>
      <c r="K302" s="4" t="s">
        <v>813</v>
      </c>
      <c r="L302" s="57" t="s">
        <v>209</v>
      </c>
      <c r="M302" s="96">
        <f>250000*5</f>
        <v>1250000</v>
      </c>
      <c r="N302" s="45" t="s">
        <v>330</v>
      </c>
    </row>
    <row r="303" spans="1:15">
      <c r="A303" s="55">
        <v>4</v>
      </c>
      <c r="B303" s="993"/>
      <c r="C303" s="982"/>
      <c r="D303" s="4" t="s">
        <v>19</v>
      </c>
      <c r="E303" s="4" t="s">
        <v>25</v>
      </c>
      <c r="F303" s="4" t="s">
        <v>20</v>
      </c>
      <c r="G303" s="4" t="s">
        <v>1246</v>
      </c>
      <c r="H303" s="4" t="s">
        <v>1247</v>
      </c>
      <c r="I303" s="9" t="s">
        <v>1248</v>
      </c>
      <c r="J303" s="13" t="s">
        <v>172</v>
      </c>
      <c r="K303" s="159" t="s">
        <v>1251</v>
      </c>
      <c r="L303" s="57" t="s">
        <v>209</v>
      </c>
      <c r="M303" s="96">
        <f>250000*5</f>
        <v>1250000</v>
      </c>
      <c r="N303" s="45" t="s">
        <v>121</v>
      </c>
    </row>
    <row r="304" spans="1:15">
      <c r="A304" s="55">
        <v>4</v>
      </c>
      <c r="B304" s="993"/>
      <c r="C304" s="982"/>
      <c r="D304" s="4" t="s">
        <v>19</v>
      </c>
      <c r="E304" s="4" t="s">
        <v>25</v>
      </c>
      <c r="F304" s="4" t="s">
        <v>20</v>
      </c>
      <c r="G304" s="4" t="s">
        <v>1246</v>
      </c>
      <c r="H304" s="4" t="s">
        <v>264</v>
      </c>
      <c r="I304" s="9" t="s">
        <v>1249</v>
      </c>
      <c r="J304" s="13"/>
      <c r="K304" s="170" t="s">
        <v>41</v>
      </c>
      <c r="L304" s="57" t="s">
        <v>209</v>
      </c>
      <c r="M304" s="96">
        <f>250000*1</f>
        <v>250000</v>
      </c>
      <c r="N304" s="45" t="s">
        <v>121</v>
      </c>
    </row>
    <row r="305" spans="1:18">
      <c r="A305" s="55">
        <v>4</v>
      </c>
      <c r="B305" s="993"/>
      <c r="C305" s="982"/>
      <c r="D305" s="4" t="s">
        <v>19</v>
      </c>
      <c r="E305" s="4" t="s">
        <v>25</v>
      </c>
      <c r="F305" s="4" t="s">
        <v>20</v>
      </c>
      <c r="G305" s="4" t="s">
        <v>1107</v>
      </c>
      <c r="H305" s="4" t="s">
        <v>40</v>
      </c>
      <c r="I305" s="9" t="s">
        <v>130</v>
      </c>
      <c r="J305" s="13" t="s">
        <v>397</v>
      </c>
      <c r="K305" s="157" t="s">
        <v>133</v>
      </c>
      <c r="L305" s="57" t="s">
        <v>209</v>
      </c>
      <c r="M305" s="96">
        <f>250000*2</f>
        <v>500000</v>
      </c>
      <c r="N305" s="78" t="s">
        <v>247</v>
      </c>
    </row>
    <row r="306" spans="1:18">
      <c r="A306" s="55">
        <v>4</v>
      </c>
      <c r="B306" s="994"/>
      <c r="C306" s="983"/>
      <c r="D306" s="4" t="s">
        <v>19</v>
      </c>
      <c r="E306" s="4" t="s">
        <v>25</v>
      </c>
      <c r="F306" s="4" t="s">
        <v>20</v>
      </c>
      <c r="G306" s="4" t="s">
        <v>1246</v>
      </c>
      <c r="H306" s="4" t="s">
        <v>1250</v>
      </c>
      <c r="I306" s="9" t="s">
        <v>130</v>
      </c>
      <c r="J306" s="13" t="s">
        <v>397</v>
      </c>
      <c r="K306" s="157" t="s">
        <v>133</v>
      </c>
      <c r="L306" s="57" t="s">
        <v>209</v>
      </c>
      <c r="M306" s="96">
        <f>250000*2</f>
        <v>500000</v>
      </c>
      <c r="N306" s="78" t="s">
        <v>247</v>
      </c>
    </row>
    <row r="307" spans="1:18">
      <c r="A307" s="55">
        <v>4</v>
      </c>
      <c r="B307" s="123" t="s">
        <v>64</v>
      </c>
      <c r="C307" s="92">
        <v>45317</v>
      </c>
      <c r="D307" s="3" t="s">
        <v>64</v>
      </c>
      <c r="E307" s="4" t="s">
        <v>70</v>
      </c>
      <c r="F307" s="3" t="s">
        <v>1125</v>
      </c>
      <c r="G307" s="3" t="s">
        <v>604</v>
      </c>
      <c r="H307" s="3" t="s">
        <v>102</v>
      </c>
      <c r="I307" s="9" t="s">
        <v>1252</v>
      </c>
      <c r="J307" s="13" t="s">
        <v>377</v>
      </c>
      <c r="K307" s="169" t="s">
        <v>1253</v>
      </c>
      <c r="L307" s="6" t="s">
        <v>69</v>
      </c>
      <c r="M307" s="96">
        <v>300000</v>
      </c>
      <c r="N307" s="45" t="s">
        <v>128</v>
      </c>
    </row>
    <row r="308" spans="1:18" ht="16.5" customHeight="1">
      <c r="A308" s="55">
        <v>5</v>
      </c>
      <c r="B308" s="992" t="s">
        <v>20</v>
      </c>
      <c r="C308" s="981" t="s">
        <v>1284</v>
      </c>
      <c r="D308" s="4" t="s">
        <v>19</v>
      </c>
      <c r="E308" s="4" t="s">
        <v>25</v>
      </c>
      <c r="F308" s="4" t="s">
        <v>20</v>
      </c>
      <c r="G308" s="4">
        <v>3306</v>
      </c>
      <c r="H308" s="4" t="s">
        <v>811</v>
      </c>
      <c r="I308" s="9" t="s">
        <v>1122</v>
      </c>
      <c r="J308" s="13" t="s">
        <v>126</v>
      </c>
      <c r="K308" s="178" t="s">
        <v>813</v>
      </c>
      <c r="L308" s="57" t="s">
        <v>209</v>
      </c>
      <c r="M308" s="96">
        <f>250000*5</f>
        <v>1250000</v>
      </c>
      <c r="N308" s="45" t="s">
        <v>121</v>
      </c>
      <c r="P308" t="s">
        <v>1261</v>
      </c>
    </row>
    <row r="309" spans="1:18">
      <c r="A309" s="55">
        <v>5</v>
      </c>
      <c r="B309" s="994"/>
      <c r="C309" s="983"/>
      <c r="D309" s="4" t="s">
        <v>19</v>
      </c>
      <c r="E309" s="4" t="s">
        <v>25</v>
      </c>
      <c r="F309" s="4" t="s">
        <v>20</v>
      </c>
      <c r="G309" s="4" t="s">
        <v>1107</v>
      </c>
      <c r="H309" s="4" t="s">
        <v>40</v>
      </c>
      <c r="I309" s="9" t="s">
        <v>130</v>
      </c>
      <c r="J309" s="13" t="s">
        <v>94</v>
      </c>
      <c r="K309" s="157" t="s">
        <v>135</v>
      </c>
      <c r="L309" s="57" t="s">
        <v>209</v>
      </c>
      <c r="M309" s="96">
        <f>250000*4</f>
        <v>1000000</v>
      </c>
      <c r="N309" s="78" t="s">
        <v>247</v>
      </c>
      <c r="P309" t="s">
        <v>1260</v>
      </c>
      <c r="Q309">
        <v>26</v>
      </c>
      <c r="R309" s="109">
        <v>6500000</v>
      </c>
    </row>
    <row r="310" spans="1:18">
      <c r="A310" s="55">
        <v>5</v>
      </c>
      <c r="B310" s="992" t="s">
        <v>96</v>
      </c>
      <c r="C310" s="15">
        <v>45320</v>
      </c>
      <c r="D310" s="3" t="s">
        <v>64</v>
      </c>
      <c r="E310" s="4" t="s">
        <v>70</v>
      </c>
      <c r="F310" s="3" t="s">
        <v>1125</v>
      </c>
      <c r="G310" s="3" t="s">
        <v>604</v>
      </c>
      <c r="H310" s="3" t="s">
        <v>102</v>
      </c>
      <c r="I310" s="9" t="s">
        <v>1256</v>
      </c>
      <c r="J310" s="13"/>
      <c r="K310" s="179" t="s">
        <v>686</v>
      </c>
      <c r="L310" s="6" t="s">
        <v>15</v>
      </c>
      <c r="M310" s="96">
        <v>250000</v>
      </c>
      <c r="N310" s="45" t="s">
        <v>1258</v>
      </c>
    </row>
    <row r="311" spans="1:18">
      <c r="A311" s="55">
        <v>5</v>
      </c>
      <c r="B311" s="993"/>
      <c r="C311" s="15">
        <v>45321</v>
      </c>
      <c r="D311" s="3" t="s">
        <v>64</v>
      </c>
      <c r="E311" s="4" t="s">
        <v>70</v>
      </c>
      <c r="F311" s="3" t="s">
        <v>1125</v>
      </c>
      <c r="G311" s="3" t="s">
        <v>604</v>
      </c>
      <c r="H311" s="3" t="s">
        <v>102</v>
      </c>
      <c r="I311" s="9" t="s">
        <v>1254</v>
      </c>
      <c r="J311" s="13" t="s">
        <v>90</v>
      </c>
      <c r="K311" s="179" t="s">
        <v>821</v>
      </c>
      <c r="L311" s="6" t="s">
        <v>66</v>
      </c>
      <c r="M311" s="96">
        <v>250000</v>
      </c>
      <c r="N311" s="45" t="s">
        <v>1257</v>
      </c>
      <c r="O311" t="s">
        <v>1352</v>
      </c>
    </row>
    <row r="312" spans="1:18">
      <c r="A312" s="55">
        <v>5</v>
      </c>
      <c r="B312" s="994"/>
      <c r="C312" s="15">
        <v>45322</v>
      </c>
      <c r="D312" s="3" t="s">
        <v>64</v>
      </c>
      <c r="E312" s="4" t="s">
        <v>17</v>
      </c>
      <c r="F312" s="3" t="s">
        <v>100</v>
      </c>
      <c r="G312" s="3" t="s">
        <v>1118</v>
      </c>
      <c r="H312" s="3" t="s">
        <v>180</v>
      </c>
      <c r="I312" s="9" t="s">
        <v>103</v>
      </c>
      <c r="J312" s="13"/>
      <c r="K312" s="4" t="s">
        <v>104</v>
      </c>
      <c r="L312" s="6" t="s">
        <v>15</v>
      </c>
      <c r="M312" s="96">
        <v>300000</v>
      </c>
      <c r="N312" s="45"/>
    </row>
    <row r="313" spans="1:18" ht="25.5" customHeight="1">
      <c r="A313" s="55">
        <v>6</v>
      </c>
      <c r="B313" s="1005" t="s">
        <v>307</v>
      </c>
      <c r="C313" s="1003" t="s">
        <v>1368</v>
      </c>
      <c r="D313" s="129" t="s">
        <v>306</v>
      </c>
      <c r="E313" s="129" t="s">
        <v>322</v>
      </c>
      <c r="F313" s="129" t="s">
        <v>307</v>
      </c>
      <c r="G313" s="129">
        <v>3306</v>
      </c>
      <c r="H313" s="129" t="s">
        <v>1153</v>
      </c>
      <c r="I313" s="130" t="s">
        <v>1154</v>
      </c>
      <c r="J313" s="129" t="s">
        <v>1111</v>
      </c>
      <c r="K313" s="177" t="s">
        <v>1288</v>
      </c>
      <c r="L313" s="129" t="s">
        <v>324</v>
      </c>
      <c r="M313" s="483" t="s">
        <v>1112</v>
      </c>
      <c r="N313" s="129" t="s">
        <v>665</v>
      </c>
    </row>
    <row r="314" spans="1:18">
      <c r="A314" s="55">
        <v>6</v>
      </c>
      <c r="B314" s="1007"/>
      <c r="C314" s="1004"/>
      <c r="D314" s="129" t="s">
        <v>306</v>
      </c>
      <c r="E314" s="129" t="s">
        <v>322</v>
      </c>
      <c r="F314" s="129" t="s">
        <v>307</v>
      </c>
      <c r="G314" s="129" t="s">
        <v>1285</v>
      </c>
      <c r="H314" s="129" t="s">
        <v>1047</v>
      </c>
      <c r="I314" s="130" t="s">
        <v>1185</v>
      </c>
      <c r="J314" s="129" t="s">
        <v>349</v>
      </c>
      <c r="K314" s="175" t="s">
        <v>1157</v>
      </c>
      <c r="L314" s="129" t="s">
        <v>324</v>
      </c>
      <c r="M314" s="483" t="s">
        <v>1112</v>
      </c>
      <c r="N314" s="128" t="s">
        <v>425</v>
      </c>
    </row>
    <row r="315" spans="1:18">
      <c r="A315" s="55">
        <v>6</v>
      </c>
      <c r="B315" s="154" t="s">
        <v>311</v>
      </c>
      <c r="C315" s="110" t="s">
        <v>1293</v>
      </c>
      <c r="D315" s="110" t="s">
        <v>311</v>
      </c>
      <c r="E315" s="148" t="s">
        <v>320</v>
      </c>
      <c r="F315" s="110" t="s">
        <v>337</v>
      </c>
      <c r="G315" s="110" t="s">
        <v>353</v>
      </c>
      <c r="H315" s="110" t="s">
        <v>701</v>
      </c>
      <c r="I315" s="149" t="s">
        <v>1287</v>
      </c>
      <c r="J315" s="148"/>
      <c r="K315" s="180" t="s">
        <v>692</v>
      </c>
      <c r="L315" s="148" t="s">
        <v>309</v>
      </c>
      <c r="M315" s="485" t="s">
        <v>458</v>
      </c>
      <c r="N315" s="148" t="s">
        <v>1286</v>
      </c>
    </row>
    <row r="316" spans="1:18" ht="16.5" customHeight="1">
      <c r="A316" s="55">
        <v>7</v>
      </c>
      <c r="B316" s="992" t="s">
        <v>20</v>
      </c>
      <c r="C316" s="981" t="s">
        <v>1290</v>
      </c>
      <c r="D316" s="4" t="s">
        <v>19</v>
      </c>
      <c r="E316" s="4" t="s">
        <v>25</v>
      </c>
      <c r="F316" s="4" t="s">
        <v>20</v>
      </c>
      <c r="G316" s="4">
        <v>3306</v>
      </c>
      <c r="H316" s="4" t="s">
        <v>811</v>
      </c>
      <c r="I316" s="9" t="s">
        <v>1122</v>
      </c>
      <c r="J316" s="13" t="s">
        <v>126</v>
      </c>
      <c r="K316" s="178" t="s">
        <v>1135</v>
      </c>
      <c r="L316" s="57" t="s">
        <v>209</v>
      </c>
      <c r="M316" s="96">
        <f>250000*4</f>
        <v>1000000</v>
      </c>
      <c r="N316" s="45" t="s">
        <v>1108</v>
      </c>
    </row>
    <row r="317" spans="1:18">
      <c r="A317" s="55">
        <v>7</v>
      </c>
      <c r="B317" s="993"/>
      <c r="C317" s="982"/>
      <c r="D317" s="4" t="s">
        <v>19</v>
      </c>
      <c r="E317" s="4" t="s">
        <v>25</v>
      </c>
      <c r="F317" s="4" t="s">
        <v>20</v>
      </c>
      <c r="G317" s="13" t="s">
        <v>1291</v>
      </c>
      <c r="H317" s="4" t="s">
        <v>23</v>
      </c>
      <c r="I317" s="9" t="s">
        <v>130</v>
      </c>
      <c r="J317" s="13" t="s">
        <v>397</v>
      </c>
      <c r="K317" s="176" t="s">
        <v>133</v>
      </c>
      <c r="L317" s="57" t="s">
        <v>209</v>
      </c>
      <c r="M317" s="96">
        <f>250000*2</f>
        <v>500000</v>
      </c>
      <c r="N317" s="78" t="s">
        <v>247</v>
      </c>
    </row>
    <row r="318" spans="1:18">
      <c r="A318" s="55">
        <v>7</v>
      </c>
      <c r="B318" s="994"/>
      <c r="C318" s="983"/>
      <c r="D318" s="4" t="s">
        <v>19</v>
      </c>
      <c r="E318" s="4" t="s">
        <v>25</v>
      </c>
      <c r="F318" s="4" t="s">
        <v>20</v>
      </c>
      <c r="G318" s="13" t="s">
        <v>1246</v>
      </c>
      <c r="H318" s="4" t="s">
        <v>264</v>
      </c>
      <c r="I318" s="9" t="s">
        <v>130</v>
      </c>
      <c r="J318" s="13" t="s">
        <v>94</v>
      </c>
      <c r="K318" s="176" t="s">
        <v>133</v>
      </c>
      <c r="L318" s="57" t="s">
        <v>209</v>
      </c>
      <c r="M318" s="96">
        <f>250000*2</f>
        <v>500000</v>
      </c>
      <c r="N318" s="78" t="s">
        <v>247</v>
      </c>
    </row>
    <row r="319" spans="1:18">
      <c r="A319" s="55">
        <v>7</v>
      </c>
      <c r="B319" s="992" t="s">
        <v>21</v>
      </c>
      <c r="C319" s="15">
        <v>45335</v>
      </c>
      <c r="D319" s="3" t="s">
        <v>21</v>
      </c>
      <c r="E319" s="4" t="s">
        <v>14</v>
      </c>
      <c r="F319" s="3" t="s">
        <v>623</v>
      </c>
      <c r="G319" s="3" t="s">
        <v>1123</v>
      </c>
      <c r="H319" s="3" t="s">
        <v>102</v>
      </c>
      <c r="I319" s="9" t="s">
        <v>1292</v>
      </c>
      <c r="J319" s="13"/>
      <c r="K319" s="178" t="s">
        <v>1253</v>
      </c>
      <c r="L319" s="6" t="s">
        <v>66</v>
      </c>
      <c r="M319" s="96">
        <v>300000</v>
      </c>
      <c r="N319" s="45" t="s">
        <v>978</v>
      </c>
    </row>
    <row r="320" spans="1:18">
      <c r="A320" s="55">
        <v>7</v>
      </c>
      <c r="B320" s="993"/>
      <c r="C320" s="15">
        <v>45336</v>
      </c>
      <c r="D320" s="3" t="s">
        <v>21</v>
      </c>
      <c r="E320" s="4" t="s">
        <v>14</v>
      </c>
      <c r="F320" s="3" t="s">
        <v>107</v>
      </c>
      <c r="G320" s="3" t="s">
        <v>108</v>
      </c>
      <c r="H320" s="3" t="s">
        <v>143</v>
      </c>
      <c r="I320" s="9" t="s">
        <v>1289</v>
      </c>
      <c r="J320" s="13" t="s">
        <v>90</v>
      </c>
      <c r="K320" s="179" t="s">
        <v>641</v>
      </c>
      <c r="L320" s="6" t="s">
        <v>15</v>
      </c>
      <c r="M320" s="96">
        <v>500000</v>
      </c>
      <c r="N320" s="45" t="s">
        <v>978</v>
      </c>
    </row>
    <row r="321" spans="1:17">
      <c r="A321" s="55">
        <v>7</v>
      </c>
      <c r="B321" s="994"/>
      <c r="C321" s="15">
        <v>45337</v>
      </c>
      <c r="D321" s="3" t="s">
        <v>21</v>
      </c>
      <c r="E321" s="4" t="s">
        <v>14</v>
      </c>
      <c r="F321" s="3" t="s">
        <v>107</v>
      </c>
      <c r="G321" s="179" t="s">
        <v>108</v>
      </c>
      <c r="H321" s="179" t="s">
        <v>143</v>
      </c>
      <c r="I321" s="9" t="s">
        <v>303</v>
      </c>
      <c r="J321" s="13" t="s">
        <v>90</v>
      </c>
      <c r="K321" s="179" t="s">
        <v>686</v>
      </c>
      <c r="L321" s="6" t="s">
        <v>15</v>
      </c>
      <c r="M321" s="96">
        <v>250000</v>
      </c>
      <c r="N321" s="45" t="s">
        <v>978</v>
      </c>
    </row>
    <row r="322" spans="1:17" ht="16.5" customHeight="1">
      <c r="A322" s="55">
        <v>8</v>
      </c>
      <c r="B322" s="992" t="s">
        <v>20</v>
      </c>
      <c r="C322" s="981" t="s">
        <v>1371</v>
      </c>
      <c r="D322" s="4" t="s">
        <v>19</v>
      </c>
      <c r="E322" s="4" t="s">
        <v>25</v>
      </c>
      <c r="F322" s="4" t="s">
        <v>20</v>
      </c>
      <c r="G322" s="4">
        <v>3306</v>
      </c>
      <c r="H322" s="4" t="s">
        <v>811</v>
      </c>
      <c r="I322" s="9" t="s">
        <v>1122</v>
      </c>
      <c r="J322" s="13" t="s">
        <v>126</v>
      </c>
      <c r="K322" s="178" t="s">
        <v>813</v>
      </c>
      <c r="L322" s="57" t="s">
        <v>209</v>
      </c>
      <c r="M322" s="96">
        <f>250000*5</f>
        <v>1250000</v>
      </c>
      <c r="N322" s="45" t="s">
        <v>1108</v>
      </c>
    </row>
    <row r="323" spans="1:17">
      <c r="A323" s="55">
        <v>8</v>
      </c>
      <c r="B323" s="994"/>
      <c r="C323" s="983"/>
      <c r="D323" s="4" t="s">
        <v>19</v>
      </c>
      <c r="E323" s="4" t="s">
        <v>25</v>
      </c>
      <c r="F323" s="4" t="s">
        <v>20</v>
      </c>
      <c r="G323" s="13" t="s">
        <v>1291</v>
      </c>
      <c r="H323" s="4" t="s">
        <v>23</v>
      </c>
      <c r="I323" s="9" t="s">
        <v>130</v>
      </c>
      <c r="J323" s="13" t="s">
        <v>397</v>
      </c>
      <c r="K323" s="176" t="s">
        <v>1312</v>
      </c>
      <c r="L323" s="57" t="s">
        <v>209</v>
      </c>
      <c r="M323" s="96">
        <f>250000*4</f>
        <v>1000000</v>
      </c>
      <c r="N323" s="45" t="s">
        <v>247</v>
      </c>
    </row>
    <row r="324" spans="1:17">
      <c r="A324" s="55">
        <v>8</v>
      </c>
      <c r="B324" s="992" t="s">
        <v>21</v>
      </c>
      <c r="C324" s="15">
        <v>45341</v>
      </c>
      <c r="D324" s="3" t="s">
        <v>21</v>
      </c>
      <c r="E324" s="4" t="s">
        <v>14</v>
      </c>
      <c r="F324" s="3" t="s">
        <v>107</v>
      </c>
      <c r="G324" s="3" t="s">
        <v>270</v>
      </c>
      <c r="H324" s="3" t="s">
        <v>67</v>
      </c>
      <c r="I324" s="9" t="s">
        <v>1311</v>
      </c>
      <c r="J324" s="13" t="s">
        <v>1294</v>
      </c>
      <c r="K324" s="179" t="s">
        <v>1300</v>
      </c>
      <c r="L324" s="6" t="s">
        <v>66</v>
      </c>
      <c r="M324" s="96">
        <v>250000</v>
      </c>
      <c r="N324" s="45" t="s">
        <v>978</v>
      </c>
    </row>
    <row r="325" spans="1:17">
      <c r="A325" s="55">
        <v>8</v>
      </c>
      <c r="B325" s="993"/>
      <c r="C325" s="15">
        <v>45342</v>
      </c>
      <c r="D325" s="3" t="s">
        <v>21</v>
      </c>
      <c r="E325" s="4" t="s">
        <v>14</v>
      </c>
      <c r="F325" s="3" t="s">
        <v>107</v>
      </c>
      <c r="G325" s="3" t="s">
        <v>270</v>
      </c>
      <c r="H325" s="3" t="s">
        <v>67</v>
      </c>
      <c r="I325" s="9" t="s">
        <v>984</v>
      </c>
      <c r="J325" s="13" t="s">
        <v>1294</v>
      </c>
      <c r="K325" s="179" t="s">
        <v>1300</v>
      </c>
      <c r="L325" s="6" t="s">
        <v>15</v>
      </c>
      <c r="M325" s="96">
        <v>250000</v>
      </c>
      <c r="N325" s="45" t="s">
        <v>978</v>
      </c>
    </row>
    <row r="326" spans="1:17">
      <c r="A326" s="55">
        <v>8</v>
      </c>
      <c r="B326" s="993"/>
      <c r="C326" s="15">
        <v>45343</v>
      </c>
      <c r="D326" s="3" t="s">
        <v>21</v>
      </c>
      <c r="E326" s="4" t="s">
        <v>1295</v>
      </c>
      <c r="F326" s="3" t="s">
        <v>1304</v>
      </c>
      <c r="G326" s="3" t="s">
        <v>1305</v>
      </c>
      <c r="H326" s="3" t="s">
        <v>1306</v>
      </c>
      <c r="I326" s="9" t="s">
        <v>1307</v>
      </c>
      <c r="J326" s="13" t="s">
        <v>1308</v>
      </c>
      <c r="K326" s="179" t="s">
        <v>1309</v>
      </c>
      <c r="L326" s="6" t="s">
        <v>1298</v>
      </c>
      <c r="M326" s="96">
        <v>250000</v>
      </c>
      <c r="N326" s="45" t="s">
        <v>978</v>
      </c>
      <c r="Q326" t="s">
        <v>1359</v>
      </c>
    </row>
    <row r="327" spans="1:17">
      <c r="A327" s="55">
        <v>8</v>
      </c>
      <c r="B327" s="993"/>
      <c r="C327" s="15">
        <v>45344</v>
      </c>
      <c r="D327" s="3" t="s">
        <v>21</v>
      </c>
      <c r="E327" s="4" t="s">
        <v>1295</v>
      </c>
      <c r="F327" s="3" t="s">
        <v>1304</v>
      </c>
      <c r="G327" s="179" t="s">
        <v>1305</v>
      </c>
      <c r="H327" s="3" t="s">
        <v>1306</v>
      </c>
      <c r="I327" s="9" t="s">
        <v>1310</v>
      </c>
      <c r="J327" s="13" t="s">
        <v>1294</v>
      </c>
      <c r="K327" s="4" t="s">
        <v>1300</v>
      </c>
      <c r="L327" s="6" t="s">
        <v>1296</v>
      </c>
      <c r="M327" s="96">
        <v>250000</v>
      </c>
      <c r="N327" s="45" t="s">
        <v>978</v>
      </c>
    </row>
    <row r="328" spans="1:17">
      <c r="A328" s="55">
        <v>8</v>
      </c>
      <c r="B328" s="994"/>
      <c r="C328" s="15">
        <v>45345</v>
      </c>
      <c r="D328" s="3" t="s">
        <v>1301</v>
      </c>
      <c r="E328" s="4" t="s">
        <v>1295</v>
      </c>
      <c r="F328" s="3" t="s">
        <v>277</v>
      </c>
      <c r="G328" s="3">
        <v>8384</v>
      </c>
      <c r="H328" s="3" t="s">
        <v>1302</v>
      </c>
      <c r="I328" s="9" t="s">
        <v>1303</v>
      </c>
      <c r="J328" s="13" t="s">
        <v>1299</v>
      </c>
      <c r="K328" s="4" t="s">
        <v>1300</v>
      </c>
      <c r="L328" s="6" t="s">
        <v>1298</v>
      </c>
      <c r="M328" s="96">
        <v>250000</v>
      </c>
      <c r="N328" s="45" t="s">
        <v>1313</v>
      </c>
    </row>
    <row r="329" spans="1:17" ht="16.5" customHeight="1">
      <c r="A329" s="55">
        <v>9</v>
      </c>
      <c r="B329" s="992" t="s">
        <v>20</v>
      </c>
      <c r="C329" s="981" t="s">
        <v>1322</v>
      </c>
      <c r="D329" s="4" t="s">
        <v>19</v>
      </c>
      <c r="E329" s="4" t="s">
        <v>25</v>
      </c>
      <c r="F329" s="4" t="s">
        <v>20</v>
      </c>
      <c r="G329" s="4" t="s">
        <v>1323</v>
      </c>
      <c r="H329" s="4" t="s">
        <v>37</v>
      </c>
      <c r="I329" s="9" t="s">
        <v>1122</v>
      </c>
      <c r="J329" s="13" t="s">
        <v>126</v>
      </c>
      <c r="K329" s="178" t="s">
        <v>1327</v>
      </c>
      <c r="L329" s="57" t="s">
        <v>209</v>
      </c>
      <c r="M329" s="96">
        <f>250000*2</f>
        <v>500000</v>
      </c>
      <c r="N329" s="45" t="s">
        <v>1108</v>
      </c>
    </row>
    <row r="330" spans="1:17">
      <c r="A330" s="55">
        <v>9</v>
      </c>
      <c r="B330" s="993"/>
      <c r="C330" s="982"/>
      <c r="D330" s="4" t="s">
        <v>19</v>
      </c>
      <c r="E330" s="4" t="s">
        <v>25</v>
      </c>
      <c r="F330" s="4" t="s">
        <v>20</v>
      </c>
      <c r="G330" s="13" t="s">
        <v>1324</v>
      </c>
      <c r="H330" s="4" t="s">
        <v>1325</v>
      </c>
      <c r="I330" s="9" t="s">
        <v>1122</v>
      </c>
      <c r="J330" s="13" t="s">
        <v>126</v>
      </c>
      <c r="K330" s="178" t="s">
        <v>1327</v>
      </c>
      <c r="L330" s="57" t="s">
        <v>209</v>
      </c>
      <c r="M330" s="96">
        <f>250000*2</f>
        <v>500000</v>
      </c>
      <c r="N330" s="45" t="s">
        <v>1108</v>
      </c>
    </row>
    <row r="331" spans="1:17">
      <c r="A331" s="55">
        <v>9</v>
      </c>
      <c r="B331" s="994"/>
      <c r="C331" s="983"/>
      <c r="D331" s="4" t="s">
        <v>19</v>
      </c>
      <c r="E331" s="4" t="s">
        <v>25</v>
      </c>
      <c r="F331" s="4" t="s">
        <v>20</v>
      </c>
      <c r="G331" s="13">
        <v>3306</v>
      </c>
      <c r="H331" s="4" t="s">
        <v>1328</v>
      </c>
      <c r="I331" s="9" t="s">
        <v>1329</v>
      </c>
      <c r="J331" s="13" t="s">
        <v>397</v>
      </c>
      <c r="K331" s="176" t="s">
        <v>1326</v>
      </c>
      <c r="L331" s="57" t="s">
        <v>209</v>
      </c>
      <c r="M331" s="96">
        <f>250000*6</f>
        <v>1500000</v>
      </c>
      <c r="N331" s="45" t="s">
        <v>247</v>
      </c>
    </row>
    <row r="332" spans="1:17">
      <c r="A332" s="55">
        <v>9</v>
      </c>
      <c r="B332" s="992" t="s">
        <v>21</v>
      </c>
      <c r="C332" s="15">
        <v>45348</v>
      </c>
      <c r="D332" s="4" t="s">
        <v>1330</v>
      </c>
      <c r="E332" s="4" t="s">
        <v>1295</v>
      </c>
      <c r="F332" s="3" t="s">
        <v>1304</v>
      </c>
      <c r="G332" s="179" t="s">
        <v>1305</v>
      </c>
      <c r="H332" s="3" t="s">
        <v>1306</v>
      </c>
      <c r="I332" s="9" t="s">
        <v>1318</v>
      </c>
      <c r="J332" s="13" t="s">
        <v>1294</v>
      </c>
      <c r="K332" s="4" t="s">
        <v>1316</v>
      </c>
      <c r="L332" s="6" t="s">
        <v>1331</v>
      </c>
      <c r="M332" s="96">
        <v>500000</v>
      </c>
      <c r="N332" s="45" t="s">
        <v>1332</v>
      </c>
      <c r="P332" t="s">
        <v>1432</v>
      </c>
    </row>
    <row r="333" spans="1:17">
      <c r="A333" s="55">
        <v>9</v>
      </c>
      <c r="B333" s="994"/>
      <c r="C333" s="15">
        <v>45349</v>
      </c>
      <c r="D333" s="3" t="s">
        <v>138</v>
      </c>
      <c r="E333" s="4" t="s">
        <v>1295</v>
      </c>
      <c r="F333" s="3" t="s">
        <v>1319</v>
      </c>
      <c r="G333" s="3">
        <v>2579</v>
      </c>
      <c r="H333" s="3" t="s">
        <v>1302</v>
      </c>
      <c r="I333" s="9" t="s">
        <v>1321</v>
      </c>
      <c r="J333" s="4"/>
      <c r="K333" s="4" t="s">
        <v>1320</v>
      </c>
      <c r="L333" s="6" t="s">
        <v>1298</v>
      </c>
      <c r="M333" s="96">
        <v>500000</v>
      </c>
      <c r="N333" s="45" t="s">
        <v>1333</v>
      </c>
    </row>
    <row r="334" spans="1:17" ht="16.5" customHeight="1">
      <c r="A334" s="55">
        <v>10</v>
      </c>
      <c r="B334" s="992" t="s">
        <v>20</v>
      </c>
      <c r="C334" s="981" t="s">
        <v>1366</v>
      </c>
      <c r="D334" s="4" t="s">
        <v>19</v>
      </c>
      <c r="E334" s="4" t="s">
        <v>25</v>
      </c>
      <c r="F334" s="4" t="s">
        <v>20</v>
      </c>
      <c r="G334" s="4">
        <v>4266</v>
      </c>
      <c r="H334" s="4" t="s">
        <v>18</v>
      </c>
      <c r="I334" s="9" t="s">
        <v>1122</v>
      </c>
      <c r="J334" s="13" t="s">
        <v>126</v>
      </c>
      <c r="K334" s="4" t="s">
        <v>1363</v>
      </c>
      <c r="L334" s="57" t="s">
        <v>209</v>
      </c>
      <c r="M334" s="96">
        <f>250000*2</f>
        <v>500000</v>
      </c>
      <c r="N334" s="45" t="s">
        <v>121</v>
      </c>
    </row>
    <row r="335" spans="1:17" ht="16.5" customHeight="1">
      <c r="A335" s="55">
        <v>10</v>
      </c>
      <c r="B335" s="993"/>
      <c r="C335" s="982"/>
      <c r="D335" s="4" t="s">
        <v>19</v>
      </c>
      <c r="E335" s="4" t="s">
        <v>25</v>
      </c>
      <c r="F335" s="4" t="s">
        <v>20</v>
      </c>
      <c r="G335" s="4" t="s">
        <v>1323</v>
      </c>
      <c r="H335" s="4" t="s">
        <v>1364</v>
      </c>
      <c r="I335" s="9" t="s">
        <v>1365</v>
      </c>
      <c r="J335" s="13" t="s">
        <v>126</v>
      </c>
      <c r="K335" s="4" t="s">
        <v>1363</v>
      </c>
      <c r="L335" s="57" t="s">
        <v>209</v>
      </c>
      <c r="M335" s="96">
        <f>250000*2</f>
        <v>500000</v>
      </c>
      <c r="N335" s="45" t="s">
        <v>121</v>
      </c>
    </row>
    <row r="336" spans="1:17">
      <c r="A336" s="55">
        <v>10</v>
      </c>
      <c r="B336" s="993"/>
      <c r="C336" s="982"/>
      <c r="D336" s="4" t="s">
        <v>19</v>
      </c>
      <c r="E336" s="4" t="s">
        <v>25</v>
      </c>
      <c r="F336" s="4" t="s">
        <v>20</v>
      </c>
      <c r="G336" s="13" t="s">
        <v>1324</v>
      </c>
      <c r="H336" s="4" t="s">
        <v>1325</v>
      </c>
      <c r="I336" s="9" t="s">
        <v>1362</v>
      </c>
      <c r="J336" s="13" t="s">
        <v>126</v>
      </c>
      <c r="K336" s="4" t="s">
        <v>1363</v>
      </c>
      <c r="L336" s="57" t="s">
        <v>209</v>
      </c>
      <c r="M336" s="96">
        <f>250000*1</f>
        <v>250000</v>
      </c>
      <c r="N336" s="45" t="s">
        <v>121</v>
      </c>
    </row>
    <row r="337" spans="1:15">
      <c r="A337" s="55">
        <v>10</v>
      </c>
      <c r="B337" s="994"/>
      <c r="C337" s="983"/>
      <c r="D337" s="4" t="s">
        <v>19</v>
      </c>
      <c r="E337" s="4" t="s">
        <v>25</v>
      </c>
      <c r="F337" s="4" t="s">
        <v>20</v>
      </c>
      <c r="G337" s="13">
        <v>3306</v>
      </c>
      <c r="H337" s="4" t="s">
        <v>1328</v>
      </c>
      <c r="I337" s="9" t="s">
        <v>1329</v>
      </c>
      <c r="J337" s="13" t="s">
        <v>397</v>
      </c>
      <c r="K337" s="4" t="s">
        <v>135</v>
      </c>
      <c r="L337" s="57" t="s">
        <v>209</v>
      </c>
      <c r="M337" s="96">
        <f>250000*4</f>
        <v>1000000</v>
      </c>
      <c r="N337" s="78" t="s">
        <v>247</v>
      </c>
    </row>
    <row r="338" spans="1:15">
      <c r="A338" s="55">
        <v>10</v>
      </c>
      <c r="B338" s="992" t="s">
        <v>1255</v>
      </c>
      <c r="C338" s="15">
        <v>45355</v>
      </c>
      <c r="D338" s="33" t="s">
        <v>21</v>
      </c>
      <c r="E338" s="4" t="s">
        <v>1297</v>
      </c>
      <c r="F338" s="3" t="s">
        <v>953</v>
      </c>
      <c r="G338" s="3">
        <v>7059</v>
      </c>
      <c r="H338" s="3" t="s">
        <v>1338</v>
      </c>
      <c r="I338" s="5" t="s">
        <v>1339</v>
      </c>
      <c r="J338" s="13" t="s">
        <v>120</v>
      </c>
      <c r="K338" s="4" t="s">
        <v>945</v>
      </c>
      <c r="L338" s="6" t="s">
        <v>1340</v>
      </c>
      <c r="M338" s="96">
        <v>250000</v>
      </c>
      <c r="N338" s="78" t="s">
        <v>127</v>
      </c>
    </row>
    <row r="339" spans="1:15">
      <c r="A339" s="55">
        <v>10</v>
      </c>
      <c r="B339" s="993"/>
      <c r="C339" s="15">
        <v>45356</v>
      </c>
      <c r="D339" s="3" t="s">
        <v>21</v>
      </c>
      <c r="E339" s="4" t="s">
        <v>1336</v>
      </c>
      <c r="F339" s="3" t="s">
        <v>1337</v>
      </c>
      <c r="G339" s="14" t="s">
        <v>1334</v>
      </c>
      <c r="H339" s="3" t="s">
        <v>1335</v>
      </c>
      <c r="I339" s="9" t="s">
        <v>1244</v>
      </c>
      <c r="J339" s="13" t="s">
        <v>120</v>
      </c>
      <c r="K339" s="4" t="s">
        <v>68</v>
      </c>
      <c r="L339" s="6" t="s">
        <v>1353</v>
      </c>
      <c r="M339" s="96">
        <v>250000</v>
      </c>
      <c r="N339" s="78" t="s">
        <v>1361</v>
      </c>
    </row>
    <row r="340" spans="1:15">
      <c r="A340" s="55">
        <v>10</v>
      </c>
      <c r="B340" s="993"/>
      <c r="C340" s="15">
        <v>45357</v>
      </c>
      <c r="D340" s="3" t="s">
        <v>1301</v>
      </c>
      <c r="E340" s="4" t="s">
        <v>408</v>
      </c>
      <c r="F340" s="3" t="s">
        <v>427</v>
      </c>
      <c r="G340" s="3" t="s">
        <v>1315</v>
      </c>
      <c r="H340" s="3" t="s">
        <v>1357</v>
      </c>
      <c r="I340" s="5" t="s">
        <v>1358</v>
      </c>
      <c r="J340" s="13"/>
      <c r="K340" s="10" t="s">
        <v>118</v>
      </c>
      <c r="L340" s="6" t="s">
        <v>1356</v>
      </c>
      <c r="M340" s="96">
        <v>500000</v>
      </c>
      <c r="N340" s="78" t="s">
        <v>1360</v>
      </c>
    </row>
    <row r="341" spans="1:15">
      <c r="A341" s="55">
        <v>10</v>
      </c>
      <c r="B341" s="994"/>
      <c r="C341" s="15">
        <v>45358</v>
      </c>
      <c r="D341" s="3" t="s">
        <v>1301</v>
      </c>
      <c r="E341" s="4" t="s">
        <v>408</v>
      </c>
      <c r="F341" s="3" t="s">
        <v>427</v>
      </c>
      <c r="G341" s="3" t="s">
        <v>1315</v>
      </c>
      <c r="H341" s="3" t="s">
        <v>1357</v>
      </c>
      <c r="I341" s="5" t="s">
        <v>303</v>
      </c>
      <c r="J341" s="13"/>
      <c r="K341" s="10" t="s">
        <v>118</v>
      </c>
      <c r="L341" s="6" t="s">
        <v>1356</v>
      </c>
      <c r="M341" s="96">
        <v>500000</v>
      </c>
      <c r="N341" s="78" t="s">
        <v>1360</v>
      </c>
    </row>
    <row r="342" spans="1:15" ht="16.5" customHeight="1">
      <c r="A342" s="55">
        <v>11</v>
      </c>
      <c r="B342" s="992" t="s">
        <v>20</v>
      </c>
      <c r="C342" s="981" t="s">
        <v>1378</v>
      </c>
      <c r="D342" s="4" t="s">
        <v>19</v>
      </c>
      <c r="E342" s="4" t="s">
        <v>25</v>
      </c>
      <c r="F342" s="4" t="s">
        <v>20</v>
      </c>
      <c r="G342" s="4">
        <v>4266</v>
      </c>
      <c r="H342" s="4" t="s">
        <v>18</v>
      </c>
      <c r="I342" s="9" t="s">
        <v>1122</v>
      </c>
      <c r="J342" s="13" t="s">
        <v>126</v>
      </c>
      <c r="K342" s="4" t="s">
        <v>1363</v>
      </c>
      <c r="L342" s="57" t="s">
        <v>209</v>
      </c>
      <c r="M342" s="96">
        <f>250000*2</f>
        <v>500000</v>
      </c>
      <c r="N342" s="45" t="s">
        <v>121</v>
      </c>
    </row>
    <row r="343" spans="1:15">
      <c r="A343" s="55">
        <v>11</v>
      </c>
      <c r="B343" s="993"/>
      <c r="C343" s="983"/>
      <c r="D343" s="4" t="s">
        <v>19</v>
      </c>
      <c r="E343" s="4" t="s">
        <v>25</v>
      </c>
      <c r="F343" s="4" t="s">
        <v>20</v>
      </c>
      <c r="G343" s="147" t="s">
        <v>1379</v>
      </c>
      <c r="H343" s="4" t="s">
        <v>102</v>
      </c>
      <c r="I343" s="9" t="s">
        <v>1122</v>
      </c>
      <c r="J343" s="13" t="s">
        <v>126</v>
      </c>
      <c r="K343" s="4" t="s">
        <v>1363</v>
      </c>
      <c r="L343" s="57" t="s">
        <v>209</v>
      </c>
      <c r="M343" s="96">
        <f>250000*3</f>
        <v>750000</v>
      </c>
      <c r="N343" s="45" t="s">
        <v>121</v>
      </c>
    </row>
    <row r="344" spans="1:15">
      <c r="A344" s="55">
        <v>11</v>
      </c>
      <c r="B344" s="994"/>
      <c r="C344" s="15">
        <v>45363</v>
      </c>
      <c r="D344" s="4" t="s">
        <v>19</v>
      </c>
      <c r="E344" s="4" t="s">
        <v>25</v>
      </c>
      <c r="F344" s="4" t="s">
        <v>20</v>
      </c>
      <c r="G344" s="4" t="s">
        <v>1380</v>
      </c>
      <c r="H344" s="4" t="s">
        <v>18</v>
      </c>
      <c r="I344" s="9" t="s">
        <v>1381</v>
      </c>
      <c r="J344" s="13" t="s">
        <v>94</v>
      </c>
      <c r="K344" s="4" t="s">
        <v>133</v>
      </c>
      <c r="L344" s="57" t="s">
        <v>209</v>
      </c>
      <c r="M344" s="96">
        <f>250000*2</f>
        <v>500000</v>
      </c>
      <c r="N344" s="45" t="s">
        <v>247</v>
      </c>
    </row>
    <row r="345" spans="1:15">
      <c r="A345" s="55">
        <v>11</v>
      </c>
      <c r="B345" s="992" t="s">
        <v>21</v>
      </c>
      <c r="C345" s="15">
        <v>45362</v>
      </c>
      <c r="D345" s="3" t="s">
        <v>21</v>
      </c>
      <c r="E345" s="4" t="s">
        <v>14</v>
      </c>
      <c r="F345" s="3" t="s">
        <v>107</v>
      </c>
      <c r="G345" s="3" t="s">
        <v>108</v>
      </c>
      <c r="H345" s="3" t="s">
        <v>376</v>
      </c>
      <c r="I345" s="5" t="s">
        <v>1279</v>
      </c>
      <c r="J345" s="13" t="s">
        <v>90</v>
      </c>
      <c r="K345" s="4" t="s">
        <v>118</v>
      </c>
      <c r="L345" s="6" t="s">
        <v>15</v>
      </c>
      <c r="M345" s="96">
        <v>500000</v>
      </c>
      <c r="N345" s="78" t="s">
        <v>611</v>
      </c>
    </row>
    <row r="346" spans="1:15">
      <c r="A346" s="55">
        <v>11</v>
      </c>
      <c r="B346" s="993"/>
      <c r="C346" s="15">
        <v>45363</v>
      </c>
      <c r="D346" s="3" t="s">
        <v>21</v>
      </c>
      <c r="E346" s="4" t="s">
        <v>14</v>
      </c>
      <c r="F346" s="3" t="s">
        <v>623</v>
      </c>
      <c r="G346" s="14" t="s">
        <v>478</v>
      </c>
      <c r="H346" s="3" t="s">
        <v>102</v>
      </c>
      <c r="I346" s="5" t="s">
        <v>230</v>
      </c>
      <c r="J346" s="13"/>
      <c r="K346" s="4" t="s">
        <v>999</v>
      </c>
      <c r="L346" s="6" t="s">
        <v>15</v>
      </c>
      <c r="M346" s="96">
        <v>300000</v>
      </c>
      <c r="N346" s="78" t="s">
        <v>128</v>
      </c>
    </row>
    <row r="347" spans="1:15">
      <c r="A347" s="55">
        <v>11</v>
      </c>
      <c r="B347" s="993"/>
      <c r="C347" s="15">
        <v>45364</v>
      </c>
      <c r="D347" s="3" t="s">
        <v>21</v>
      </c>
      <c r="E347" s="4" t="s">
        <v>14</v>
      </c>
      <c r="F347" s="3" t="s">
        <v>623</v>
      </c>
      <c r="G347" s="14" t="s">
        <v>478</v>
      </c>
      <c r="H347" s="3" t="s">
        <v>102</v>
      </c>
      <c r="I347" s="9" t="s">
        <v>1355</v>
      </c>
      <c r="J347" s="13"/>
      <c r="K347" s="4" t="s">
        <v>999</v>
      </c>
      <c r="L347" s="6" t="s">
        <v>15</v>
      </c>
      <c r="M347" s="96">
        <v>300000</v>
      </c>
      <c r="N347" s="45" t="s">
        <v>128</v>
      </c>
    </row>
    <row r="348" spans="1:15">
      <c r="A348" s="55">
        <v>11</v>
      </c>
      <c r="B348" s="993"/>
      <c r="C348" s="15">
        <v>45365</v>
      </c>
      <c r="D348" s="3" t="s">
        <v>21</v>
      </c>
      <c r="E348" s="4" t="s">
        <v>14</v>
      </c>
      <c r="F348" s="3" t="s">
        <v>107</v>
      </c>
      <c r="G348" s="3" t="s">
        <v>108</v>
      </c>
      <c r="H348" s="3" t="s">
        <v>143</v>
      </c>
      <c r="I348" s="9" t="s">
        <v>1279</v>
      </c>
      <c r="J348" s="13" t="s">
        <v>90</v>
      </c>
      <c r="K348" s="4" t="s">
        <v>118</v>
      </c>
      <c r="L348" s="6" t="s">
        <v>15</v>
      </c>
      <c r="M348" s="96">
        <v>500000</v>
      </c>
      <c r="N348" s="45" t="s">
        <v>611</v>
      </c>
    </row>
    <row r="349" spans="1:15">
      <c r="A349" s="55">
        <v>11</v>
      </c>
      <c r="B349" s="993"/>
      <c r="C349" s="1014">
        <v>45366</v>
      </c>
      <c r="D349" s="3" t="s">
        <v>21</v>
      </c>
      <c r="E349" s="4" t="s">
        <v>14</v>
      </c>
      <c r="F349" s="3" t="s">
        <v>107</v>
      </c>
      <c r="G349" s="3" t="s">
        <v>108</v>
      </c>
      <c r="H349" s="3" t="s">
        <v>143</v>
      </c>
      <c r="I349" s="9" t="s">
        <v>1279</v>
      </c>
      <c r="J349" s="13" t="s">
        <v>90</v>
      </c>
      <c r="K349" s="4" t="s">
        <v>118</v>
      </c>
      <c r="L349" s="6" t="s">
        <v>15</v>
      </c>
      <c r="M349" s="96">
        <v>500000</v>
      </c>
      <c r="N349" s="45" t="s">
        <v>611</v>
      </c>
    </row>
    <row r="350" spans="1:15">
      <c r="A350" s="55">
        <v>11</v>
      </c>
      <c r="B350" s="994"/>
      <c r="C350" s="1015"/>
      <c r="D350" s="3" t="s">
        <v>21</v>
      </c>
      <c r="E350" s="4" t="s">
        <v>14</v>
      </c>
      <c r="F350" s="4" t="s">
        <v>107</v>
      </c>
      <c r="G350" s="3" t="s">
        <v>108</v>
      </c>
      <c r="H350" s="3" t="s">
        <v>1375</v>
      </c>
      <c r="I350" s="9" t="s">
        <v>1374</v>
      </c>
      <c r="J350" s="13" t="s">
        <v>90</v>
      </c>
      <c r="K350" s="4" t="s">
        <v>111</v>
      </c>
      <c r="L350" s="6" t="s">
        <v>15</v>
      </c>
      <c r="M350" s="96">
        <v>250000</v>
      </c>
      <c r="N350" s="45" t="s">
        <v>128</v>
      </c>
    </row>
    <row r="351" spans="1:15" ht="25.5">
      <c r="A351" s="55">
        <v>12</v>
      </c>
      <c r="B351" s="1005" t="s">
        <v>307</v>
      </c>
      <c r="C351" s="133" t="s">
        <v>1406</v>
      </c>
      <c r="D351" s="129" t="s">
        <v>306</v>
      </c>
      <c r="E351" s="129" t="s">
        <v>322</v>
      </c>
      <c r="F351" s="129" t="s">
        <v>307</v>
      </c>
      <c r="G351" s="130" t="s">
        <v>1407</v>
      </c>
      <c r="H351" s="129" t="s">
        <v>662</v>
      </c>
      <c r="I351" s="130" t="s">
        <v>1154</v>
      </c>
      <c r="J351" s="129" t="s">
        <v>1111</v>
      </c>
      <c r="K351" s="129" t="s">
        <v>1408</v>
      </c>
      <c r="L351" s="129" t="s">
        <v>324</v>
      </c>
      <c r="M351" s="483" t="s">
        <v>458</v>
      </c>
      <c r="N351" s="129" t="s">
        <v>665</v>
      </c>
      <c r="O351" s="186"/>
    </row>
    <row r="352" spans="1:15">
      <c r="A352" s="55">
        <v>12</v>
      </c>
      <c r="B352" s="1006"/>
      <c r="C352" s="185">
        <v>45373</v>
      </c>
      <c r="D352" s="129" t="s">
        <v>306</v>
      </c>
      <c r="E352" s="129" t="s">
        <v>322</v>
      </c>
      <c r="F352" s="129" t="s">
        <v>307</v>
      </c>
      <c r="G352" s="130" t="s">
        <v>1409</v>
      </c>
      <c r="H352" s="129" t="s">
        <v>1410</v>
      </c>
      <c r="I352" s="130" t="s">
        <v>1154</v>
      </c>
      <c r="J352" s="129" t="s">
        <v>1111</v>
      </c>
      <c r="K352" s="129" t="s">
        <v>1408</v>
      </c>
      <c r="L352" s="129" t="s">
        <v>324</v>
      </c>
      <c r="M352" s="483" t="s">
        <v>456</v>
      </c>
      <c r="N352" s="129" t="s">
        <v>665</v>
      </c>
      <c r="O352" s="186"/>
    </row>
    <row r="353" spans="1:15">
      <c r="A353" s="55">
        <v>12</v>
      </c>
      <c r="B353" s="1006"/>
      <c r="C353" s="187" t="s">
        <v>1411</v>
      </c>
      <c r="D353" s="129" t="s">
        <v>306</v>
      </c>
      <c r="E353" s="129" t="s">
        <v>322</v>
      </c>
      <c r="F353" s="129" t="s">
        <v>307</v>
      </c>
      <c r="G353" s="129" t="s">
        <v>1412</v>
      </c>
      <c r="H353" s="129" t="s">
        <v>1413</v>
      </c>
      <c r="I353" s="130" t="s">
        <v>704</v>
      </c>
      <c r="J353" s="129" t="s">
        <v>664</v>
      </c>
      <c r="K353" s="129" t="s">
        <v>671</v>
      </c>
      <c r="L353" s="129" t="s">
        <v>324</v>
      </c>
      <c r="M353" s="483" t="s">
        <v>672</v>
      </c>
      <c r="N353" s="129" t="s">
        <v>665</v>
      </c>
      <c r="O353" s="186"/>
    </row>
    <row r="354" spans="1:15">
      <c r="A354" s="55">
        <v>12</v>
      </c>
      <c r="B354" s="1006"/>
      <c r="C354" s="64" t="s">
        <v>1414</v>
      </c>
      <c r="D354" s="129" t="s">
        <v>306</v>
      </c>
      <c r="E354" s="129" t="s">
        <v>322</v>
      </c>
      <c r="F354" s="129" t="s">
        <v>307</v>
      </c>
      <c r="G354" s="129" t="s">
        <v>1415</v>
      </c>
      <c r="H354" s="129" t="s">
        <v>1416</v>
      </c>
      <c r="I354" s="130" t="s">
        <v>1417</v>
      </c>
      <c r="J354" s="129" t="s">
        <v>664</v>
      </c>
      <c r="K354" s="129" t="s">
        <v>671</v>
      </c>
      <c r="L354" s="129" t="s">
        <v>324</v>
      </c>
      <c r="M354" s="483" t="s">
        <v>672</v>
      </c>
      <c r="N354" s="129" t="s">
        <v>665</v>
      </c>
      <c r="O354" s="186"/>
    </row>
    <row r="355" spans="1:15">
      <c r="A355" s="55">
        <v>12</v>
      </c>
      <c r="B355" s="1007"/>
      <c r="C355" s="64" t="s">
        <v>1411</v>
      </c>
      <c r="D355" s="129" t="s">
        <v>306</v>
      </c>
      <c r="E355" s="129" t="s">
        <v>322</v>
      </c>
      <c r="F355" s="129" t="s">
        <v>307</v>
      </c>
      <c r="G355" s="129" t="s">
        <v>1418</v>
      </c>
      <c r="H355" s="129" t="s">
        <v>640</v>
      </c>
      <c r="I355" s="130" t="s">
        <v>1419</v>
      </c>
      <c r="J355" s="129" t="s">
        <v>349</v>
      </c>
      <c r="K355" s="129" t="s">
        <v>655</v>
      </c>
      <c r="L355" s="129" t="s">
        <v>324</v>
      </c>
      <c r="M355" s="483" t="s">
        <v>458</v>
      </c>
      <c r="N355" s="129" t="s">
        <v>425</v>
      </c>
      <c r="O355" s="186"/>
    </row>
    <row r="356" spans="1:15" ht="25.5">
      <c r="A356" s="55">
        <v>12</v>
      </c>
      <c r="B356" s="1005" t="s">
        <v>311</v>
      </c>
      <c r="C356" s="64" t="s">
        <v>1414</v>
      </c>
      <c r="D356" s="64" t="s">
        <v>700</v>
      </c>
      <c r="E356" s="129" t="s">
        <v>320</v>
      </c>
      <c r="F356" s="64" t="s">
        <v>709</v>
      </c>
      <c r="G356" s="64" t="s">
        <v>1420</v>
      </c>
      <c r="H356" s="64" t="s">
        <v>1421</v>
      </c>
      <c r="I356" s="134" t="s">
        <v>1422</v>
      </c>
      <c r="J356" s="129"/>
      <c r="K356" s="129" t="s">
        <v>1423</v>
      </c>
      <c r="L356" s="129"/>
      <c r="M356" s="483" t="s">
        <v>456</v>
      </c>
      <c r="N356" s="151" t="s">
        <v>1424</v>
      </c>
      <c r="O356" s="186"/>
    </row>
    <row r="357" spans="1:15">
      <c r="A357" s="55">
        <v>12</v>
      </c>
      <c r="B357" s="1006"/>
      <c r="C357" s="64" t="s">
        <v>1414</v>
      </c>
      <c r="D357" s="64" t="s">
        <v>311</v>
      </c>
      <c r="E357" s="129" t="s">
        <v>320</v>
      </c>
      <c r="F357" s="64" t="s">
        <v>1425</v>
      </c>
      <c r="G357" s="64" t="s">
        <v>661</v>
      </c>
      <c r="H357" s="64" t="s">
        <v>662</v>
      </c>
      <c r="I357" s="152" t="s">
        <v>1426</v>
      </c>
      <c r="J357" s="129"/>
      <c r="K357" s="129" t="s">
        <v>1102</v>
      </c>
      <c r="L357" s="129" t="s">
        <v>309</v>
      </c>
      <c r="M357" s="483" t="s">
        <v>359</v>
      </c>
      <c r="N357" s="151" t="s">
        <v>1206</v>
      </c>
      <c r="O357" s="186"/>
    </row>
    <row r="358" spans="1:15" ht="25.5">
      <c r="A358" s="55">
        <v>12</v>
      </c>
      <c r="B358" s="1006"/>
      <c r="C358" s="64" t="s">
        <v>1427</v>
      </c>
      <c r="D358" s="64" t="s">
        <v>311</v>
      </c>
      <c r="E358" s="129" t="s">
        <v>320</v>
      </c>
      <c r="F358" s="64" t="s">
        <v>1425</v>
      </c>
      <c r="G358" s="64" t="s">
        <v>661</v>
      </c>
      <c r="H358" s="64" t="s">
        <v>662</v>
      </c>
      <c r="I358" s="152" t="s">
        <v>1428</v>
      </c>
      <c r="J358" s="129" t="s">
        <v>638</v>
      </c>
      <c r="K358" s="129" t="s">
        <v>1429</v>
      </c>
      <c r="L358" s="129" t="s">
        <v>309</v>
      </c>
      <c r="M358" s="483" t="s">
        <v>1430</v>
      </c>
      <c r="N358" s="151" t="s">
        <v>1206</v>
      </c>
      <c r="O358" s="186"/>
    </row>
    <row r="359" spans="1:15">
      <c r="A359" s="55">
        <v>12</v>
      </c>
      <c r="B359" s="1007"/>
      <c r="C359" s="64" t="s">
        <v>1431</v>
      </c>
      <c r="D359" s="64" t="s">
        <v>311</v>
      </c>
      <c r="E359" s="129" t="s">
        <v>320</v>
      </c>
      <c r="F359" s="64" t="s">
        <v>1425</v>
      </c>
      <c r="G359" s="64" t="s">
        <v>661</v>
      </c>
      <c r="H359" s="64" t="s">
        <v>662</v>
      </c>
      <c r="I359" s="152" t="s">
        <v>674</v>
      </c>
      <c r="J359" s="129" t="s">
        <v>638</v>
      </c>
      <c r="K359" s="129" t="s">
        <v>1522</v>
      </c>
      <c r="L359" s="129" t="s">
        <v>309</v>
      </c>
      <c r="M359" s="483" t="s">
        <v>359</v>
      </c>
      <c r="N359" s="151" t="s">
        <v>1206</v>
      </c>
      <c r="O359" s="186"/>
    </row>
    <row r="360" spans="1:15" ht="40.5">
      <c r="A360" s="55">
        <v>13</v>
      </c>
      <c r="B360" s="992" t="s">
        <v>20</v>
      </c>
      <c r="C360" s="122" t="s">
        <v>1393</v>
      </c>
      <c r="D360" s="4" t="s">
        <v>19</v>
      </c>
      <c r="E360" s="4" t="s">
        <v>25</v>
      </c>
      <c r="F360" s="4" t="s">
        <v>20</v>
      </c>
      <c r="G360" s="147" t="s">
        <v>1387</v>
      </c>
      <c r="H360" s="4" t="s">
        <v>1328</v>
      </c>
      <c r="I360" s="9" t="s">
        <v>1122</v>
      </c>
      <c r="J360" s="13" t="s">
        <v>126</v>
      </c>
      <c r="K360" s="4" t="s">
        <v>1404</v>
      </c>
      <c r="L360" s="57" t="s">
        <v>209</v>
      </c>
      <c r="M360" s="96">
        <v>750000</v>
      </c>
      <c r="N360" s="45" t="s">
        <v>121</v>
      </c>
      <c r="O360" s="186"/>
    </row>
    <row r="361" spans="1:15">
      <c r="A361" s="55">
        <v>13</v>
      </c>
      <c r="B361" s="993"/>
      <c r="C361" s="15">
        <v>45380</v>
      </c>
      <c r="D361" s="4" t="s">
        <v>19</v>
      </c>
      <c r="E361" s="4" t="s">
        <v>25</v>
      </c>
      <c r="F361" s="4" t="s">
        <v>20</v>
      </c>
      <c r="G361" s="147" t="s">
        <v>1379</v>
      </c>
      <c r="H361" s="4" t="s">
        <v>102</v>
      </c>
      <c r="I361" s="9" t="s">
        <v>1122</v>
      </c>
      <c r="J361" s="13" t="s">
        <v>126</v>
      </c>
      <c r="K361" s="4" t="s">
        <v>1405</v>
      </c>
      <c r="L361" s="57" t="s">
        <v>209</v>
      </c>
      <c r="M361" s="96">
        <v>250000</v>
      </c>
      <c r="N361" s="45" t="s">
        <v>121</v>
      </c>
      <c r="O361" s="186"/>
    </row>
    <row r="362" spans="1:15" ht="40.5">
      <c r="A362" s="55">
        <v>13</v>
      </c>
      <c r="B362" s="994"/>
      <c r="C362" s="122" t="s">
        <v>1400</v>
      </c>
      <c r="D362" s="4" t="s">
        <v>19</v>
      </c>
      <c r="E362" s="159" t="s">
        <v>25</v>
      </c>
      <c r="F362" s="159" t="s">
        <v>20</v>
      </c>
      <c r="G362" s="210" t="s">
        <v>1399</v>
      </c>
      <c r="H362" s="159" t="s">
        <v>1328</v>
      </c>
      <c r="I362" s="211" t="s">
        <v>1403</v>
      </c>
      <c r="J362" s="212"/>
      <c r="K362" s="159" t="s">
        <v>1401</v>
      </c>
      <c r="L362" s="213" t="s">
        <v>209</v>
      </c>
      <c r="M362" s="195">
        <v>2250000</v>
      </c>
      <c r="N362" s="45" t="s">
        <v>1402</v>
      </c>
      <c r="O362" s="196" t="s">
        <v>1524</v>
      </c>
    </row>
    <row r="363" spans="1:15">
      <c r="A363" s="55">
        <v>13</v>
      </c>
      <c r="B363" s="992" t="s">
        <v>64</v>
      </c>
      <c r="C363" s="15">
        <v>45376</v>
      </c>
      <c r="D363" s="3" t="s">
        <v>21</v>
      </c>
      <c r="E363" s="4" t="s">
        <v>14</v>
      </c>
      <c r="F363" s="3" t="s">
        <v>107</v>
      </c>
      <c r="G363" s="3" t="s">
        <v>108</v>
      </c>
      <c r="H363" s="3" t="s">
        <v>376</v>
      </c>
      <c r="I363" s="9" t="s">
        <v>1279</v>
      </c>
      <c r="J363" s="13" t="s">
        <v>90</v>
      </c>
      <c r="K363" s="220" t="s">
        <v>41</v>
      </c>
      <c r="L363" s="6" t="s">
        <v>15</v>
      </c>
      <c r="M363" s="96">
        <v>250000</v>
      </c>
      <c r="N363" s="45" t="s">
        <v>1394</v>
      </c>
      <c r="O363" s="186"/>
    </row>
    <row r="364" spans="1:15" ht="27">
      <c r="A364" s="55">
        <v>13</v>
      </c>
      <c r="B364" s="993"/>
      <c r="C364" s="15">
        <v>45376</v>
      </c>
      <c r="D364" s="3" t="s">
        <v>138</v>
      </c>
      <c r="E364" s="4" t="s">
        <v>30</v>
      </c>
      <c r="F364" s="3" t="s">
        <v>277</v>
      </c>
      <c r="G364" s="14">
        <v>8384</v>
      </c>
      <c r="H364" s="3" t="s">
        <v>18</v>
      </c>
      <c r="I364" s="9" t="s">
        <v>1388</v>
      </c>
      <c r="J364" s="13" t="s">
        <v>90</v>
      </c>
      <c r="K364" s="61" t="s">
        <v>999</v>
      </c>
      <c r="L364" s="6" t="s">
        <v>15</v>
      </c>
      <c r="M364" s="96">
        <v>250000</v>
      </c>
      <c r="N364" s="45" t="s">
        <v>1395</v>
      </c>
      <c r="O364" s="186"/>
    </row>
    <row r="365" spans="1:15">
      <c r="A365" s="55">
        <v>13</v>
      </c>
      <c r="B365" s="993"/>
      <c r="C365" s="15">
        <v>45376</v>
      </c>
      <c r="D365" s="3" t="s">
        <v>21</v>
      </c>
      <c r="E365" s="4" t="s">
        <v>14</v>
      </c>
      <c r="F365" s="3" t="s">
        <v>1383</v>
      </c>
      <c r="G365" s="3" t="s">
        <v>619</v>
      </c>
      <c r="H365" s="3" t="s">
        <v>102</v>
      </c>
      <c r="I365" s="9" t="s">
        <v>1392</v>
      </c>
      <c r="J365" s="13"/>
      <c r="K365" s="4" t="s">
        <v>118</v>
      </c>
      <c r="L365" s="6" t="s">
        <v>15</v>
      </c>
      <c r="M365" s="96">
        <v>500000</v>
      </c>
      <c r="N365" s="45" t="s">
        <v>128</v>
      </c>
      <c r="O365" s="186"/>
    </row>
    <row r="366" spans="1:15" ht="27">
      <c r="A366" s="55">
        <v>13</v>
      </c>
      <c r="B366" s="993"/>
      <c r="C366" s="15">
        <v>45377</v>
      </c>
      <c r="D366" s="4" t="s">
        <v>21</v>
      </c>
      <c r="E366" s="4" t="s">
        <v>14</v>
      </c>
      <c r="F366" s="4" t="s">
        <v>107</v>
      </c>
      <c r="G366" s="4" t="s">
        <v>108</v>
      </c>
      <c r="H366" s="3" t="s">
        <v>143</v>
      </c>
      <c r="I366" s="9" t="s">
        <v>1386</v>
      </c>
      <c r="J366" s="13"/>
      <c r="K366" s="208" t="s">
        <v>613</v>
      </c>
      <c r="L366" s="6" t="s">
        <v>15</v>
      </c>
      <c r="M366" s="96">
        <v>750000</v>
      </c>
      <c r="N366" s="45" t="s">
        <v>1394</v>
      </c>
      <c r="O366" s="196" t="s">
        <v>1525</v>
      </c>
    </row>
    <row r="367" spans="1:15" ht="27">
      <c r="A367" s="55">
        <v>13</v>
      </c>
      <c r="B367" s="993"/>
      <c r="C367" s="15">
        <v>45378</v>
      </c>
      <c r="D367" s="4" t="s">
        <v>138</v>
      </c>
      <c r="E367" s="4" t="s">
        <v>14</v>
      </c>
      <c r="F367" s="4" t="s">
        <v>211</v>
      </c>
      <c r="G367" s="4" t="s">
        <v>802</v>
      </c>
      <c r="H367" s="3" t="s">
        <v>1131</v>
      </c>
      <c r="I367" s="9" t="s">
        <v>1397</v>
      </c>
      <c r="J367" s="13"/>
      <c r="K367" s="204" t="s">
        <v>323</v>
      </c>
      <c r="L367" s="6" t="s">
        <v>15</v>
      </c>
      <c r="M367" s="96">
        <v>500000</v>
      </c>
      <c r="N367" s="45" t="s">
        <v>1398</v>
      </c>
    </row>
    <row r="368" spans="1:15">
      <c r="A368" s="55">
        <v>13</v>
      </c>
      <c r="B368" s="994"/>
      <c r="C368" s="15">
        <v>45380</v>
      </c>
      <c r="D368" s="3" t="s">
        <v>138</v>
      </c>
      <c r="E368" s="4" t="s">
        <v>30</v>
      </c>
      <c r="F368" s="3" t="s">
        <v>277</v>
      </c>
      <c r="G368" s="14">
        <v>8384</v>
      </c>
      <c r="H368" s="3" t="s">
        <v>18</v>
      </c>
      <c r="I368" s="9" t="s">
        <v>1389</v>
      </c>
      <c r="J368" s="13" t="s">
        <v>90</v>
      </c>
      <c r="K368" s="4" t="s">
        <v>686</v>
      </c>
      <c r="L368" s="6" t="s">
        <v>15</v>
      </c>
      <c r="M368" s="96">
        <v>250000</v>
      </c>
      <c r="N368" s="45" t="s">
        <v>1396</v>
      </c>
    </row>
    <row r="369" spans="1:19" ht="27">
      <c r="A369" s="55">
        <v>14</v>
      </c>
      <c r="B369" s="992" t="s">
        <v>20</v>
      </c>
      <c r="C369" s="188" t="s">
        <v>1507</v>
      </c>
      <c r="D369" s="183" t="s">
        <v>19</v>
      </c>
      <c r="E369" s="183" t="s">
        <v>25</v>
      </c>
      <c r="F369" s="183" t="s">
        <v>20</v>
      </c>
      <c r="G369" s="205" t="s">
        <v>1323</v>
      </c>
      <c r="H369" s="183" t="s">
        <v>23</v>
      </c>
      <c r="I369" s="189" t="s">
        <v>1502</v>
      </c>
      <c r="J369" s="190" t="s">
        <v>168</v>
      </c>
      <c r="K369" s="183" t="s">
        <v>1404</v>
      </c>
      <c r="L369" s="206" t="s">
        <v>209</v>
      </c>
      <c r="M369" s="207">
        <v>750000</v>
      </c>
      <c r="N369" s="45" t="s">
        <v>1023</v>
      </c>
    </row>
    <row r="370" spans="1:19" ht="27">
      <c r="A370" s="55">
        <v>14</v>
      </c>
      <c r="B370" s="993"/>
      <c r="C370" s="188" t="s">
        <v>1508</v>
      </c>
      <c r="D370" s="183" t="s">
        <v>19</v>
      </c>
      <c r="E370" s="183" t="s">
        <v>25</v>
      </c>
      <c r="F370" s="183" t="s">
        <v>20</v>
      </c>
      <c r="G370" s="205" t="s">
        <v>1504</v>
      </c>
      <c r="H370" s="183" t="s">
        <v>264</v>
      </c>
      <c r="I370" s="189" t="s">
        <v>1122</v>
      </c>
      <c r="J370" s="190" t="s">
        <v>126</v>
      </c>
      <c r="K370" s="183" t="s">
        <v>1505</v>
      </c>
      <c r="L370" s="206" t="s">
        <v>209</v>
      </c>
      <c r="M370" s="207">
        <v>500000</v>
      </c>
      <c r="N370" s="45" t="s">
        <v>121</v>
      </c>
    </row>
    <row r="371" spans="1:19" ht="27">
      <c r="A371" s="55">
        <v>14</v>
      </c>
      <c r="B371" s="993"/>
      <c r="C371" s="92" t="s">
        <v>1509</v>
      </c>
      <c r="D371" s="4" t="s">
        <v>19</v>
      </c>
      <c r="E371" s="4" t="s">
        <v>25</v>
      </c>
      <c r="F371" s="4" t="s">
        <v>20</v>
      </c>
      <c r="G371" s="147">
        <v>3306</v>
      </c>
      <c r="H371" s="4" t="s">
        <v>1153</v>
      </c>
      <c r="I371" s="9" t="s">
        <v>1654</v>
      </c>
      <c r="J371" s="13" t="s">
        <v>168</v>
      </c>
      <c r="K371" s="208" t="s">
        <v>1135</v>
      </c>
      <c r="L371" s="57"/>
      <c r="M371" s="195">
        <v>1000000</v>
      </c>
      <c r="N371" s="45" t="s">
        <v>121</v>
      </c>
    </row>
    <row r="372" spans="1:19" ht="27">
      <c r="A372" s="55">
        <v>14</v>
      </c>
      <c r="B372" s="994"/>
      <c r="C372" s="92" t="s">
        <v>1510</v>
      </c>
      <c r="D372" s="4" t="s">
        <v>19</v>
      </c>
      <c r="E372" s="159" t="s">
        <v>25</v>
      </c>
      <c r="F372" s="159" t="s">
        <v>20</v>
      </c>
      <c r="G372" s="210">
        <v>4266</v>
      </c>
      <c r="H372" s="159" t="s">
        <v>125</v>
      </c>
      <c r="I372" s="211" t="s">
        <v>265</v>
      </c>
      <c r="J372" s="212" t="s">
        <v>94</v>
      </c>
      <c r="K372" s="159" t="s">
        <v>951</v>
      </c>
      <c r="L372" s="213" t="s">
        <v>209</v>
      </c>
      <c r="M372" s="195">
        <v>1000000</v>
      </c>
      <c r="N372" s="45" t="s">
        <v>247</v>
      </c>
      <c r="O372" s="186"/>
    </row>
    <row r="373" spans="1:19">
      <c r="A373" s="55">
        <v>14</v>
      </c>
      <c r="B373" s="992" t="s">
        <v>21</v>
      </c>
      <c r="C373" s="15">
        <v>45386</v>
      </c>
      <c r="D373" s="4" t="s">
        <v>138</v>
      </c>
      <c r="E373" s="4" t="s">
        <v>14</v>
      </c>
      <c r="F373" s="4" t="s">
        <v>211</v>
      </c>
      <c r="G373" s="4" t="s">
        <v>802</v>
      </c>
      <c r="H373" s="3" t="s">
        <v>264</v>
      </c>
      <c r="I373" s="201" t="s">
        <v>1506</v>
      </c>
      <c r="J373" s="13"/>
      <c r="K373" s="204" t="s">
        <v>323</v>
      </c>
      <c r="L373" s="6" t="s">
        <v>15</v>
      </c>
      <c r="M373" s="96">
        <v>500000</v>
      </c>
      <c r="N373" s="45" t="s">
        <v>1398</v>
      </c>
      <c r="O373" s="186"/>
    </row>
    <row r="374" spans="1:19">
      <c r="A374" s="55">
        <v>14</v>
      </c>
      <c r="B374" s="994"/>
      <c r="C374" s="15">
        <v>45386</v>
      </c>
      <c r="D374" s="3" t="s">
        <v>138</v>
      </c>
      <c r="E374" s="4" t="s">
        <v>14</v>
      </c>
      <c r="F374" s="3" t="s">
        <v>107</v>
      </c>
      <c r="G374" s="3" t="s">
        <v>270</v>
      </c>
      <c r="H374" s="3" t="s">
        <v>143</v>
      </c>
      <c r="I374" s="9" t="s">
        <v>271</v>
      </c>
      <c r="J374" s="13" t="s">
        <v>90</v>
      </c>
      <c r="K374" s="221" t="s">
        <v>487</v>
      </c>
      <c r="L374" s="6" t="s">
        <v>15</v>
      </c>
      <c r="M374" s="96">
        <v>500000</v>
      </c>
      <c r="N374" s="45" t="s">
        <v>1398</v>
      </c>
    </row>
    <row r="375" spans="1:19">
      <c r="A375" s="199" t="s">
        <v>1539</v>
      </c>
      <c r="B375" s="1005" t="s">
        <v>307</v>
      </c>
      <c r="C375" s="128" t="s">
        <v>1531</v>
      </c>
      <c r="D375" s="1003" t="s">
        <v>306</v>
      </c>
      <c r="E375" s="1003" t="s">
        <v>322</v>
      </c>
      <c r="F375" s="1003" t="s">
        <v>307</v>
      </c>
      <c r="G375" s="1008">
        <v>4266</v>
      </c>
      <c r="H375" s="1003" t="s">
        <v>640</v>
      </c>
      <c r="I375" s="1008" t="s">
        <v>1533</v>
      </c>
      <c r="J375" s="1003" t="s">
        <v>1534</v>
      </c>
      <c r="K375" s="1010" t="s">
        <v>692</v>
      </c>
      <c r="L375" s="1003" t="s">
        <v>324</v>
      </c>
      <c r="M375" s="1012" t="s">
        <v>1535</v>
      </c>
      <c r="N375" s="1003" t="s">
        <v>425</v>
      </c>
    </row>
    <row r="376" spans="1:19">
      <c r="A376" s="199" t="s">
        <v>1539</v>
      </c>
      <c r="B376" s="1006"/>
      <c r="C376" s="129" t="s">
        <v>1532</v>
      </c>
      <c r="D376" s="1004"/>
      <c r="E376" s="1004"/>
      <c r="F376" s="1004"/>
      <c r="G376" s="1009"/>
      <c r="H376" s="1004"/>
      <c r="I376" s="1009"/>
      <c r="J376" s="1004"/>
      <c r="K376" s="1011"/>
      <c r="L376" s="1004"/>
      <c r="M376" s="1013"/>
      <c r="N376" s="1004"/>
    </row>
    <row r="377" spans="1:19">
      <c r="A377" s="199" t="s">
        <v>1539</v>
      </c>
      <c r="B377" s="1006"/>
      <c r="C377" s="128" t="s">
        <v>1536</v>
      </c>
      <c r="D377" s="1003" t="s">
        <v>306</v>
      </c>
      <c r="E377" s="1003" t="s">
        <v>322</v>
      </c>
      <c r="F377" s="1003" t="s">
        <v>307</v>
      </c>
      <c r="G377" s="1008">
        <v>3306</v>
      </c>
      <c r="H377" s="1003" t="s">
        <v>1153</v>
      </c>
      <c r="I377" s="1008" t="s">
        <v>1538</v>
      </c>
      <c r="J377" s="1003" t="s">
        <v>1534</v>
      </c>
      <c r="K377" s="1010" t="s">
        <v>692</v>
      </c>
      <c r="L377" s="1003" t="s">
        <v>324</v>
      </c>
      <c r="M377" s="1012" t="s">
        <v>1535</v>
      </c>
      <c r="N377" s="1003" t="s">
        <v>425</v>
      </c>
    </row>
    <row r="378" spans="1:19">
      <c r="A378" s="199" t="s">
        <v>1539</v>
      </c>
      <c r="B378" s="1007"/>
      <c r="C378" s="129" t="s">
        <v>1537</v>
      </c>
      <c r="D378" s="1004"/>
      <c r="E378" s="1004"/>
      <c r="F378" s="1004"/>
      <c r="G378" s="1009"/>
      <c r="H378" s="1004"/>
      <c r="I378" s="1009"/>
      <c r="J378" s="1004"/>
      <c r="K378" s="1011"/>
      <c r="L378" s="1004"/>
      <c r="M378" s="1013"/>
      <c r="N378" s="1004"/>
    </row>
    <row r="379" spans="1:19" ht="27" customHeight="1">
      <c r="A379" s="123">
        <v>15</v>
      </c>
      <c r="B379" s="992" t="s">
        <v>20</v>
      </c>
      <c r="C379" s="188" t="s">
        <v>1526</v>
      </c>
      <c r="D379" s="183" t="s">
        <v>19</v>
      </c>
      <c r="E379" s="183" t="s">
        <v>25</v>
      </c>
      <c r="F379" s="183" t="s">
        <v>20</v>
      </c>
      <c r="G379" s="205" t="s">
        <v>1529</v>
      </c>
      <c r="H379" s="183" t="s">
        <v>23</v>
      </c>
      <c r="I379" s="189" t="s">
        <v>1530</v>
      </c>
      <c r="J379" s="190" t="s">
        <v>252</v>
      </c>
      <c r="K379" s="183" t="s">
        <v>1505</v>
      </c>
      <c r="L379" s="206" t="s">
        <v>209</v>
      </c>
      <c r="M379" s="207">
        <v>500000</v>
      </c>
      <c r="N379" s="45" t="s">
        <v>121</v>
      </c>
    </row>
    <row r="380" spans="1:19" ht="27" customHeight="1">
      <c r="A380" s="123">
        <v>15</v>
      </c>
      <c r="B380" s="993"/>
      <c r="C380" s="188" t="s">
        <v>1527</v>
      </c>
      <c r="D380" s="183" t="s">
        <v>19</v>
      </c>
      <c r="E380" s="183" t="s">
        <v>25</v>
      </c>
      <c r="F380" s="183" t="s">
        <v>20</v>
      </c>
      <c r="G380" s="205" t="s">
        <v>1546</v>
      </c>
      <c r="H380" s="183" t="s">
        <v>482</v>
      </c>
      <c r="I380" s="189" t="s">
        <v>1122</v>
      </c>
      <c r="J380" s="190" t="s">
        <v>168</v>
      </c>
      <c r="K380" s="183" t="s">
        <v>1505</v>
      </c>
      <c r="L380" s="206" t="s">
        <v>209</v>
      </c>
      <c r="M380" s="207">
        <v>500000</v>
      </c>
      <c r="N380" s="45" t="s">
        <v>121</v>
      </c>
      <c r="O380" t="s">
        <v>1619</v>
      </c>
    </row>
    <row r="381" spans="1:19" ht="27" customHeight="1">
      <c r="A381" s="123">
        <v>15</v>
      </c>
      <c r="B381" s="993"/>
      <c r="C381" s="92" t="s">
        <v>1547</v>
      </c>
      <c r="D381" s="4" t="s">
        <v>19</v>
      </c>
      <c r="E381" s="159" t="s">
        <v>25</v>
      </c>
      <c r="F381" s="159" t="s">
        <v>20</v>
      </c>
      <c r="G381" s="210" t="s">
        <v>1549</v>
      </c>
      <c r="H381" s="159" t="s">
        <v>1550</v>
      </c>
      <c r="I381" s="211" t="s">
        <v>1551</v>
      </c>
      <c r="J381" s="212" t="s">
        <v>1552</v>
      </c>
      <c r="K381" s="159" t="s">
        <v>1553</v>
      </c>
      <c r="L381" s="213" t="s">
        <v>209</v>
      </c>
      <c r="M381" s="195">
        <v>1000000</v>
      </c>
      <c r="N381" s="45" t="s">
        <v>121</v>
      </c>
    </row>
    <row r="382" spans="1:19" ht="27" customHeight="1">
      <c r="A382" s="123">
        <v>15</v>
      </c>
      <c r="B382" s="994"/>
      <c r="C382" s="92" t="s">
        <v>1548</v>
      </c>
      <c r="D382" s="4" t="s">
        <v>19</v>
      </c>
      <c r="E382" s="4" t="s">
        <v>25</v>
      </c>
      <c r="F382" s="4" t="s">
        <v>20</v>
      </c>
      <c r="G382" s="147" t="s">
        <v>961</v>
      </c>
      <c r="H382" s="4" t="s">
        <v>170</v>
      </c>
      <c r="I382" s="9" t="s">
        <v>1554</v>
      </c>
      <c r="J382" s="13" t="s">
        <v>1555</v>
      </c>
      <c r="K382" s="208" t="s">
        <v>1556</v>
      </c>
      <c r="L382" s="57" t="s">
        <v>209</v>
      </c>
      <c r="M382" s="96">
        <v>1000000</v>
      </c>
      <c r="N382" s="45" t="s">
        <v>121</v>
      </c>
    </row>
    <row r="383" spans="1:19" ht="27" customHeight="1">
      <c r="A383" s="123">
        <v>15</v>
      </c>
      <c r="B383" s="992" t="s">
        <v>21</v>
      </c>
      <c r="C383" s="15">
        <v>45393</v>
      </c>
      <c r="D383" s="4" t="s">
        <v>138</v>
      </c>
      <c r="E383" s="4" t="s">
        <v>14</v>
      </c>
      <c r="F383" s="4" t="s">
        <v>211</v>
      </c>
      <c r="G383" s="4" t="s">
        <v>802</v>
      </c>
      <c r="H383" s="3" t="s">
        <v>264</v>
      </c>
      <c r="I383" s="201" t="s">
        <v>1658</v>
      </c>
      <c r="J383" s="13"/>
      <c r="K383" s="204" t="s">
        <v>323</v>
      </c>
      <c r="L383" s="6" t="s">
        <v>15</v>
      </c>
      <c r="M383" s="96">
        <v>500000</v>
      </c>
      <c r="N383" s="45" t="s">
        <v>1398</v>
      </c>
    </row>
    <row r="384" spans="1:19" ht="27" customHeight="1">
      <c r="A384" s="123">
        <v>15</v>
      </c>
      <c r="B384" s="994"/>
      <c r="C384" s="15">
        <f>C383+1</f>
        <v>45394</v>
      </c>
      <c r="D384" s="3" t="s">
        <v>21</v>
      </c>
      <c r="E384" s="4" t="s">
        <v>14</v>
      </c>
      <c r="F384" s="3" t="s">
        <v>1383</v>
      </c>
      <c r="G384" s="3" t="s">
        <v>619</v>
      </c>
      <c r="H384" s="3" t="s">
        <v>102</v>
      </c>
      <c r="I384" s="9" t="s">
        <v>216</v>
      </c>
      <c r="J384" s="13" t="s">
        <v>90</v>
      </c>
      <c r="K384" s="219" t="s">
        <v>1541</v>
      </c>
      <c r="L384" s="6" t="s">
        <v>15</v>
      </c>
      <c r="M384" s="96">
        <v>250000</v>
      </c>
      <c r="N384" s="45" t="s">
        <v>393</v>
      </c>
      <c r="O384" t="s">
        <v>1559</v>
      </c>
      <c r="Q384" t="s">
        <v>1656</v>
      </c>
      <c r="S384" t="s">
        <v>1657</v>
      </c>
    </row>
    <row r="385" spans="1:14" ht="27">
      <c r="A385" s="123">
        <v>16</v>
      </c>
      <c r="B385" s="992" t="s">
        <v>20</v>
      </c>
      <c r="C385" s="188" t="s">
        <v>1560</v>
      </c>
      <c r="D385" s="183" t="s">
        <v>19</v>
      </c>
      <c r="E385" s="183" t="s">
        <v>25</v>
      </c>
      <c r="F385" s="183" t="s">
        <v>20</v>
      </c>
      <c r="G385" s="205" t="s">
        <v>1529</v>
      </c>
      <c r="H385" s="183" t="s">
        <v>23</v>
      </c>
      <c r="I385" s="189" t="s">
        <v>1530</v>
      </c>
      <c r="J385" s="190" t="s">
        <v>220</v>
      </c>
      <c r="K385" s="183" t="s">
        <v>1404</v>
      </c>
      <c r="L385" s="206" t="s">
        <v>209</v>
      </c>
      <c r="M385" s="207">
        <v>750000</v>
      </c>
      <c r="N385" s="45" t="s">
        <v>121</v>
      </c>
    </row>
    <row r="386" spans="1:14" ht="27">
      <c r="A386" s="123">
        <v>16</v>
      </c>
      <c r="B386" s="993"/>
      <c r="C386" s="188" t="s">
        <v>1561</v>
      </c>
      <c r="D386" s="183" t="s">
        <v>1528</v>
      </c>
      <c r="E386" s="183" t="s">
        <v>25</v>
      </c>
      <c r="F386" s="183" t="s">
        <v>20</v>
      </c>
      <c r="G386" s="205" t="s">
        <v>1519</v>
      </c>
      <c r="H386" s="183" t="s">
        <v>482</v>
      </c>
      <c r="I386" s="189" t="s">
        <v>1503</v>
      </c>
      <c r="J386" s="190" t="s">
        <v>168</v>
      </c>
      <c r="K386" s="183" t="s">
        <v>1505</v>
      </c>
      <c r="L386" s="206" t="s">
        <v>209</v>
      </c>
      <c r="M386" s="207">
        <v>500000</v>
      </c>
      <c r="N386" s="45" t="s">
        <v>208</v>
      </c>
    </row>
    <row r="387" spans="1:14" ht="27">
      <c r="A387" s="123">
        <v>16</v>
      </c>
      <c r="B387" s="993"/>
      <c r="C387" s="92" t="s">
        <v>1562</v>
      </c>
      <c r="D387" s="4" t="s">
        <v>19</v>
      </c>
      <c r="E387" s="159" t="s">
        <v>25</v>
      </c>
      <c r="F387" s="159" t="s">
        <v>20</v>
      </c>
      <c r="G387" s="210" t="s">
        <v>1564</v>
      </c>
      <c r="H387" s="159" t="s">
        <v>1574</v>
      </c>
      <c r="I387" s="211" t="s">
        <v>592</v>
      </c>
      <c r="J387" s="212" t="s">
        <v>94</v>
      </c>
      <c r="K387" s="159" t="s">
        <v>1571</v>
      </c>
      <c r="L387" s="213" t="s">
        <v>209</v>
      </c>
      <c r="M387" s="195">
        <v>1500000</v>
      </c>
      <c r="N387" s="45" t="s">
        <v>121</v>
      </c>
    </row>
    <row r="388" spans="1:14" ht="27">
      <c r="A388" s="123">
        <v>16</v>
      </c>
      <c r="B388" s="994"/>
      <c r="C388" s="92" t="s">
        <v>1548</v>
      </c>
      <c r="D388" s="4" t="s">
        <v>19</v>
      </c>
      <c r="E388" s="4" t="s">
        <v>25</v>
      </c>
      <c r="F388" s="4" t="s">
        <v>20</v>
      </c>
      <c r="G388" s="147" t="s">
        <v>1529</v>
      </c>
      <c r="H388" s="4" t="s">
        <v>23</v>
      </c>
      <c r="I388" s="9" t="s">
        <v>1563</v>
      </c>
      <c r="J388" s="13" t="s">
        <v>168</v>
      </c>
      <c r="K388" s="208" t="s">
        <v>118</v>
      </c>
      <c r="L388" s="57" t="s">
        <v>209</v>
      </c>
      <c r="M388" s="96">
        <v>500000</v>
      </c>
      <c r="N388" s="45" t="s">
        <v>121</v>
      </c>
    </row>
    <row r="389" spans="1:14">
      <c r="A389" s="123">
        <v>16</v>
      </c>
      <c r="B389" s="992" t="s">
        <v>21</v>
      </c>
      <c r="C389" s="15">
        <v>45397</v>
      </c>
      <c r="D389" s="3" t="s">
        <v>21</v>
      </c>
      <c r="E389" s="4" t="s">
        <v>17</v>
      </c>
      <c r="F389" s="3" t="s">
        <v>78</v>
      </c>
      <c r="G389" s="3" t="s">
        <v>206</v>
      </c>
      <c r="H389" s="3" t="s">
        <v>1382</v>
      </c>
      <c r="I389" s="5" t="s">
        <v>1545</v>
      </c>
      <c r="J389" s="13" t="s">
        <v>202</v>
      </c>
      <c r="K389" s="208" t="s">
        <v>111</v>
      </c>
      <c r="L389" s="6" t="s">
        <v>15</v>
      </c>
      <c r="M389" s="96">
        <v>250000</v>
      </c>
      <c r="N389" s="78" t="s">
        <v>1570</v>
      </c>
    </row>
    <row r="390" spans="1:14">
      <c r="A390" s="123">
        <v>16</v>
      </c>
      <c r="B390" s="993"/>
      <c r="C390" s="15">
        <v>45399</v>
      </c>
      <c r="D390" s="4" t="s">
        <v>138</v>
      </c>
      <c r="E390" s="4" t="s">
        <v>14</v>
      </c>
      <c r="F390" s="4" t="s">
        <v>211</v>
      </c>
      <c r="G390" s="4" t="s">
        <v>802</v>
      </c>
      <c r="H390" s="3" t="s">
        <v>264</v>
      </c>
      <c r="I390" s="5" t="s">
        <v>1573</v>
      </c>
      <c r="J390" s="13"/>
      <c r="K390" s="204" t="s">
        <v>435</v>
      </c>
      <c r="L390" s="6" t="s">
        <v>15</v>
      </c>
      <c r="M390" s="96">
        <v>750000</v>
      </c>
      <c r="N390" s="78" t="s">
        <v>1572</v>
      </c>
    </row>
    <row r="391" spans="1:14" ht="27">
      <c r="A391" s="123">
        <v>16</v>
      </c>
      <c r="B391" s="993"/>
      <c r="C391" s="15" t="s">
        <v>1568</v>
      </c>
      <c r="D391" s="3" t="s">
        <v>138</v>
      </c>
      <c r="E391" s="4" t="s">
        <v>14</v>
      </c>
      <c r="F391" s="3" t="s">
        <v>623</v>
      </c>
      <c r="G391" s="3" t="s">
        <v>478</v>
      </c>
      <c r="H391" s="3" t="s">
        <v>102</v>
      </c>
      <c r="I391" s="9" t="s">
        <v>1565</v>
      </c>
      <c r="J391" s="13" t="s">
        <v>90</v>
      </c>
      <c r="K391" s="224" t="s">
        <v>41</v>
      </c>
      <c r="L391" s="84" t="s">
        <v>84</v>
      </c>
      <c r="M391" s="96">
        <v>250000</v>
      </c>
      <c r="N391" s="78" t="s">
        <v>1569</v>
      </c>
    </row>
    <row r="392" spans="1:14" ht="27">
      <c r="A392" s="123">
        <v>16</v>
      </c>
      <c r="B392" s="994"/>
      <c r="C392" s="15" t="s">
        <v>1566</v>
      </c>
      <c r="D392" s="3" t="s">
        <v>138</v>
      </c>
      <c r="E392" s="4" t="s">
        <v>17</v>
      </c>
      <c r="F392" s="4" t="s">
        <v>1567</v>
      </c>
      <c r="G392" s="3" t="s">
        <v>273</v>
      </c>
      <c r="H392" s="3" t="s">
        <v>102</v>
      </c>
      <c r="I392" s="9" t="s">
        <v>1565</v>
      </c>
      <c r="J392" s="13" t="s">
        <v>90</v>
      </c>
      <c r="K392" s="209" t="s">
        <v>41</v>
      </c>
      <c r="L392" s="218" t="s">
        <v>84</v>
      </c>
      <c r="M392" s="96">
        <v>250000</v>
      </c>
      <c r="N392" s="78" t="s">
        <v>1569</v>
      </c>
    </row>
    <row r="393" spans="1:14" ht="27">
      <c r="A393" s="123">
        <v>17</v>
      </c>
      <c r="B393" s="992" t="s">
        <v>251</v>
      </c>
      <c r="C393" s="215" t="s">
        <v>1577</v>
      </c>
      <c r="D393" s="183" t="s">
        <v>19</v>
      </c>
      <c r="E393" s="183" t="s">
        <v>25</v>
      </c>
      <c r="F393" s="183" t="s">
        <v>20</v>
      </c>
      <c r="G393" s="205">
        <v>3306</v>
      </c>
      <c r="H393" s="183" t="s">
        <v>811</v>
      </c>
      <c r="I393" s="189" t="s">
        <v>1578</v>
      </c>
      <c r="J393" s="190" t="s">
        <v>168</v>
      </c>
      <c r="K393" s="183" t="s">
        <v>1579</v>
      </c>
      <c r="L393" s="206" t="s">
        <v>209</v>
      </c>
      <c r="M393" s="207">
        <v>1250000</v>
      </c>
      <c r="N393" s="45" t="s">
        <v>121</v>
      </c>
    </row>
    <row r="394" spans="1:14">
      <c r="A394" s="123">
        <v>17</v>
      </c>
      <c r="B394" s="993"/>
      <c r="C394" s="15">
        <v>45406</v>
      </c>
      <c r="D394" s="202" t="s">
        <v>306</v>
      </c>
      <c r="E394" s="202" t="s">
        <v>322</v>
      </c>
      <c r="F394" s="202" t="s">
        <v>307</v>
      </c>
      <c r="G394" s="203">
        <v>3306</v>
      </c>
      <c r="H394" s="202" t="s">
        <v>1153</v>
      </c>
      <c r="I394" s="203" t="s">
        <v>1589</v>
      </c>
      <c r="J394" s="202" t="s">
        <v>664</v>
      </c>
      <c r="K394" s="233" t="s">
        <v>119</v>
      </c>
      <c r="L394" s="202" t="s">
        <v>324</v>
      </c>
      <c r="M394" s="96">
        <v>500000</v>
      </c>
      <c r="N394" s="202" t="s">
        <v>121</v>
      </c>
    </row>
    <row r="395" spans="1:14" ht="40.5">
      <c r="A395" s="123">
        <v>17</v>
      </c>
      <c r="B395" s="994"/>
      <c r="C395" s="15">
        <v>45407</v>
      </c>
      <c r="D395" s="4" t="s">
        <v>19</v>
      </c>
      <c r="E395" s="159" t="s">
        <v>25</v>
      </c>
      <c r="F395" s="159" t="s">
        <v>20</v>
      </c>
      <c r="G395" s="210" t="s">
        <v>1586</v>
      </c>
      <c r="H395" s="159" t="s">
        <v>1591</v>
      </c>
      <c r="I395" s="211" t="s">
        <v>592</v>
      </c>
      <c r="J395" s="212" t="s">
        <v>94</v>
      </c>
      <c r="K395" s="159" t="s">
        <v>1587</v>
      </c>
      <c r="L395" s="213" t="s">
        <v>209</v>
      </c>
      <c r="M395" s="195">
        <v>500000</v>
      </c>
      <c r="N395" s="45" t="s">
        <v>247</v>
      </c>
    </row>
    <row r="396" spans="1:14">
      <c r="A396" s="123">
        <v>17</v>
      </c>
      <c r="B396" s="992" t="s">
        <v>253</v>
      </c>
      <c r="C396" s="15">
        <v>45404</v>
      </c>
      <c r="D396" s="3" t="s">
        <v>138</v>
      </c>
      <c r="E396" s="4" t="s">
        <v>17</v>
      </c>
      <c r="F396" s="4" t="s">
        <v>78</v>
      </c>
      <c r="G396" s="13" t="s">
        <v>502</v>
      </c>
      <c r="H396" s="3" t="s">
        <v>28</v>
      </c>
      <c r="I396" s="9" t="s">
        <v>1576</v>
      </c>
      <c r="J396" s="13"/>
      <c r="K396" s="208" t="s">
        <v>118</v>
      </c>
      <c r="L396" s="6" t="s">
        <v>15</v>
      </c>
      <c r="M396" s="96">
        <v>500000</v>
      </c>
      <c r="N396" s="45" t="s">
        <v>1570</v>
      </c>
    </row>
    <row r="397" spans="1:14">
      <c r="A397" s="123">
        <v>17</v>
      </c>
      <c r="B397" s="993"/>
      <c r="C397" s="15">
        <v>45405</v>
      </c>
      <c r="D397" s="216" t="s">
        <v>311</v>
      </c>
      <c r="E397" s="125" t="s">
        <v>320</v>
      </c>
      <c r="F397" s="125" t="s">
        <v>409</v>
      </c>
      <c r="G397" s="193" t="s">
        <v>1412</v>
      </c>
      <c r="H397" s="125" t="s">
        <v>1413</v>
      </c>
      <c r="I397" s="193" t="s">
        <v>1580</v>
      </c>
      <c r="J397" s="125"/>
      <c r="K397" s="217" t="s">
        <v>328</v>
      </c>
      <c r="L397" s="125" t="s">
        <v>309</v>
      </c>
      <c r="M397" s="96">
        <v>500000</v>
      </c>
      <c r="N397" s="45" t="s">
        <v>1588</v>
      </c>
    </row>
    <row r="398" spans="1:14">
      <c r="A398" s="123">
        <v>17</v>
      </c>
      <c r="B398" s="993"/>
      <c r="C398" s="15">
        <v>45406</v>
      </c>
      <c r="D398" s="3" t="s">
        <v>21</v>
      </c>
      <c r="E398" s="4" t="s">
        <v>14</v>
      </c>
      <c r="F398" s="4" t="s">
        <v>1582</v>
      </c>
      <c r="G398" s="147" t="s">
        <v>1217</v>
      </c>
      <c r="H398" s="4" t="s">
        <v>125</v>
      </c>
      <c r="I398" s="9" t="s">
        <v>1584</v>
      </c>
      <c r="J398" s="13"/>
      <c r="K398" s="204" t="s">
        <v>1133</v>
      </c>
      <c r="L398" s="6" t="s">
        <v>15</v>
      </c>
      <c r="M398" s="96">
        <v>500000</v>
      </c>
      <c r="N398" s="45" t="s">
        <v>1569</v>
      </c>
    </row>
    <row r="399" spans="1:14">
      <c r="A399" s="123">
        <v>17</v>
      </c>
      <c r="B399" s="993"/>
      <c r="C399" s="15" t="s">
        <v>1652</v>
      </c>
      <c r="D399" s="3" t="s">
        <v>1648</v>
      </c>
      <c r="E399" s="4" t="s">
        <v>14</v>
      </c>
      <c r="F399" s="3" t="s">
        <v>1649</v>
      </c>
      <c r="G399" s="3" t="s">
        <v>745</v>
      </c>
      <c r="H399" s="3" t="s">
        <v>115</v>
      </c>
      <c r="I399" s="9" t="s">
        <v>1650</v>
      </c>
      <c r="J399" s="13" t="s">
        <v>1590</v>
      </c>
      <c r="K399" s="221" t="s">
        <v>221</v>
      </c>
      <c r="L399" s="6" t="s">
        <v>15</v>
      </c>
      <c r="M399" s="96">
        <v>250000</v>
      </c>
      <c r="N399" s="45" t="s">
        <v>1651</v>
      </c>
    </row>
    <row r="400" spans="1:14" ht="27">
      <c r="A400" s="123">
        <v>17</v>
      </c>
      <c r="B400" s="993"/>
      <c r="C400" s="15" t="s">
        <v>1585</v>
      </c>
      <c r="D400" s="3" t="s">
        <v>138</v>
      </c>
      <c r="E400" s="4" t="s">
        <v>17</v>
      </c>
      <c r="F400" s="3" t="s">
        <v>623</v>
      </c>
      <c r="G400" s="3" t="s">
        <v>1123</v>
      </c>
      <c r="H400" s="3" t="s">
        <v>102</v>
      </c>
      <c r="I400" s="9" t="s">
        <v>1565</v>
      </c>
      <c r="J400" s="13"/>
      <c r="K400" s="209" t="s">
        <v>1653</v>
      </c>
      <c r="L400" s="6" t="s">
        <v>15</v>
      </c>
      <c r="M400" s="96">
        <v>500000</v>
      </c>
      <c r="N400" s="45" t="s">
        <v>1583</v>
      </c>
    </row>
    <row r="401" spans="1:14">
      <c r="A401" s="123">
        <v>17</v>
      </c>
      <c r="B401" s="993"/>
      <c r="C401" s="15" t="s">
        <v>1585</v>
      </c>
      <c r="D401" s="3" t="s">
        <v>21</v>
      </c>
      <c r="E401" s="4" t="s">
        <v>14</v>
      </c>
      <c r="F401" s="4" t="s">
        <v>1582</v>
      </c>
      <c r="G401" s="147" t="s">
        <v>1217</v>
      </c>
      <c r="H401" s="4" t="s">
        <v>279</v>
      </c>
      <c r="I401" s="9" t="s">
        <v>1584</v>
      </c>
      <c r="J401" s="13"/>
      <c r="K401" s="204" t="s">
        <v>1133</v>
      </c>
      <c r="L401" s="6" t="s">
        <v>15</v>
      </c>
      <c r="M401" s="96">
        <v>500000</v>
      </c>
      <c r="N401" s="45" t="s">
        <v>1569</v>
      </c>
    </row>
    <row r="402" spans="1:14">
      <c r="A402" s="123">
        <v>17</v>
      </c>
      <c r="B402" s="994"/>
      <c r="C402" s="15" t="s">
        <v>1903</v>
      </c>
      <c r="D402" s="3" t="s">
        <v>138</v>
      </c>
      <c r="E402" s="4" t="s">
        <v>14</v>
      </c>
      <c r="F402" s="4" t="s">
        <v>107</v>
      </c>
      <c r="G402" s="3" t="s">
        <v>270</v>
      </c>
      <c r="H402" s="3" t="s">
        <v>1391</v>
      </c>
      <c r="I402" s="9" t="s">
        <v>1575</v>
      </c>
      <c r="J402" s="13" t="s">
        <v>90</v>
      </c>
      <c r="K402" s="235" t="s">
        <v>686</v>
      </c>
      <c r="L402" s="6" t="s">
        <v>15</v>
      </c>
      <c r="M402" s="96">
        <v>250000</v>
      </c>
      <c r="N402" s="45" t="s">
        <v>1581</v>
      </c>
    </row>
    <row r="403" spans="1:14" ht="16.5" customHeight="1">
      <c r="A403" s="123">
        <v>18</v>
      </c>
      <c r="B403" s="978" t="s">
        <v>1782</v>
      </c>
      <c r="C403" s="226" t="s">
        <v>1748</v>
      </c>
      <c r="D403" s="997" t="s">
        <v>306</v>
      </c>
      <c r="E403" s="997" t="s">
        <v>322</v>
      </c>
      <c r="F403" s="997" t="s">
        <v>307</v>
      </c>
      <c r="G403" s="999">
        <v>3306</v>
      </c>
      <c r="H403" s="997" t="s">
        <v>1153</v>
      </c>
      <c r="I403" s="999" t="s">
        <v>1749</v>
      </c>
      <c r="J403" s="997" t="s">
        <v>664</v>
      </c>
      <c r="K403" s="1001" t="s">
        <v>1288</v>
      </c>
      <c r="L403" s="997" t="s">
        <v>324</v>
      </c>
      <c r="M403" s="995" t="s">
        <v>1750</v>
      </c>
      <c r="N403" s="997" t="s">
        <v>665</v>
      </c>
    </row>
    <row r="404" spans="1:14">
      <c r="A404" s="123">
        <v>18</v>
      </c>
      <c r="B404" s="979"/>
      <c r="C404" s="226" t="s">
        <v>1751</v>
      </c>
      <c r="D404" s="998"/>
      <c r="E404" s="998"/>
      <c r="F404" s="998"/>
      <c r="G404" s="1000"/>
      <c r="H404" s="998"/>
      <c r="I404" s="1000"/>
      <c r="J404" s="998"/>
      <c r="K404" s="1002"/>
      <c r="L404" s="998"/>
      <c r="M404" s="996"/>
      <c r="N404" s="998"/>
    </row>
    <row r="405" spans="1:14" ht="22.5">
      <c r="A405" s="123">
        <v>18</v>
      </c>
      <c r="B405" s="979"/>
      <c r="C405" s="226" t="s">
        <v>1752</v>
      </c>
      <c r="D405" s="226" t="s">
        <v>306</v>
      </c>
      <c r="E405" s="226" t="s">
        <v>322</v>
      </c>
      <c r="F405" s="226" t="s">
        <v>307</v>
      </c>
      <c r="G405" s="227">
        <v>3306</v>
      </c>
      <c r="H405" s="226" t="s">
        <v>1153</v>
      </c>
      <c r="I405" s="227" t="s">
        <v>1753</v>
      </c>
      <c r="J405" s="226" t="s">
        <v>664</v>
      </c>
      <c r="K405" s="226" t="s">
        <v>698</v>
      </c>
      <c r="L405" s="226" t="s">
        <v>324</v>
      </c>
      <c r="M405" s="487" t="s">
        <v>1754</v>
      </c>
      <c r="N405" s="226"/>
    </row>
    <row r="406" spans="1:14" ht="16.5" customHeight="1">
      <c r="A406" s="123">
        <v>18</v>
      </c>
      <c r="B406" s="979"/>
      <c r="C406" s="226" t="s">
        <v>1755</v>
      </c>
      <c r="D406" s="997" t="s">
        <v>306</v>
      </c>
      <c r="E406" s="997" t="s">
        <v>322</v>
      </c>
      <c r="F406" s="997" t="s">
        <v>307</v>
      </c>
      <c r="G406" s="999" t="s">
        <v>1756</v>
      </c>
      <c r="H406" s="997" t="s">
        <v>347</v>
      </c>
      <c r="I406" s="999" t="s">
        <v>1154</v>
      </c>
      <c r="J406" s="997" t="s">
        <v>664</v>
      </c>
      <c r="K406" s="997" t="s">
        <v>1757</v>
      </c>
      <c r="L406" s="997" t="s">
        <v>324</v>
      </c>
      <c r="M406" s="995" t="s">
        <v>1758</v>
      </c>
      <c r="N406" s="997" t="s">
        <v>665</v>
      </c>
    </row>
    <row r="407" spans="1:14">
      <c r="A407" s="123">
        <v>18</v>
      </c>
      <c r="B407" s="979"/>
      <c r="C407" s="226" t="s">
        <v>1759</v>
      </c>
      <c r="D407" s="998"/>
      <c r="E407" s="998"/>
      <c r="F407" s="998"/>
      <c r="G407" s="1000"/>
      <c r="H407" s="998"/>
      <c r="I407" s="1000"/>
      <c r="J407" s="998"/>
      <c r="K407" s="998"/>
      <c r="L407" s="998"/>
      <c r="M407" s="996"/>
      <c r="N407" s="998"/>
    </row>
    <row r="408" spans="1:14" ht="16.5" customHeight="1">
      <c r="A408" s="123">
        <v>18</v>
      </c>
      <c r="B408" s="979"/>
      <c r="C408" s="228" t="s">
        <v>1760</v>
      </c>
      <c r="D408" s="997" t="s">
        <v>306</v>
      </c>
      <c r="E408" s="997" t="s">
        <v>322</v>
      </c>
      <c r="F408" s="997" t="s">
        <v>307</v>
      </c>
      <c r="G408" s="999" t="s">
        <v>1761</v>
      </c>
      <c r="H408" s="997" t="s">
        <v>329</v>
      </c>
      <c r="I408" s="999" t="s">
        <v>1762</v>
      </c>
      <c r="J408" s="997" t="s">
        <v>664</v>
      </c>
      <c r="K408" s="997" t="s">
        <v>1763</v>
      </c>
      <c r="L408" s="997" t="s">
        <v>324</v>
      </c>
      <c r="M408" s="995" t="s">
        <v>1764</v>
      </c>
      <c r="N408" s="997" t="s">
        <v>1765</v>
      </c>
    </row>
    <row r="409" spans="1:14">
      <c r="A409" s="123">
        <v>18</v>
      </c>
      <c r="B409" s="980"/>
      <c r="C409" s="226" t="s">
        <v>1766</v>
      </c>
      <c r="D409" s="998"/>
      <c r="E409" s="998"/>
      <c r="F409" s="998"/>
      <c r="G409" s="1000"/>
      <c r="H409" s="998"/>
      <c r="I409" s="1000"/>
      <c r="J409" s="998"/>
      <c r="K409" s="998"/>
      <c r="L409" s="998"/>
      <c r="M409" s="996"/>
      <c r="N409" s="998"/>
    </row>
    <row r="410" spans="1:14" ht="16.5" customHeight="1">
      <c r="A410" s="123">
        <v>18</v>
      </c>
      <c r="B410" s="978" t="s">
        <v>253</v>
      </c>
      <c r="C410" s="1079" t="s">
        <v>1767</v>
      </c>
      <c r="D410" s="997" t="s">
        <v>311</v>
      </c>
      <c r="E410" s="997" t="s">
        <v>320</v>
      </c>
      <c r="F410" s="997" t="s">
        <v>709</v>
      </c>
      <c r="G410" s="997" t="s">
        <v>1768</v>
      </c>
      <c r="H410" s="1079" t="s">
        <v>1769</v>
      </c>
      <c r="I410" s="227" t="s">
        <v>1770</v>
      </c>
      <c r="J410" s="997"/>
      <c r="K410" s="1081" t="s">
        <v>1771</v>
      </c>
      <c r="L410" s="997" t="s">
        <v>309</v>
      </c>
      <c r="M410" s="995" t="s">
        <v>1764</v>
      </c>
      <c r="N410" s="997" t="s">
        <v>1772</v>
      </c>
    </row>
    <row r="411" spans="1:14">
      <c r="A411" s="123">
        <v>18</v>
      </c>
      <c r="B411" s="979"/>
      <c r="C411" s="1080"/>
      <c r="D411" s="998"/>
      <c r="E411" s="998"/>
      <c r="F411" s="998"/>
      <c r="G411" s="998"/>
      <c r="H411" s="1080"/>
      <c r="I411" s="227" t="s">
        <v>1773</v>
      </c>
      <c r="J411" s="998"/>
      <c r="K411" s="1082"/>
      <c r="L411" s="998"/>
      <c r="M411" s="996"/>
      <c r="N411" s="998"/>
    </row>
    <row r="412" spans="1:14" ht="22.5">
      <c r="A412" s="123">
        <v>18</v>
      </c>
      <c r="B412" s="979"/>
      <c r="C412" s="228" t="s">
        <v>1774</v>
      </c>
      <c r="D412" s="228" t="s">
        <v>311</v>
      </c>
      <c r="E412" s="226" t="s">
        <v>320</v>
      </c>
      <c r="F412" s="226" t="s">
        <v>409</v>
      </c>
      <c r="G412" s="227" t="s">
        <v>1412</v>
      </c>
      <c r="H412" s="226" t="s">
        <v>347</v>
      </c>
      <c r="I412" s="227" t="s">
        <v>1580</v>
      </c>
      <c r="J412" s="226"/>
      <c r="K412" s="234" t="s">
        <v>328</v>
      </c>
      <c r="L412" s="226" t="s">
        <v>309</v>
      </c>
      <c r="M412" s="487" t="s">
        <v>1764</v>
      </c>
      <c r="N412" s="226" t="s">
        <v>1775</v>
      </c>
    </row>
    <row r="413" spans="1:14" ht="16.5" customHeight="1">
      <c r="A413" s="123">
        <v>18</v>
      </c>
      <c r="B413" s="979"/>
      <c r="C413" s="1079" t="s">
        <v>1776</v>
      </c>
      <c r="D413" s="1079" t="s">
        <v>700</v>
      </c>
      <c r="E413" s="997" t="s">
        <v>675</v>
      </c>
      <c r="F413" s="1079" t="s">
        <v>1777</v>
      </c>
      <c r="G413" s="1079" t="s">
        <v>1778</v>
      </c>
      <c r="H413" s="1079" t="s">
        <v>662</v>
      </c>
      <c r="I413" s="227" t="s">
        <v>1779</v>
      </c>
      <c r="J413" s="997" t="s">
        <v>638</v>
      </c>
      <c r="K413" s="997" t="s">
        <v>731</v>
      </c>
      <c r="L413" s="997" t="s">
        <v>309</v>
      </c>
      <c r="M413" s="995" t="s">
        <v>1780</v>
      </c>
      <c r="N413" s="997" t="s">
        <v>1781</v>
      </c>
    </row>
    <row r="414" spans="1:14">
      <c r="A414" s="123">
        <v>18</v>
      </c>
      <c r="B414" s="980"/>
      <c r="C414" s="1080"/>
      <c r="D414" s="1080"/>
      <c r="E414" s="998"/>
      <c r="F414" s="1080"/>
      <c r="G414" s="1080"/>
      <c r="H414" s="1080"/>
      <c r="I414" s="26"/>
      <c r="J414" s="998"/>
      <c r="K414" s="998"/>
      <c r="L414" s="998"/>
      <c r="M414" s="996"/>
      <c r="N414" s="998"/>
    </row>
    <row r="415" spans="1:14" ht="16.5" customHeight="1">
      <c r="A415" s="123">
        <v>19</v>
      </c>
      <c r="B415" s="978" t="s">
        <v>20</v>
      </c>
      <c r="C415" s="148" t="s">
        <v>1794</v>
      </c>
      <c r="D415" s="1003" t="s">
        <v>306</v>
      </c>
      <c r="E415" s="1003" t="s">
        <v>322</v>
      </c>
      <c r="F415" s="1003" t="s">
        <v>307</v>
      </c>
      <c r="G415" s="1008" t="s">
        <v>1796</v>
      </c>
      <c r="H415" s="1003" t="s">
        <v>1797</v>
      </c>
      <c r="I415" s="1008" t="s">
        <v>1792</v>
      </c>
      <c r="J415" s="1003" t="s">
        <v>664</v>
      </c>
      <c r="K415" s="148" t="s">
        <v>1520</v>
      </c>
      <c r="L415" s="1003" t="s">
        <v>324</v>
      </c>
      <c r="M415" s="1012" t="s">
        <v>1799</v>
      </c>
      <c r="N415" s="1003" t="s">
        <v>665</v>
      </c>
    </row>
    <row r="416" spans="1:14">
      <c r="A416" s="123">
        <v>19</v>
      </c>
      <c r="B416" s="979"/>
      <c r="C416" s="148" t="s">
        <v>1795</v>
      </c>
      <c r="D416" s="1004"/>
      <c r="E416" s="1004"/>
      <c r="F416" s="1004"/>
      <c r="G416" s="1009"/>
      <c r="H416" s="1004"/>
      <c r="I416" s="1009"/>
      <c r="J416" s="1004"/>
      <c r="K416" s="148" t="s">
        <v>1798</v>
      </c>
      <c r="L416" s="1004"/>
      <c r="M416" s="1013"/>
      <c r="N416" s="1004"/>
    </row>
    <row r="417" spans="1:14">
      <c r="A417" s="123">
        <v>19</v>
      </c>
      <c r="B417" s="979"/>
      <c r="C417" s="148" t="s">
        <v>1800</v>
      </c>
      <c r="D417" s="1003" t="s">
        <v>306</v>
      </c>
      <c r="E417" s="1003" t="s">
        <v>322</v>
      </c>
      <c r="F417" s="1003" t="s">
        <v>307</v>
      </c>
      <c r="G417" s="1008" t="s">
        <v>1801</v>
      </c>
      <c r="H417" s="1003" t="s">
        <v>1802</v>
      </c>
      <c r="I417" s="1008" t="s">
        <v>1803</v>
      </c>
      <c r="J417" s="1003" t="s">
        <v>664</v>
      </c>
      <c r="K417" s="1018" t="s">
        <v>1155</v>
      </c>
      <c r="L417" s="1003" t="s">
        <v>324</v>
      </c>
      <c r="M417" s="1012" t="s">
        <v>1804</v>
      </c>
      <c r="N417" s="1003" t="s">
        <v>665</v>
      </c>
    </row>
    <row r="418" spans="1:14">
      <c r="A418" s="123">
        <v>19</v>
      </c>
      <c r="B418" s="980"/>
      <c r="C418" s="148" t="s">
        <v>1795</v>
      </c>
      <c r="D418" s="1004"/>
      <c r="E418" s="1004"/>
      <c r="F418" s="1004"/>
      <c r="G418" s="1009"/>
      <c r="H418" s="1004"/>
      <c r="I418" s="1009"/>
      <c r="J418" s="1004"/>
      <c r="K418" s="1019"/>
      <c r="L418" s="1004"/>
      <c r="M418" s="1013"/>
      <c r="N418" s="1004"/>
    </row>
    <row r="419" spans="1:14" ht="16.5" customHeight="1">
      <c r="A419" s="123">
        <v>19</v>
      </c>
      <c r="B419" s="978" t="s">
        <v>21</v>
      </c>
      <c r="C419" s="1033" t="s">
        <v>1805</v>
      </c>
      <c r="D419" s="1033" t="s">
        <v>700</v>
      </c>
      <c r="E419" s="1003" t="s">
        <v>675</v>
      </c>
      <c r="F419" s="1033" t="s">
        <v>1806</v>
      </c>
      <c r="G419" s="1033" t="s">
        <v>1807</v>
      </c>
      <c r="H419" s="1033" t="s">
        <v>662</v>
      </c>
      <c r="I419" s="1008" t="s">
        <v>1808</v>
      </c>
      <c r="J419" s="1003"/>
      <c r="K419" s="1083" t="s">
        <v>1809</v>
      </c>
      <c r="L419" s="1003" t="s">
        <v>309</v>
      </c>
      <c r="M419" s="1012" t="s">
        <v>1810</v>
      </c>
      <c r="N419" s="149" t="s">
        <v>1811</v>
      </c>
    </row>
    <row r="420" spans="1:14">
      <c r="A420" s="123">
        <v>19</v>
      </c>
      <c r="B420" s="979"/>
      <c r="C420" s="1035"/>
      <c r="D420" s="1035"/>
      <c r="E420" s="1004"/>
      <c r="F420" s="1035"/>
      <c r="G420" s="1035"/>
      <c r="H420" s="1035"/>
      <c r="I420" s="1009"/>
      <c r="J420" s="1004"/>
      <c r="K420" s="1084"/>
      <c r="L420" s="1004"/>
      <c r="M420" s="1013"/>
      <c r="N420" s="149" t="s">
        <v>1812</v>
      </c>
    </row>
    <row r="421" spans="1:14">
      <c r="A421" s="123">
        <v>19</v>
      </c>
      <c r="B421" s="979"/>
      <c r="C421" s="1085" t="s">
        <v>1813</v>
      </c>
      <c r="D421" s="1033" t="s">
        <v>700</v>
      </c>
      <c r="E421" s="1003" t="s">
        <v>320</v>
      </c>
      <c r="F421" s="1003" t="s">
        <v>337</v>
      </c>
      <c r="G421" s="1033" t="s">
        <v>353</v>
      </c>
      <c r="H421" s="1033" t="s">
        <v>1814</v>
      </c>
      <c r="I421" s="1008" t="s">
        <v>1815</v>
      </c>
      <c r="J421" s="1003" t="s">
        <v>638</v>
      </c>
      <c r="K421" s="1087" t="s">
        <v>692</v>
      </c>
      <c r="L421" s="1003" t="s">
        <v>309</v>
      </c>
      <c r="M421" s="1012" t="s">
        <v>1816</v>
      </c>
      <c r="N421" s="148" t="s">
        <v>1817</v>
      </c>
    </row>
    <row r="422" spans="1:14">
      <c r="A422" s="123">
        <v>19</v>
      </c>
      <c r="B422" s="979"/>
      <c r="C422" s="1086"/>
      <c r="D422" s="1035"/>
      <c r="E422" s="1004"/>
      <c r="F422" s="1004"/>
      <c r="G422" s="1035"/>
      <c r="H422" s="1035"/>
      <c r="I422" s="1009"/>
      <c r="J422" s="1004"/>
      <c r="K422" s="1088"/>
      <c r="L422" s="1004"/>
      <c r="M422" s="1013"/>
      <c r="N422" s="148" t="s">
        <v>1818</v>
      </c>
    </row>
    <row r="423" spans="1:14">
      <c r="A423" s="123">
        <v>19</v>
      </c>
      <c r="B423" s="979"/>
      <c r="C423" s="110" t="s">
        <v>1819</v>
      </c>
      <c r="D423" s="110" t="s">
        <v>700</v>
      </c>
      <c r="E423" s="148" t="s">
        <v>320</v>
      </c>
      <c r="F423" s="148" t="s">
        <v>337</v>
      </c>
      <c r="G423" s="110" t="s">
        <v>353</v>
      </c>
      <c r="H423" s="110" t="s">
        <v>1814</v>
      </c>
      <c r="I423" s="149" t="s">
        <v>1815</v>
      </c>
      <c r="J423" s="148" t="s">
        <v>638</v>
      </c>
      <c r="K423" s="236" t="s">
        <v>713</v>
      </c>
      <c r="L423" s="148" t="s">
        <v>309</v>
      </c>
      <c r="M423" s="485" t="s">
        <v>1810</v>
      </c>
      <c r="N423" s="148" t="s">
        <v>1817</v>
      </c>
    </row>
    <row r="424" spans="1:14">
      <c r="A424" s="123">
        <v>19</v>
      </c>
      <c r="B424" s="979"/>
      <c r="C424" s="1033" t="s">
        <v>1820</v>
      </c>
      <c r="D424" s="1033" t="s">
        <v>700</v>
      </c>
      <c r="E424" s="1003" t="s">
        <v>320</v>
      </c>
      <c r="F424" s="1003" t="s">
        <v>709</v>
      </c>
      <c r="G424" s="1003" t="s">
        <v>1768</v>
      </c>
      <c r="H424" s="1033" t="s">
        <v>1821</v>
      </c>
      <c r="I424" s="149" t="s">
        <v>1822</v>
      </c>
      <c r="J424" s="1003" t="s">
        <v>638</v>
      </c>
      <c r="K424" s="1003" t="s">
        <v>692</v>
      </c>
      <c r="L424" s="1003" t="s">
        <v>309</v>
      </c>
      <c r="M424" s="1012" t="s">
        <v>1535</v>
      </c>
      <c r="N424" s="1008" t="s">
        <v>1824</v>
      </c>
    </row>
    <row r="425" spans="1:14">
      <c r="A425" s="123">
        <v>19</v>
      </c>
      <c r="B425" s="979"/>
      <c r="C425" s="1035"/>
      <c r="D425" s="1035"/>
      <c r="E425" s="1004"/>
      <c r="F425" s="1004"/>
      <c r="G425" s="1004"/>
      <c r="H425" s="1035"/>
      <c r="I425" s="149" t="s">
        <v>1823</v>
      </c>
      <c r="J425" s="1004"/>
      <c r="K425" s="1004"/>
      <c r="L425" s="1004"/>
      <c r="M425" s="1013"/>
      <c r="N425" s="1009"/>
    </row>
    <row r="426" spans="1:14">
      <c r="A426" s="123">
        <v>19</v>
      </c>
      <c r="B426" s="980"/>
      <c r="C426" s="110" t="s">
        <v>1820</v>
      </c>
      <c r="D426" s="148" t="s">
        <v>311</v>
      </c>
      <c r="E426" s="148" t="s">
        <v>320</v>
      </c>
      <c r="F426" s="148" t="s">
        <v>1825</v>
      </c>
      <c r="G426" s="148" t="s">
        <v>1826</v>
      </c>
      <c r="H426" s="110" t="s">
        <v>662</v>
      </c>
      <c r="I426" s="149" t="s">
        <v>1827</v>
      </c>
      <c r="J426" s="148"/>
      <c r="K426" s="240" t="s">
        <v>1102</v>
      </c>
      <c r="L426" s="148" t="s">
        <v>309</v>
      </c>
      <c r="M426" s="485" t="s">
        <v>1828</v>
      </c>
      <c r="N426" s="148" t="s">
        <v>1206</v>
      </c>
    </row>
    <row r="427" spans="1:14">
      <c r="A427" s="123">
        <v>20</v>
      </c>
      <c r="B427" s="978" t="s">
        <v>1846</v>
      </c>
      <c r="C427" s="92" t="s">
        <v>1831</v>
      </c>
      <c r="D427" s="125" t="s">
        <v>306</v>
      </c>
      <c r="E427" s="125" t="s">
        <v>322</v>
      </c>
      <c r="F427" s="125" t="s">
        <v>307</v>
      </c>
      <c r="G427" s="193" t="s">
        <v>1504</v>
      </c>
      <c r="H427" s="125" t="s">
        <v>361</v>
      </c>
      <c r="I427" s="193" t="s">
        <v>1122</v>
      </c>
      <c r="J427" s="125" t="s">
        <v>664</v>
      </c>
      <c r="K427" s="4" t="s">
        <v>1833</v>
      </c>
      <c r="L427" s="125" t="s">
        <v>324</v>
      </c>
      <c r="M427" s="96">
        <v>250000</v>
      </c>
      <c r="N427" s="125" t="s">
        <v>121</v>
      </c>
    </row>
    <row r="428" spans="1:14">
      <c r="A428" s="123">
        <v>20</v>
      </c>
      <c r="B428" s="979"/>
      <c r="C428" s="92" t="s">
        <v>1832</v>
      </c>
      <c r="D428" s="125" t="s">
        <v>306</v>
      </c>
      <c r="E428" s="125" t="s">
        <v>322</v>
      </c>
      <c r="F428" s="125" t="s">
        <v>307</v>
      </c>
      <c r="G428" s="193">
        <v>3306</v>
      </c>
      <c r="H428" s="125" t="s">
        <v>811</v>
      </c>
      <c r="I428" s="193" t="s">
        <v>1836</v>
      </c>
      <c r="J428" s="125" t="s">
        <v>664</v>
      </c>
      <c r="K428" s="4" t="s">
        <v>1833</v>
      </c>
      <c r="L428" s="57" t="s">
        <v>209</v>
      </c>
      <c r="M428" s="96">
        <v>250000</v>
      </c>
      <c r="N428" s="45" t="s">
        <v>121</v>
      </c>
    </row>
    <row r="429" spans="1:14" ht="27">
      <c r="A429" s="123">
        <v>20</v>
      </c>
      <c r="B429" s="979"/>
      <c r="C429" s="92" t="s">
        <v>1790</v>
      </c>
      <c r="D429" s="4" t="s">
        <v>19</v>
      </c>
      <c r="E429" s="4" t="s">
        <v>25</v>
      </c>
      <c r="F429" s="4" t="s">
        <v>20</v>
      </c>
      <c r="G429" s="193" t="s">
        <v>1504</v>
      </c>
      <c r="H429" s="125" t="s">
        <v>331</v>
      </c>
      <c r="I429" s="193" t="s">
        <v>1122</v>
      </c>
      <c r="J429" s="125" t="s">
        <v>664</v>
      </c>
      <c r="K429" s="4" t="s">
        <v>1655</v>
      </c>
      <c r="L429" s="57" t="s">
        <v>209</v>
      </c>
      <c r="M429" s="96">
        <v>500000</v>
      </c>
      <c r="N429" s="45" t="s">
        <v>121</v>
      </c>
    </row>
    <row r="430" spans="1:14">
      <c r="A430" s="123">
        <v>20</v>
      </c>
      <c r="B430" s="979"/>
      <c r="C430" s="92" t="s">
        <v>1831</v>
      </c>
      <c r="D430" s="125" t="s">
        <v>306</v>
      </c>
      <c r="E430" s="125" t="s">
        <v>322</v>
      </c>
      <c r="F430" s="125" t="s">
        <v>307</v>
      </c>
      <c r="G430" s="193" t="s">
        <v>1645</v>
      </c>
      <c r="H430" s="125" t="s">
        <v>23</v>
      </c>
      <c r="I430" s="193" t="s">
        <v>1835</v>
      </c>
      <c r="J430" s="125" t="s">
        <v>94</v>
      </c>
      <c r="K430" s="183" t="s">
        <v>1745</v>
      </c>
      <c r="L430" s="125" t="s">
        <v>324</v>
      </c>
      <c r="M430" s="96">
        <v>1000000</v>
      </c>
      <c r="N430" s="125" t="s">
        <v>247</v>
      </c>
    </row>
    <row r="431" spans="1:14" ht="27">
      <c r="A431" s="123">
        <v>20</v>
      </c>
      <c r="B431" s="980"/>
      <c r="C431" s="92" t="s">
        <v>1790</v>
      </c>
      <c r="D431" s="4" t="s">
        <v>19</v>
      </c>
      <c r="E431" s="4" t="s">
        <v>25</v>
      </c>
      <c r="F431" s="4" t="s">
        <v>20</v>
      </c>
      <c r="G431" s="193" t="s">
        <v>1379</v>
      </c>
      <c r="H431" s="125" t="s">
        <v>102</v>
      </c>
      <c r="I431" s="193" t="s">
        <v>1834</v>
      </c>
      <c r="J431" s="125" t="s">
        <v>94</v>
      </c>
      <c r="K431" s="183" t="s">
        <v>1587</v>
      </c>
      <c r="L431" s="57" t="s">
        <v>209</v>
      </c>
      <c r="M431" s="96">
        <v>500000</v>
      </c>
      <c r="N431" s="125" t="s">
        <v>247</v>
      </c>
    </row>
    <row r="432" spans="1:14" ht="27">
      <c r="A432" s="123">
        <v>20</v>
      </c>
      <c r="B432" s="978" t="s">
        <v>21</v>
      </c>
      <c r="C432" s="92" t="s">
        <v>1789</v>
      </c>
      <c r="D432" s="3" t="s">
        <v>21</v>
      </c>
      <c r="E432" s="4" t="s">
        <v>17</v>
      </c>
      <c r="F432" s="4" t="s">
        <v>1788</v>
      </c>
      <c r="G432" s="16" t="s">
        <v>1037</v>
      </c>
      <c r="H432" s="3" t="s">
        <v>28</v>
      </c>
      <c r="I432" s="9" t="s">
        <v>1791</v>
      </c>
      <c r="J432" s="13" t="s">
        <v>90</v>
      </c>
      <c r="K432" s="235" t="s">
        <v>641</v>
      </c>
      <c r="L432" s="6"/>
      <c r="M432" s="96">
        <v>500000</v>
      </c>
      <c r="N432" s="229" t="s">
        <v>1793</v>
      </c>
    </row>
    <row r="433" spans="1:14" ht="27">
      <c r="A433" s="231">
        <v>20</v>
      </c>
      <c r="B433" s="980"/>
      <c r="C433" s="92" t="s">
        <v>1829</v>
      </c>
      <c r="D433" s="3" t="s">
        <v>21</v>
      </c>
      <c r="E433" s="4" t="s">
        <v>14</v>
      </c>
      <c r="F433" s="3" t="s">
        <v>1787</v>
      </c>
      <c r="G433" s="3" t="s">
        <v>851</v>
      </c>
      <c r="H433" s="3" t="s">
        <v>102</v>
      </c>
      <c r="I433" s="9" t="s">
        <v>1830</v>
      </c>
      <c r="J433" s="13" t="s">
        <v>90</v>
      </c>
      <c r="K433" s="4" t="s">
        <v>68</v>
      </c>
      <c r="L433" s="6"/>
      <c r="M433" s="96">
        <v>300000</v>
      </c>
      <c r="N433" s="229" t="s">
        <v>1192</v>
      </c>
    </row>
    <row r="434" spans="1:14" ht="27">
      <c r="A434" s="123">
        <v>21</v>
      </c>
      <c r="B434" s="978" t="s">
        <v>20</v>
      </c>
      <c r="C434" s="122" t="s">
        <v>1854</v>
      </c>
      <c r="D434" s="202" t="s">
        <v>306</v>
      </c>
      <c r="E434" s="202" t="s">
        <v>322</v>
      </c>
      <c r="F434" s="202" t="s">
        <v>307</v>
      </c>
      <c r="G434" s="203">
        <v>3306</v>
      </c>
      <c r="H434" s="202" t="s">
        <v>811</v>
      </c>
      <c r="I434" s="203" t="s">
        <v>1855</v>
      </c>
      <c r="J434" s="202" t="s">
        <v>168</v>
      </c>
      <c r="K434" s="170" t="s">
        <v>1135</v>
      </c>
      <c r="L434" s="202" t="s">
        <v>324</v>
      </c>
      <c r="M434" s="96">
        <v>1000000</v>
      </c>
      <c r="N434" s="202" t="s">
        <v>121</v>
      </c>
    </row>
    <row r="435" spans="1:14" ht="27">
      <c r="A435" s="123">
        <v>21</v>
      </c>
      <c r="B435" s="979"/>
      <c r="C435" s="122" t="s">
        <v>1856</v>
      </c>
      <c r="D435" s="202" t="s">
        <v>306</v>
      </c>
      <c r="E435" s="202" t="s">
        <v>322</v>
      </c>
      <c r="F435" s="202" t="s">
        <v>307</v>
      </c>
      <c r="G435" s="203" t="s">
        <v>1504</v>
      </c>
      <c r="H435" s="202" t="s">
        <v>264</v>
      </c>
      <c r="I435" s="203" t="s">
        <v>1852</v>
      </c>
      <c r="J435" s="202" t="s">
        <v>168</v>
      </c>
      <c r="K435" s="4" t="s">
        <v>1655</v>
      </c>
      <c r="L435" s="202" t="s">
        <v>324</v>
      </c>
      <c r="M435" s="96">
        <v>500000</v>
      </c>
      <c r="N435" s="202" t="s">
        <v>121</v>
      </c>
    </row>
    <row r="436" spans="1:14">
      <c r="A436" s="123">
        <v>21</v>
      </c>
      <c r="B436" s="979"/>
      <c r="C436" s="122">
        <v>45434</v>
      </c>
      <c r="D436" s="202" t="s">
        <v>306</v>
      </c>
      <c r="E436" s="202" t="s">
        <v>322</v>
      </c>
      <c r="F436" s="202" t="s">
        <v>307</v>
      </c>
      <c r="G436" s="203" t="s">
        <v>1504</v>
      </c>
      <c r="H436" s="202" t="s">
        <v>361</v>
      </c>
      <c r="I436" s="203" t="s">
        <v>1853</v>
      </c>
      <c r="J436" s="202" t="s">
        <v>168</v>
      </c>
      <c r="K436" s="4" t="s">
        <v>1833</v>
      </c>
      <c r="L436" s="202" t="s">
        <v>324</v>
      </c>
      <c r="M436" s="96">
        <v>250000</v>
      </c>
      <c r="N436" s="202" t="s">
        <v>121</v>
      </c>
    </row>
    <row r="437" spans="1:14" ht="27">
      <c r="A437" s="123">
        <v>21</v>
      </c>
      <c r="B437" s="979"/>
      <c r="C437" s="122" t="s">
        <v>1851</v>
      </c>
      <c r="D437" s="202" t="s">
        <v>306</v>
      </c>
      <c r="E437" s="202" t="s">
        <v>322</v>
      </c>
      <c r="F437" s="202" t="s">
        <v>307</v>
      </c>
      <c r="G437" s="203">
        <v>3306</v>
      </c>
      <c r="H437" s="202" t="s">
        <v>811</v>
      </c>
      <c r="I437" s="203" t="s">
        <v>609</v>
      </c>
      <c r="J437" s="202" t="s">
        <v>168</v>
      </c>
      <c r="K437" s="4" t="s">
        <v>1655</v>
      </c>
      <c r="L437" s="57" t="s">
        <v>209</v>
      </c>
      <c r="M437" s="96">
        <v>500000</v>
      </c>
      <c r="N437" s="45" t="s">
        <v>121</v>
      </c>
    </row>
    <row r="438" spans="1:14" ht="27">
      <c r="A438" s="123">
        <v>21</v>
      </c>
      <c r="B438" s="980"/>
      <c r="C438" s="122" t="s">
        <v>1849</v>
      </c>
      <c r="D438" s="4" t="s">
        <v>19</v>
      </c>
      <c r="E438" s="4" t="s">
        <v>25</v>
      </c>
      <c r="F438" s="4" t="s">
        <v>20</v>
      </c>
      <c r="G438" s="203" t="s">
        <v>1847</v>
      </c>
      <c r="H438" s="202" t="s">
        <v>1848</v>
      </c>
      <c r="I438" s="203" t="s">
        <v>1834</v>
      </c>
      <c r="J438" s="202" t="s">
        <v>94</v>
      </c>
      <c r="K438" s="183" t="s">
        <v>1745</v>
      </c>
      <c r="L438" s="57" t="s">
        <v>209</v>
      </c>
      <c r="M438" s="96">
        <v>1000000</v>
      </c>
      <c r="N438" s="202" t="s">
        <v>247</v>
      </c>
    </row>
    <row r="439" spans="1:14" ht="27">
      <c r="A439" s="123">
        <v>21</v>
      </c>
      <c r="B439" s="978" t="s">
        <v>96</v>
      </c>
      <c r="C439" s="122">
        <v>45433</v>
      </c>
      <c r="D439" s="3" t="s">
        <v>21</v>
      </c>
      <c r="E439" s="4" t="s">
        <v>17</v>
      </c>
      <c r="F439" s="3" t="s">
        <v>78</v>
      </c>
      <c r="G439" s="3" t="s">
        <v>1838</v>
      </c>
      <c r="H439" s="3" t="s">
        <v>23</v>
      </c>
      <c r="I439" s="5" t="s">
        <v>1385</v>
      </c>
      <c r="J439" s="13" t="s">
        <v>90</v>
      </c>
      <c r="K439" s="4" t="s">
        <v>68</v>
      </c>
      <c r="L439" s="84"/>
      <c r="M439" s="96">
        <v>300000</v>
      </c>
      <c r="N439" s="229" t="s">
        <v>1850</v>
      </c>
    </row>
    <row r="440" spans="1:14" ht="27">
      <c r="A440" s="123">
        <v>21</v>
      </c>
      <c r="B440" s="979"/>
      <c r="C440" s="122">
        <v>45434</v>
      </c>
      <c r="D440" s="3" t="s">
        <v>138</v>
      </c>
      <c r="E440" s="4" t="s">
        <v>14</v>
      </c>
      <c r="F440" s="4" t="s">
        <v>1844</v>
      </c>
      <c r="G440" s="3" t="s">
        <v>1845</v>
      </c>
      <c r="H440" s="3" t="s">
        <v>23</v>
      </c>
      <c r="I440" s="5" t="s">
        <v>1841</v>
      </c>
      <c r="J440" s="13" t="s">
        <v>1843</v>
      </c>
      <c r="K440" s="170" t="s">
        <v>111</v>
      </c>
      <c r="L440" s="84"/>
      <c r="M440" s="96">
        <v>250000</v>
      </c>
      <c r="N440" s="229" t="s">
        <v>1192</v>
      </c>
    </row>
    <row r="441" spans="1:14">
      <c r="A441" s="123">
        <v>21</v>
      </c>
      <c r="B441" s="979"/>
      <c r="C441" s="122">
        <v>45435</v>
      </c>
      <c r="D441" s="3" t="s">
        <v>21</v>
      </c>
      <c r="E441" s="4" t="s">
        <v>14</v>
      </c>
      <c r="F441" s="4" t="s">
        <v>26</v>
      </c>
      <c r="G441" s="4">
        <v>7060</v>
      </c>
      <c r="H441" s="3" t="s">
        <v>1840</v>
      </c>
      <c r="I441" s="5" t="s">
        <v>1842</v>
      </c>
      <c r="J441" s="13"/>
      <c r="K441" s="4" t="s">
        <v>68</v>
      </c>
      <c r="L441" s="84"/>
      <c r="M441" s="96">
        <v>300000</v>
      </c>
      <c r="N441" s="229" t="s">
        <v>1793</v>
      </c>
    </row>
    <row r="442" spans="1:14">
      <c r="A442" s="123">
        <v>21</v>
      </c>
      <c r="B442" s="979"/>
      <c r="C442" s="122">
        <v>45437</v>
      </c>
      <c r="D442" s="32" t="s">
        <v>138</v>
      </c>
      <c r="E442" s="10" t="s">
        <v>14</v>
      </c>
      <c r="F442" s="10" t="s">
        <v>107</v>
      </c>
      <c r="G442" s="32" t="s">
        <v>270</v>
      </c>
      <c r="H442" s="32" t="s">
        <v>1391</v>
      </c>
      <c r="I442" s="5" t="s">
        <v>1575</v>
      </c>
      <c r="J442" s="30" t="s">
        <v>90</v>
      </c>
      <c r="K442" s="237" t="s">
        <v>641</v>
      </c>
      <c r="L442" s="230"/>
      <c r="M442" s="470">
        <v>500000</v>
      </c>
      <c r="N442" s="232" t="s">
        <v>1192</v>
      </c>
    </row>
    <row r="443" spans="1:14" s="26" customFormat="1">
      <c r="A443" s="123">
        <v>21</v>
      </c>
      <c r="B443" s="980"/>
      <c r="C443" s="92">
        <v>45437</v>
      </c>
      <c r="D443" s="3" t="s">
        <v>21</v>
      </c>
      <c r="E443" s="4" t="s">
        <v>14</v>
      </c>
      <c r="F443" s="4" t="s">
        <v>107</v>
      </c>
      <c r="G443" s="3" t="s">
        <v>108</v>
      </c>
      <c r="H443" s="3" t="s">
        <v>376</v>
      </c>
      <c r="I443" s="9" t="s">
        <v>1839</v>
      </c>
      <c r="J443" s="13"/>
      <c r="K443" s="9" t="s">
        <v>487</v>
      </c>
      <c r="L443" s="6"/>
      <c r="M443" s="96">
        <v>500000</v>
      </c>
      <c r="N443" s="229" t="s">
        <v>1394</v>
      </c>
    </row>
    <row r="444" spans="1:14">
      <c r="A444" s="123">
        <v>22</v>
      </c>
      <c r="B444" s="978" t="s">
        <v>123</v>
      </c>
      <c r="C444" s="92">
        <v>45439</v>
      </c>
      <c r="D444" s="125" t="s">
        <v>306</v>
      </c>
      <c r="E444" s="125" t="s">
        <v>322</v>
      </c>
      <c r="F444" s="125" t="s">
        <v>307</v>
      </c>
      <c r="G444" s="193" t="s">
        <v>1862</v>
      </c>
      <c r="H444" s="125" t="s">
        <v>279</v>
      </c>
      <c r="I444" s="193" t="s">
        <v>1860</v>
      </c>
      <c r="J444" s="125" t="s">
        <v>168</v>
      </c>
      <c r="K444" s="4" t="s">
        <v>118</v>
      </c>
      <c r="L444" s="57" t="s">
        <v>209</v>
      </c>
      <c r="M444" s="96">
        <v>500000</v>
      </c>
      <c r="N444" s="125" t="s">
        <v>121</v>
      </c>
    </row>
    <row r="445" spans="1:14" ht="27">
      <c r="A445" s="123">
        <v>22</v>
      </c>
      <c r="B445" s="979"/>
      <c r="C445" s="15" t="s">
        <v>1866</v>
      </c>
      <c r="D445" s="125" t="s">
        <v>306</v>
      </c>
      <c r="E445" s="125" t="s">
        <v>322</v>
      </c>
      <c r="F445" s="125" t="s">
        <v>307</v>
      </c>
      <c r="G445" s="238" t="s">
        <v>1862</v>
      </c>
      <c r="H445" s="239" t="s">
        <v>264</v>
      </c>
      <c r="I445" s="193" t="s">
        <v>1248</v>
      </c>
      <c r="J445" s="125" t="s">
        <v>168</v>
      </c>
      <c r="K445" s="4" t="s">
        <v>1655</v>
      </c>
      <c r="L445" s="125" t="s">
        <v>324</v>
      </c>
      <c r="M445" s="96">
        <v>500000</v>
      </c>
      <c r="N445" s="125" t="s">
        <v>121</v>
      </c>
    </row>
    <row r="446" spans="1:14">
      <c r="A446" s="123">
        <v>22</v>
      </c>
      <c r="B446" s="979"/>
      <c r="C446" s="92">
        <v>45441</v>
      </c>
      <c r="D446" s="125" t="s">
        <v>306</v>
      </c>
      <c r="E446" s="125" t="s">
        <v>322</v>
      </c>
      <c r="F446" s="125" t="s">
        <v>307</v>
      </c>
      <c r="G446" s="238" t="s">
        <v>1862</v>
      </c>
      <c r="H446" s="239" t="s">
        <v>264</v>
      </c>
      <c r="I446" s="193" t="s">
        <v>1867</v>
      </c>
      <c r="J446" s="125" t="s">
        <v>168</v>
      </c>
      <c r="K446" s="4" t="s">
        <v>41</v>
      </c>
      <c r="L446" s="125" t="s">
        <v>324</v>
      </c>
      <c r="M446" s="96">
        <v>250000</v>
      </c>
      <c r="N446" s="125" t="s">
        <v>121</v>
      </c>
    </row>
    <row r="447" spans="1:14" ht="27">
      <c r="A447" s="123">
        <v>22</v>
      </c>
      <c r="B447" s="979"/>
      <c r="C447" s="92" t="s">
        <v>1868</v>
      </c>
      <c r="D447" s="125" t="s">
        <v>306</v>
      </c>
      <c r="E447" s="125" t="s">
        <v>322</v>
      </c>
      <c r="F447" s="125" t="s">
        <v>307</v>
      </c>
      <c r="G447" s="193">
        <v>3306</v>
      </c>
      <c r="H447" s="125" t="s">
        <v>1863</v>
      </c>
      <c r="I447" s="193" t="s">
        <v>1865</v>
      </c>
      <c r="J447" s="125" t="s">
        <v>168</v>
      </c>
      <c r="K447" s="4" t="s">
        <v>1869</v>
      </c>
      <c r="L447" s="125" t="s">
        <v>324</v>
      </c>
      <c r="M447" s="96">
        <v>750000</v>
      </c>
      <c r="N447" s="125" t="s">
        <v>121</v>
      </c>
    </row>
    <row r="448" spans="1:14" ht="27">
      <c r="A448" s="123">
        <v>22</v>
      </c>
      <c r="B448" s="980"/>
      <c r="C448" s="92" t="s">
        <v>1861</v>
      </c>
      <c r="D448" s="125" t="s">
        <v>306</v>
      </c>
      <c r="E448" s="125" t="s">
        <v>322</v>
      </c>
      <c r="F448" s="125" t="s">
        <v>307</v>
      </c>
      <c r="G448" s="193" t="s">
        <v>1862</v>
      </c>
      <c r="H448" s="125" t="s">
        <v>461</v>
      </c>
      <c r="I448" s="193" t="s">
        <v>1859</v>
      </c>
      <c r="J448" s="125" t="s">
        <v>468</v>
      </c>
      <c r="K448" s="183" t="s">
        <v>1864</v>
      </c>
      <c r="L448" s="125" t="s">
        <v>324</v>
      </c>
      <c r="M448" s="96">
        <v>1000000</v>
      </c>
      <c r="N448" s="125" t="s">
        <v>247</v>
      </c>
    </row>
    <row r="449" spans="1:14">
      <c r="A449" s="123">
        <v>22</v>
      </c>
      <c r="B449" s="978" t="s">
        <v>96</v>
      </c>
      <c r="C449" s="92">
        <v>45439</v>
      </c>
      <c r="D449" s="3" t="s">
        <v>21</v>
      </c>
      <c r="E449" s="4" t="s">
        <v>14</v>
      </c>
      <c r="F449" s="4" t="s">
        <v>211</v>
      </c>
      <c r="G449" s="4" t="s">
        <v>1028</v>
      </c>
      <c r="H449" s="3" t="s">
        <v>264</v>
      </c>
      <c r="I449" s="9" t="s">
        <v>1858</v>
      </c>
      <c r="J449" s="13"/>
      <c r="K449" s="272" t="s">
        <v>641</v>
      </c>
      <c r="L449" s="6" t="s">
        <v>15</v>
      </c>
      <c r="M449" s="96">
        <v>500000</v>
      </c>
      <c r="N449" s="229" t="s">
        <v>1871</v>
      </c>
    </row>
    <row r="450" spans="1:14" ht="27">
      <c r="A450" s="123">
        <v>22</v>
      </c>
      <c r="B450" s="979"/>
      <c r="C450" s="15">
        <v>45440</v>
      </c>
      <c r="D450" s="3" t="s">
        <v>21</v>
      </c>
      <c r="E450" s="4" t="s">
        <v>17</v>
      </c>
      <c r="F450" s="4" t="s">
        <v>1844</v>
      </c>
      <c r="G450" s="3" t="s">
        <v>1845</v>
      </c>
      <c r="H450" s="3" t="s">
        <v>23</v>
      </c>
      <c r="I450" s="9" t="s">
        <v>1841</v>
      </c>
      <c r="J450" s="13" t="s">
        <v>1843</v>
      </c>
      <c r="K450" s="4" t="s">
        <v>118</v>
      </c>
      <c r="L450" s="6" t="s">
        <v>15</v>
      </c>
      <c r="M450" s="96">
        <v>500000</v>
      </c>
      <c r="N450" s="229" t="s">
        <v>1192</v>
      </c>
    </row>
    <row r="451" spans="1:14">
      <c r="A451" s="123">
        <v>22</v>
      </c>
      <c r="B451" s="980"/>
      <c r="C451" s="15">
        <v>45442</v>
      </c>
      <c r="D451" s="3" t="s">
        <v>21</v>
      </c>
      <c r="E451" s="4" t="s">
        <v>14</v>
      </c>
      <c r="F451" s="3" t="s">
        <v>1787</v>
      </c>
      <c r="G451" s="3" t="s">
        <v>851</v>
      </c>
      <c r="H451" s="3" t="s">
        <v>102</v>
      </c>
      <c r="I451" s="9" t="s">
        <v>1870</v>
      </c>
      <c r="J451" s="13" t="s">
        <v>90</v>
      </c>
      <c r="K451" s="272" t="s">
        <v>686</v>
      </c>
      <c r="L451" s="6" t="s">
        <v>15</v>
      </c>
      <c r="M451" s="96">
        <v>250000</v>
      </c>
      <c r="N451" s="229" t="s">
        <v>1872</v>
      </c>
    </row>
    <row r="452" spans="1:14">
      <c r="A452" s="123">
        <v>23</v>
      </c>
      <c r="B452" s="978" t="s">
        <v>2078</v>
      </c>
      <c r="C452" s="243" t="s">
        <v>1906</v>
      </c>
      <c r="D452" s="984" t="s">
        <v>306</v>
      </c>
      <c r="E452" s="984" t="s">
        <v>322</v>
      </c>
      <c r="F452" s="984" t="s">
        <v>307</v>
      </c>
      <c r="G452" s="984">
        <v>3306</v>
      </c>
      <c r="H452" s="984" t="s">
        <v>1153</v>
      </c>
      <c r="I452" s="984" t="s">
        <v>1907</v>
      </c>
      <c r="J452" s="984" t="s">
        <v>1111</v>
      </c>
      <c r="K452" s="984" t="s">
        <v>692</v>
      </c>
      <c r="L452" s="984" t="s">
        <v>324</v>
      </c>
      <c r="M452" s="990" t="s">
        <v>1908</v>
      </c>
      <c r="N452" s="984" t="s">
        <v>665</v>
      </c>
    </row>
    <row r="453" spans="1:14">
      <c r="A453" s="123">
        <v>23</v>
      </c>
      <c r="B453" s="979"/>
      <c r="C453" s="243" t="s">
        <v>1909</v>
      </c>
      <c r="D453" s="985"/>
      <c r="E453" s="985"/>
      <c r="F453" s="985"/>
      <c r="G453" s="985"/>
      <c r="H453" s="985"/>
      <c r="I453" s="985"/>
      <c r="J453" s="985"/>
      <c r="K453" s="985"/>
      <c r="L453" s="985"/>
      <c r="M453" s="991"/>
      <c r="N453" s="985"/>
    </row>
    <row r="454" spans="1:14">
      <c r="A454" s="123">
        <v>23</v>
      </c>
      <c r="B454" s="979"/>
      <c r="C454" s="243" t="s">
        <v>1910</v>
      </c>
      <c r="D454" s="984" t="s">
        <v>306</v>
      </c>
      <c r="E454" s="984" t="s">
        <v>322</v>
      </c>
      <c r="F454" s="984" t="s">
        <v>307</v>
      </c>
      <c r="G454" s="988" t="s">
        <v>1418</v>
      </c>
      <c r="H454" s="984" t="s">
        <v>1911</v>
      </c>
      <c r="I454" s="988" t="s">
        <v>1154</v>
      </c>
      <c r="J454" s="984" t="s">
        <v>664</v>
      </c>
      <c r="K454" s="1089" t="s">
        <v>1763</v>
      </c>
      <c r="L454" s="984" t="s">
        <v>324</v>
      </c>
      <c r="M454" s="990" t="s">
        <v>1535</v>
      </c>
      <c r="N454" s="984" t="s">
        <v>665</v>
      </c>
    </row>
    <row r="455" spans="1:14">
      <c r="A455" s="123">
        <v>23</v>
      </c>
      <c r="B455" s="979"/>
      <c r="C455" s="243" t="s">
        <v>1909</v>
      </c>
      <c r="D455" s="985"/>
      <c r="E455" s="985"/>
      <c r="F455" s="985"/>
      <c r="G455" s="989"/>
      <c r="H455" s="985"/>
      <c r="I455" s="989"/>
      <c r="J455" s="985"/>
      <c r="K455" s="1090"/>
      <c r="L455" s="985"/>
      <c r="M455" s="991"/>
      <c r="N455" s="985"/>
    </row>
    <row r="456" spans="1:14">
      <c r="A456" s="123">
        <v>23</v>
      </c>
      <c r="B456" s="979"/>
      <c r="C456" s="243" t="s">
        <v>1912</v>
      </c>
      <c r="D456" s="241" t="s">
        <v>306</v>
      </c>
      <c r="E456" s="241" t="s">
        <v>322</v>
      </c>
      <c r="F456" s="241" t="s">
        <v>307</v>
      </c>
      <c r="G456" s="242" t="s">
        <v>1913</v>
      </c>
      <c r="H456" s="241" t="s">
        <v>1914</v>
      </c>
      <c r="I456" s="242" t="s">
        <v>1915</v>
      </c>
      <c r="J456" s="241" t="s">
        <v>349</v>
      </c>
      <c r="K456" s="266" t="s">
        <v>1916</v>
      </c>
      <c r="L456" s="241" t="s">
        <v>324</v>
      </c>
      <c r="M456" s="488" t="s">
        <v>1908</v>
      </c>
      <c r="N456" s="241" t="s">
        <v>425</v>
      </c>
    </row>
    <row r="457" spans="1:14">
      <c r="A457" s="123">
        <v>23</v>
      </c>
      <c r="B457" s="979"/>
      <c r="C457" s="243" t="s">
        <v>1917</v>
      </c>
      <c r="D457" s="984" t="s">
        <v>306</v>
      </c>
      <c r="E457" s="984" t="s">
        <v>322</v>
      </c>
      <c r="F457" s="984" t="s">
        <v>307</v>
      </c>
      <c r="G457" s="988">
        <v>4267</v>
      </c>
      <c r="H457" s="984" t="s">
        <v>640</v>
      </c>
      <c r="I457" s="988" t="s">
        <v>1154</v>
      </c>
      <c r="J457" s="984" t="s">
        <v>664</v>
      </c>
      <c r="K457" s="1089" t="s">
        <v>1763</v>
      </c>
      <c r="L457" s="984" t="s">
        <v>324</v>
      </c>
      <c r="M457" s="990" t="s">
        <v>1535</v>
      </c>
      <c r="N457" s="984" t="s">
        <v>665</v>
      </c>
    </row>
    <row r="458" spans="1:14">
      <c r="A458" s="123">
        <v>23</v>
      </c>
      <c r="B458" s="979"/>
      <c r="C458" s="243" t="s">
        <v>1918</v>
      </c>
      <c r="D458" s="985"/>
      <c r="E458" s="985"/>
      <c r="F458" s="985"/>
      <c r="G458" s="989"/>
      <c r="H458" s="985"/>
      <c r="I458" s="989"/>
      <c r="J458" s="985"/>
      <c r="K458" s="1090"/>
      <c r="L458" s="985"/>
      <c r="M458" s="991"/>
      <c r="N458" s="985"/>
    </row>
    <row r="459" spans="1:14">
      <c r="A459" s="123">
        <v>23</v>
      </c>
      <c r="B459" s="979"/>
      <c r="C459" s="243" t="s">
        <v>1917</v>
      </c>
      <c r="D459" s="984" t="s">
        <v>306</v>
      </c>
      <c r="E459" s="984" t="s">
        <v>322</v>
      </c>
      <c r="F459" s="984" t="s">
        <v>307</v>
      </c>
      <c r="G459" s="988" t="s">
        <v>1919</v>
      </c>
      <c r="H459" s="984" t="s">
        <v>662</v>
      </c>
      <c r="I459" s="988" t="s">
        <v>1920</v>
      </c>
      <c r="J459" s="984" t="s">
        <v>349</v>
      </c>
      <c r="K459" s="1091" t="s">
        <v>1916</v>
      </c>
      <c r="L459" s="984" t="s">
        <v>324</v>
      </c>
      <c r="M459" s="990" t="s">
        <v>1535</v>
      </c>
      <c r="N459" s="984" t="s">
        <v>425</v>
      </c>
    </row>
    <row r="460" spans="1:14">
      <c r="A460" s="123">
        <v>23</v>
      </c>
      <c r="B460" s="980"/>
      <c r="C460" s="244" t="s">
        <v>1918</v>
      </c>
      <c r="D460" s="985"/>
      <c r="E460" s="985"/>
      <c r="F460" s="985"/>
      <c r="G460" s="989"/>
      <c r="H460" s="985"/>
      <c r="I460" s="989"/>
      <c r="J460" s="985"/>
      <c r="K460" s="1092"/>
      <c r="L460" s="985"/>
      <c r="M460" s="991"/>
      <c r="N460" s="985"/>
    </row>
    <row r="461" spans="1:14">
      <c r="A461" s="123">
        <v>23</v>
      </c>
      <c r="B461" s="978" t="s">
        <v>2079</v>
      </c>
      <c r="C461" s="243" t="s">
        <v>1921</v>
      </c>
      <c r="D461" s="241" t="s">
        <v>311</v>
      </c>
      <c r="E461" s="241" t="s">
        <v>675</v>
      </c>
      <c r="F461" s="241" t="s">
        <v>370</v>
      </c>
      <c r="G461" s="113">
        <v>7060</v>
      </c>
      <c r="H461" s="113" t="s">
        <v>1922</v>
      </c>
      <c r="I461" s="242" t="s">
        <v>1923</v>
      </c>
      <c r="J461" s="241" t="s">
        <v>638</v>
      </c>
      <c r="K461" s="242" t="s">
        <v>1924</v>
      </c>
      <c r="L461" s="241" t="s">
        <v>309</v>
      </c>
      <c r="M461" s="488" t="s">
        <v>1828</v>
      </c>
      <c r="N461" s="242" t="s">
        <v>1925</v>
      </c>
    </row>
    <row r="462" spans="1:14">
      <c r="A462" s="123">
        <v>23</v>
      </c>
      <c r="B462" s="979"/>
      <c r="C462" s="984" t="s">
        <v>1921</v>
      </c>
      <c r="D462" s="984" t="s">
        <v>311</v>
      </c>
      <c r="E462" s="984" t="s">
        <v>675</v>
      </c>
      <c r="F462" s="984" t="s">
        <v>1926</v>
      </c>
      <c r="G462" s="984" t="s">
        <v>1927</v>
      </c>
      <c r="H462" s="986" t="s">
        <v>347</v>
      </c>
      <c r="I462" s="242" t="s">
        <v>1928</v>
      </c>
      <c r="J462" s="984"/>
      <c r="K462" s="988" t="s">
        <v>1924</v>
      </c>
      <c r="L462" s="984" t="s">
        <v>309</v>
      </c>
      <c r="M462" s="990" t="s">
        <v>1828</v>
      </c>
      <c r="N462" s="988" t="s">
        <v>1925</v>
      </c>
    </row>
    <row r="463" spans="1:14">
      <c r="A463" s="123">
        <v>23</v>
      </c>
      <c r="B463" s="979"/>
      <c r="C463" s="985"/>
      <c r="D463" s="985"/>
      <c r="E463" s="985"/>
      <c r="F463" s="985"/>
      <c r="G463" s="985"/>
      <c r="H463" s="987"/>
      <c r="I463" s="242" t="s">
        <v>1929</v>
      </c>
      <c r="J463" s="985"/>
      <c r="K463" s="989"/>
      <c r="L463" s="985"/>
      <c r="M463" s="991"/>
      <c r="N463" s="989"/>
    </row>
    <row r="464" spans="1:14" ht="24">
      <c r="A464" s="123">
        <v>23</v>
      </c>
      <c r="B464" s="979"/>
      <c r="C464" s="245" t="s">
        <v>1912</v>
      </c>
      <c r="D464" s="113" t="s">
        <v>311</v>
      </c>
      <c r="E464" s="241" t="s">
        <v>320</v>
      </c>
      <c r="F464" s="113" t="s">
        <v>690</v>
      </c>
      <c r="G464" s="113" t="s">
        <v>1930</v>
      </c>
      <c r="H464" s="113" t="s">
        <v>662</v>
      </c>
      <c r="I464" s="242" t="s">
        <v>1931</v>
      </c>
      <c r="J464" s="241"/>
      <c r="K464" s="241" t="s">
        <v>1932</v>
      </c>
      <c r="L464" s="241" t="s">
        <v>309</v>
      </c>
      <c r="M464" s="488" t="s">
        <v>1933</v>
      </c>
      <c r="N464" s="242" t="s">
        <v>1934</v>
      </c>
    </row>
    <row r="465" spans="1:14">
      <c r="A465" s="123">
        <v>23</v>
      </c>
      <c r="B465" s="980"/>
      <c r="C465" s="245" t="s">
        <v>1935</v>
      </c>
      <c r="D465" s="113" t="s">
        <v>311</v>
      </c>
      <c r="E465" s="241" t="s">
        <v>320</v>
      </c>
      <c r="F465" s="113" t="s">
        <v>337</v>
      </c>
      <c r="G465" s="113" t="s">
        <v>353</v>
      </c>
      <c r="H465" s="113" t="s">
        <v>1936</v>
      </c>
      <c r="I465" s="242" t="s">
        <v>1937</v>
      </c>
      <c r="J465" s="241" t="s">
        <v>638</v>
      </c>
      <c r="K465" s="270" t="s">
        <v>698</v>
      </c>
      <c r="L465" s="241" t="s">
        <v>309</v>
      </c>
      <c r="M465" s="488" t="s">
        <v>1810</v>
      </c>
      <c r="N465" s="242" t="s">
        <v>1772</v>
      </c>
    </row>
    <row r="466" spans="1:14" ht="27">
      <c r="A466" s="123">
        <v>24</v>
      </c>
      <c r="B466" s="978" t="s">
        <v>2080</v>
      </c>
      <c r="C466" s="92" t="s">
        <v>1940</v>
      </c>
      <c r="D466" s="202" t="s">
        <v>306</v>
      </c>
      <c r="E466" s="202" t="s">
        <v>322</v>
      </c>
      <c r="F466" s="202" t="s">
        <v>307</v>
      </c>
      <c r="G466" s="203" t="s">
        <v>1518</v>
      </c>
      <c r="H466" s="202" t="s">
        <v>482</v>
      </c>
      <c r="I466" s="203" t="s">
        <v>1944</v>
      </c>
      <c r="J466" s="202" t="s">
        <v>168</v>
      </c>
      <c r="K466" s="268" t="s">
        <v>1655</v>
      </c>
      <c r="L466" s="202" t="s">
        <v>324</v>
      </c>
      <c r="M466" s="96">
        <v>500000</v>
      </c>
      <c r="N466" s="202" t="s">
        <v>121</v>
      </c>
    </row>
    <row r="467" spans="1:14" ht="27">
      <c r="A467" s="123">
        <v>24</v>
      </c>
      <c r="B467" s="979"/>
      <c r="C467" s="92" t="s">
        <v>1941</v>
      </c>
      <c r="D467" s="202" t="s">
        <v>306</v>
      </c>
      <c r="E467" s="202" t="s">
        <v>322</v>
      </c>
      <c r="F467" s="202" t="s">
        <v>307</v>
      </c>
      <c r="G467" s="203">
        <v>4267</v>
      </c>
      <c r="H467" s="202" t="s">
        <v>18</v>
      </c>
      <c r="I467" s="203" t="s">
        <v>1944</v>
      </c>
      <c r="J467" s="202" t="s">
        <v>168</v>
      </c>
      <c r="K467" s="268" t="s">
        <v>1655</v>
      </c>
      <c r="L467" s="202" t="s">
        <v>324</v>
      </c>
      <c r="M467" s="96">
        <v>500000</v>
      </c>
      <c r="N467" s="202" t="s">
        <v>121</v>
      </c>
    </row>
    <row r="468" spans="1:14">
      <c r="A468" s="123">
        <v>24</v>
      </c>
      <c r="B468" s="979"/>
      <c r="C468" s="92" t="s">
        <v>1942</v>
      </c>
      <c r="D468" s="202" t="s">
        <v>306</v>
      </c>
      <c r="E468" s="202" t="s">
        <v>322</v>
      </c>
      <c r="F468" s="202" t="s">
        <v>307</v>
      </c>
      <c r="G468" s="203">
        <v>3306</v>
      </c>
      <c r="H468" s="202" t="s">
        <v>1019</v>
      </c>
      <c r="I468" s="203" t="s">
        <v>1943</v>
      </c>
      <c r="J468" s="202" t="s">
        <v>168</v>
      </c>
      <c r="K468" s="268" t="s">
        <v>1833</v>
      </c>
      <c r="L468" s="202"/>
      <c r="M468" s="96">
        <v>250000</v>
      </c>
      <c r="N468" s="202" t="s">
        <v>121</v>
      </c>
    </row>
    <row r="469" spans="1:14" ht="27">
      <c r="A469" s="123">
        <v>24</v>
      </c>
      <c r="B469" s="980"/>
      <c r="C469" s="92" t="s">
        <v>1945</v>
      </c>
      <c r="D469" s="202" t="s">
        <v>306</v>
      </c>
      <c r="E469" s="202" t="s">
        <v>322</v>
      </c>
      <c r="F469" s="202" t="s">
        <v>307</v>
      </c>
      <c r="G469" s="203" t="s">
        <v>1608</v>
      </c>
      <c r="H469" s="202" t="s">
        <v>264</v>
      </c>
      <c r="I469" s="203" t="s">
        <v>1874</v>
      </c>
      <c r="J469" s="202" t="s">
        <v>94</v>
      </c>
      <c r="K469" s="267" t="s">
        <v>1946</v>
      </c>
      <c r="L469" s="202" t="s">
        <v>324</v>
      </c>
      <c r="M469" s="96">
        <v>1500000</v>
      </c>
      <c r="N469" s="202" t="s">
        <v>1027</v>
      </c>
    </row>
    <row r="470" spans="1:14" ht="27">
      <c r="A470" s="123">
        <v>24</v>
      </c>
      <c r="B470" s="978" t="s">
        <v>2081</v>
      </c>
      <c r="C470" s="92">
        <v>45454</v>
      </c>
      <c r="D470" s="4" t="s">
        <v>21</v>
      </c>
      <c r="E470" s="4" t="s">
        <v>17</v>
      </c>
      <c r="F470" s="3" t="s">
        <v>78</v>
      </c>
      <c r="G470" s="3" t="s">
        <v>1557</v>
      </c>
      <c r="H470" s="3" t="s">
        <v>142</v>
      </c>
      <c r="I470" s="5" t="s">
        <v>1939</v>
      </c>
      <c r="J470" s="13" t="s">
        <v>202</v>
      </c>
      <c r="K470" s="271" t="s">
        <v>487</v>
      </c>
      <c r="L470" s="84" t="s">
        <v>15</v>
      </c>
      <c r="M470" s="96">
        <v>500000</v>
      </c>
      <c r="N470" s="229" t="s">
        <v>1876</v>
      </c>
    </row>
    <row r="471" spans="1:14">
      <c r="A471" s="123">
        <v>24</v>
      </c>
      <c r="B471" s="979"/>
      <c r="C471" s="92">
        <v>45455</v>
      </c>
      <c r="D471" s="3" t="s">
        <v>21</v>
      </c>
      <c r="E471" s="4" t="s">
        <v>14</v>
      </c>
      <c r="F471" s="3" t="s">
        <v>1893</v>
      </c>
      <c r="G471" s="3" t="s">
        <v>1323</v>
      </c>
      <c r="H471" s="3" t="s">
        <v>1391</v>
      </c>
      <c r="I471" s="9" t="s">
        <v>1523</v>
      </c>
      <c r="J471" s="13" t="s">
        <v>1892</v>
      </c>
      <c r="K471" s="4" t="s">
        <v>153</v>
      </c>
      <c r="L471" s="84" t="s">
        <v>15</v>
      </c>
      <c r="M471" s="96">
        <v>250000</v>
      </c>
      <c r="N471" s="229" t="s">
        <v>1877</v>
      </c>
    </row>
    <row r="472" spans="1:14">
      <c r="A472" s="123">
        <v>24</v>
      </c>
      <c r="B472" s="979"/>
      <c r="C472" s="92">
        <v>45456</v>
      </c>
      <c r="D472" s="3" t="s">
        <v>21</v>
      </c>
      <c r="E472" s="4" t="s">
        <v>14</v>
      </c>
      <c r="F472" s="3" t="s">
        <v>1582</v>
      </c>
      <c r="G472" s="3" t="s">
        <v>1898</v>
      </c>
      <c r="H472" s="3" t="s">
        <v>1899</v>
      </c>
      <c r="I472" s="5" t="s">
        <v>1904</v>
      </c>
      <c r="J472" s="13" t="s">
        <v>1900</v>
      </c>
      <c r="K472" s="286" t="s">
        <v>1901</v>
      </c>
      <c r="L472" s="84" t="s">
        <v>15</v>
      </c>
      <c r="M472" s="96">
        <v>250000</v>
      </c>
      <c r="N472" s="229" t="s">
        <v>1878</v>
      </c>
    </row>
    <row r="473" spans="1:14" ht="27">
      <c r="A473" s="123">
        <v>24</v>
      </c>
      <c r="B473" s="979"/>
      <c r="C473" s="15">
        <v>45457</v>
      </c>
      <c r="D473" s="3" t="s">
        <v>21</v>
      </c>
      <c r="E473" s="4" t="s">
        <v>14</v>
      </c>
      <c r="F473" s="3" t="s">
        <v>1787</v>
      </c>
      <c r="G473" s="3" t="s">
        <v>851</v>
      </c>
      <c r="H473" s="3" t="s">
        <v>102</v>
      </c>
      <c r="I473" s="5" t="s">
        <v>1938</v>
      </c>
      <c r="J473" s="13" t="s">
        <v>1900</v>
      </c>
      <c r="K473" s="272" t="s">
        <v>1901</v>
      </c>
      <c r="L473" s="84" t="s">
        <v>15</v>
      </c>
      <c r="M473" s="96">
        <v>250000</v>
      </c>
      <c r="N473" s="229" t="s">
        <v>1878</v>
      </c>
    </row>
    <row r="474" spans="1:14" ht="27">
      <c r="A474" s="123">
        <v>24</v>
      </c>
      <c r="B474" s="980"/>
      <c r="C474" s="15">
        <v>45458</v>
      </c>
      <c r="D474" s="3" t="s">
        <v>21</v>
      </c>
      <c r="E474" s="4" t="s">
        <v>14</v>
      </c>
      <c r="F474" s="3" t="s">
        <v>107</v>
      </c>
      <c r="G474" s="3" t="s">
        <v>1894</v>
      </c>
      <c r="H474" s="3" t="s">
        <v>1895</v>
      </c>
      <c r="I474" s="9" t="s">
        <v>1896</v>
      </c>
      <c r="J474" s="13" t="s">
        <v>90</v>
      </c>
      <c r="K474" s="272" t="s">
        <v>1897</v>
      </c>
      <c r="L474" s="84" t="s">
        <v>15</v>
      </c>
      <c r="M474" s="96">
        <v>250000</v>
      </c>
      <c r="N474" s="229" t="s">
        <v>1878</v>
      </c>
    </row>
    <row r="475" spans="1:14">
      <c r="A475" s="123">
        <v>25</v>
      </c>
      <c r="B475" s="978" t="s">
        <v>2082</v>
      </c>
      <c r="C475" s="92" t="s">
        <v>1957</v>
      </c>
      <c r="D475" s="125" t="s">
        <v>306</v>
      </c>
      <c r="E475" s="202" t="s">
        <v>322</v>
      </c>
      <c r="F475" s="202" t="s">
        <v>307</v>
      </c>
      <c r="G475" s="203" t="s">
        <v>1518</v>
      </c>
      <c r="H475" s="202" t="s">
        <v>482</v>
      </c>
      <c r="I475" s="203" t="s">
        <v>1955</v>
      </c>
      <c r="J475" s="202" t="s">
        <v>168</v>
      </c>
      <c r="K475" s="268" t="s">
        <v>1956</v>
      </c>
      <c r="L475" s="202" t="s">
        <v>324</v>
      </c>
      <c r="M475" s="96">
        <v>250000</v>
      </c>
      <c r="N475" s="202" t="s">
        <v>121</v>
      </c>
    </row>
    <row r="476" spans="1:14" ht="27">
      <c r="A476" s="123">
        <v>25</v>
      </c>
      <c r="B476" s="979"/>
      <c r="C476" s="92" t="s">
        <v>1953</v>
      </c>
      <c r="D476" s="125" t="s">
        <v>306</v>
      </c>
      <c r="E476" s="202" t="s">
        <v>322</v>
      </c>
      <c r="F476" s="202" t="s">
        <v>307</v>
      </c>
      <c r="G476" s="203">
        <v>3306</v>
      </c>
      <c r="H476" s="202" t="s">
        <v>1019</v>
      </c>
      <c r="I476" s="203" t="s">
        <v>1958</v>
      </c>
      <c r="J476" s="202" t="s">
        <v>168</v>
      </c>
      <c r="K476" s="268" t="s">
        <v>1655</v>
      </c>
      <c r="L476" s="202" t="s">
        <v>324</v>
      </c>
      <c r="M476" s="96">
        <v>500000</v>
      </c>
      <c r="N476" s="202" t="s">
        <v>121</v>
      </c>
    </row>
    <row r="477" spans="1:14" ht="27">
      <c r="A477" s="123">
        <v>25</v>
      </c>
      <c r="B477" s="979"/>
      <c r="C477" s="92" t="s">
        <v>1964</v>
      </c>
      <c r="D477" s="125" t="s">
        <v>306</v>
      </c>
      <c r="E477" s="202" t="s">
        <v>322</v>
      </c>
      <c r="F477" s="202" t="s">
        <v>307</v>
      </c>
      <c r="G477" s="203" t="s">
        <v>1324</v>
      </c>
      <c r="H477" s="202" t="s">
        <v>83</v>
      </c>
      <c r="I477" s="203" t="s">
        <v>1962</v>
      </c>
      <c r="J477" s="202" t="s">
        <v>168</v>
      </c>
      <c r="K477" s="268" t="s">
        <v>1655</v>
      </c>
      <c r="L477" s="202"/>
      <c r="M477" s="96">
        <v>500000</v>
      </c>
      <c r="N477" s="202" t="s">
        <v>121</v>
      </c>
    </row>
    <row r="478" spans="1:14" ht="27">
      <c r="A478" s="123">
        <v>25</v>
      </c>
      <c r="B478" s="980"/>
      <c r="C478" s="92" t="s">
        <v>1953</v>
      </c>
      <c r="D478" s="125" t="s">
        <v>306</v>
      </c>
      <c r="E478" s="202" t="s">
        <v>322</v>
      </c>
      <c r="F478" s="202" t="s">
        <v>307</v>
      </c>
      <c r="G478" s="203" t="s">
        <v>1529</v>
      </c>
      <c r="H478" s="202" t="s">
        <v>40</v>
      </c>
      <c r="I478" s="203" t="s">
        <v>1954</v>
      </c>
      <c r="J478" s="202" t="s">
        <v>94</v>
      </c>
      <c r="K478" s="267" t="s">
        <v>1745</v>
      </c>
      <c r="L478" s="202" t="s">
        <v>324</v>
      </c>
      <c r="M478" s="96">
        <v>1000000</v>
      </c>
      <c r="N478" s="202" t="s">
        <v>247</v>
      </c>
    </row>
    <row r="479" spans="1:14" ht="27">
      <c r="A479" s="123">
        <v>25</v>
      </c>
      <c r="B479" s="978" t="s">
        <v>2083</v>
      </c>
      <c r="C479" s="92">
        <v>45460</v>
      </c>
      <c r="D479" s="4" t="s">
        <v>21</v>
      </c>
      <c r="E479" s="4" t="s">
        <v>17</v>
      </c>
      <c r="F479" s="3" t="s">
        <v>78</v>
      </c>
      <c r="G479" s="3" t="s">
        <v>1557</v>
      </c>
      <c r="H479" s="3" t="s">
        <v>142</v>
      </c>
      <c r="I479" s="5" t="s">
        <v>1939</v>
      </c>
      <c r="J479" s="13" t="s">
        <v>202</v>
      </c>
      <c r="K479" s="271" t="s">
        <v>487</v>
      </c>
      <c r="L479" s="84" t="s">
        <v>69</v>
      </c>
      <c r="M479" s="96">
        <v>500000</v>
      </c>
      <c r="N479" s="229" t="s">
        <v>1963</v>
      </c>
    </row>
    <row r="480" spans="1:14" ht="27">
      <c r="A480" s="123">
        <v>25</v>
      </c>
      <c r="B480" s="979"/>
      <c r="C480" s="92">
        <v>45461</v>
      </c>
      <c r="D480" s="3" t="s">
        <v>21</v>
      </c>
      <c r="E480" s="4" t="s">
        <v>17</v>
      </c>
      <c r="F480" s="3" t="s">
        <v>78</v>
      </c>
      <c r="G480" s="3" t="s">
        <v>1947</v>
      </c>
      <c r="H480" s="3" t="s">
        <v>40</v>
      </c>
      <c r="I480" s="5" t="s">
        <v>1960</v>
      </c>
      <c r="J480" s="13" t="s">
        <v>90</v>
      </c>
      <c r="K480" s="271" t="s">
        <v>685</v>
      </c>
      <c r="L480" s="84" t="s">
        <v>69</v>
      </c>
      <c r="M480" s="96">
        <v>500000</v>
      </c>
      <c r="N480" s="229" t="s">
        <v>1961</v>
      </c>
    </row>
    <row r="481" spans="1:14" ht="27">
      <c r="A481" s="231">
        <v>25</v>
      </c>
      <c r="B481" s="980"/>
      <c r="C481" s="247">
        <v>45463</v>
      </c>
      <c r="D481" s="247" t="s">
        <v>21</v>
      </c>
      <c r="E481" s="247" t="s">
        <v>17</v>
      </c>
      <c r="F481" s="247" t="s">
        <v>953</v>
      </c>
      <c r="G481" s="247" t="s">
        <v>1950</v>
      </c>
      <c r="H481" s="248" t="s">
        <v>205</v>
      </c>
      <c r="I481" s="248" t="s">
        <v>1951</v>
      </c>
      <c r="J481" s="263"/>
      <c r="K481" s="247" t="s">
        <v>255</v>
      </c>
      <c r="L481" s="264" t="s">
        <v>69</v>
      </c>
      <c r="M481" s="489">
        <v>300000</v>
      </c>
      <c r="N481" s="265" t="s">
        <v>1876</v>
      </c>
    </row>
    <row r="482" spans="1:14" ht="27">
      <c r="A482" s="123">
        <v>26</v>
      </c>
      <c r="B482" s="978" t="s">
        <v>2020</v>
      </c>
      <c r="C482" s="92" t="s">
        <v>1973</v>
      </c>
      <c r="D482" s="125" t="s">
        <v>306</v>
      </c>
      <c r="E482" s="125" t="s">
        <v>322</v>
      </c>
      <c r="F482" s="125" t="s">
        <v>307</v>
      </c>
      <c r="G482" s="193" t="s">
        <v>1971</v>
      </c>
      <c r="H482" s="125" t="s">
        <v>1972</v>
      </c>
      <c r="I482" s="193" t="s">
        <v>1974</v>
      </c>
      <c r="J482" s="125" t="s">
        <v>168</v>
      </c>
      <c r="K482" s="268" t="s">
        <v>1655</v>
      </c>
      <c r="L482" s="125" t="s">
        <v>209</v>
      </c>
      <c r="M482" s="96">
        <v>500000</v>
      </c>
      <c r="N482" s="125" t="s">
        <v>121</v>
      </c>
    </row>
    <row r="483" spans="1:14">
      <c r="A483" s="123">
        <v>26</v>
      </c>
      <c r="B483" s="979"/>
      <c r="C483" s="92">
        <v>45469</v>
      </c>
      <c r="D483" s="125" t="s">
        <v>306</v>
      </c>
      <c r="E483" s="125" t="s">
        <v>322</v>
      </c>
      <c r="F483" s="125" t="s">
        <v>307</v>
      </c>
      <c r="G483" s="193">
        <v>4267</v>
      </c>
      <c r="H483" s="125" t="s">
        <v>125</v>
      </c>
      <c r="I483" s="193" t="s">
        <v>1977</v>
      </c>
      <c r="J483" s="125" t="s">
        <v>168</v>
      </c>
      <c r="K483" s="268" t="s">
        <v>1956</v>
      </c>
      <c r="L483" s="125"/>
      <c r="M483" s="96">
        <v>250000</v>
      </c>
      <c r="N483" s="125" t="s">
        <v>121</v>
      </c>
    </row>
    <row r="484" spans="1:14" ht="27">
      <c r="A484" s="123">
        <v>26</v>
      </c>
      <c r="B484" s="979"/>
      <c r="C484" s="92" t="s">
        <v>1967</v>
      </c>
      <c r="D484" s="125" t="s">
        <v>306</v>
      </c>
      <c r="E484" s="125" t="s">
        <v>322</v>
      </c>
      <c r="F484" s="125" t="s">
        <v>307</v>
      </c>
      <c r="G484" s="193" t="s">
        <v>1968</v>
      </c>
      <c r="H484" s="125" t="s">
        <v>1969</v>
      </c>
      <c r="I484" s="193" t="s">
        <v>1962</v>
      </c>
      <c r="J484" s="125" t="s">
        <v>168</v>
      </c>
      <c r="K484" s="268" t="s">
        <v>1655</v>
      </c>
      <c r="L484" s="125" t="s">
        <v>324</v>
      </c>
      <c r="M484" s="96">
        <v>500000</v>
      </c>
      <c r="N484" s="125" t="s">
        <v>121</v>
      </c>
    </row>
    <row r="485" spans="1:14" ht="27">
      <c r="A485" s="123">
        <v>26</v>
      </c>
      <c r="B485" s="979"/>
      <c r="C485" s="92" t="s">
        <v>1976</v>
      </c>
      <c r="D485" s="125" t="s">
        <v>306</v>
      </c>
      <c r="E485" s="125" t="s">
        <v>322</v>
      </c>
      <c r="F485" s="125" t="s">
        <v>307</v>
      </c>
      <c r="G485" s="193" t="s">
        <v>1380</v>
      </c>
      <c r="H485" s="125" t="s">
        <v>482</v>
      </c>
      <c r="I485" s="193" t="s">
        <v>833</v>
      </c>
      <c r="J485" s="125" t="s">
        <v>94</v>
      </c>
      <c r="K485" s="267" t="s">
        <v>1875</v>
      </c>
      <c r="L485" s="125"/>
      <c r="M485" s="96">
        <v>500000</v>
      </c>
      <c r="N485" s="125" t="s">
        <v>247</v>
      </c>
    </row>
    <row r="486" spans="1:14">
      <c r="A486" s="123">
        <v>26</v>
      </c>
      <c r="B486" s="980"/>
      <c r="C486" s="92">
        <v>45472</v>
      </c>
      <c r="D486" s="125" t="s">
        <v>306</v>
      </c>
      <c r="E486" s="125" t="s">
        <v>322</v>
      </c>
      <c r="F486" s="125" t="s">
        <v>307</v>
      </c>
      <c r="G486" s="193">
        <v>3306</v>
      </c>
      <c r="H486" s="125" t="s">
        <v>1019</v>
      </c>
      <c r="I486" s="193" t="s">
        <v>1975</v>
      </c>
      <c r="J486" s="125" t="s">
        <v>94</v>
      </c>
      <c r="K486" s="267" t="s">
        <v>1745</v>
      </c>
      <c r="L486" s="125" t="s">
        <v>324</v>
      </c>
      <c r="M486" s="96">
        <v>1000000</v>
      </c>
      <c r="N486" s="125" t="s">
        <v>247</v>
      </c>
    </row>
    <row r="487" spans="1:14" ht="27">
      <c r="A487" s="123">
        <v>26</v>
      </c>
      <c r="B487" s="978" t="s">
        <v>2084</v>
      </c>
      <c r="C487" s="92">
        <v>45467</v>
      </c>
      <c r="D487" s="4" t="s">
        <v>21</v>
      </c>
      <c r="E487" s="4" t="s">
        <v>17</v>
      </c>
      <c r="F487" s="3" t="s">
        <v>1384</v>
      </c>
      <c r="G487" s="246" t="s">
        <v>1966</v>
      </c>
      <c r="H487" s="9" t="s">
        <v>23</v>
      </c>
      <c r="I487" s="9" t="s">
        <v>1965</v>
      </c>
      <c r="J487" s="13"/>
      <c r="K487" s="4" t="s">
        <v>68</v>
      </c>
      <c r="L487" s="6" t="s">
        <v>69</v>
      </c>
      <c r="M487" s="96">
        <v>300000</v>
      </c>
      <c r="N487" s="8" t="s">
        <v>1876</v>
      </c>
    </row>
    <row r="488" spans="1:14">
      <c r="A488" s="123">
        <v>26</v>
      </c>
      <c r="B488" s="979"/>
      <c r="C488" s="92">
        <v>45468</v>
      </c>
      <c r="D488" s="4" t="s">
        <v>21</v>
      </c>
      <c r="E488" s="4" t="s">
        <v>14</v>
      </c>
      <c r="F488" s="3" t="s">
        <v>156</v>
      </c>
      <c r="G488" s="3" t="s">
        <v>1323</v>
      </c>
      <c r="H488" s="3" t="s">
        <v>37</v>
      </c>
      <c r="I488" s="9" t="s">
        <v>1982</v>
      </c>
      <c r="J488" s="13" t="s">
        <v>90</v>
      </c>
      <c r="K488" s="4" t="s">
        <v>68</v>
      </c>
      <c r="L488" s="6" t="s">
        <v>69</v>
      </c>
      <c r="M488" s="96">
        <v>300000</v>
      </c>
      <c r="N488" s="8" t="s">
        <v>1983</v>
      </c>
    </row>
    <row r="489" spans="1:14" ht="27">
      <c r="A489" s="123">
        <v>26</v>
      </c>
      <c r="B489" s="979"/>
      <c r="C489" s="92">
        <v>45469</v>
      </c>
      <c r="D489" s="3" t="s">
        <v>21</v>
      </c>
      <c r="E489" s="4" t="s">
        <v>14</v>
      </c>
      <c r="F489" s="3" t="s">
        <v>211</v>
      </c>
      <c r="G489" s="3" t="s">
        <v>1028</v>
      </c>
      <c r="H489" s="3" t="s">
        <v>264</v>
      </c>
      <c r="I489" s="9" t="s">
        <v>1978</v>
      </c>
      <c r="J489" s="13" t="s">
        <v>90</v>
      </c>
      <c r="K489" s="273" t="s">
        <v>686</v>
      </c>
      <c r="L489" s="6" t="s">
        <v>69</v>
      </c>
      <c r="M489" s="96">
        <v>250000</v>
      </c>
      <c r="N489" s="8" t="s">
        <v>1980</v>
      </c>
    </row>
    <row r="490" spans="1:14">
      <c r="A490" s="123">
        <v>26</v>
      </c>
      <c r="B490" s="979"/>
      <c r="C490" s="92">
        <v>45471</v>
      </c>
      <c r="D490" s="4" t="s">
        <v>21</v>
      </c>
      <c r="E490" s="4" t="s">
        <v>14</v>
      </c>
      <c r="F490" s="3" t="s">
        <v>156</v>
      </c>
      <c r="G490" s="3" t="s">
        <v>1323</v>
      </c>
      <c r="H490" s="3" t="s">
        <v>37</v>
      </c>
      <c r="I490" s="9" t="s">
        <v>1523</v>
      </c>
      <c r="J490" s="13" t="s">
        <v>90</v>
      </c>
      <c r="K490" s="4" t="s">
        <v>821</v>
      </c>
      <c r="L490" s="6" t="s">
        <v>69</v>
      </c>
      <c r="M490" s="96">
        <v>250000</v>
      </c>
      <c r="N490" s="8" t="s">
        <v>128</v>
      </c>
    </row>
    <row r="491" spans="1:14" ht="27">
      <c r="A491" s="123">
        <v>26</v>
      </c>
      <c r="B491" s="980"/>
      <c r="C491" s="92">
        <v>45472</v>
      </c>
      <c r="D491" s="4" t="s">
        <v>21</v>
      </c>
      <c r="E491" s="4" t="s">
        <v>14</v>
      </c>
      <c r="F491" s="4" t="s">
        <v>107</v>
      </c>
      <c r="G491" s="4" t="s">
        <v>270</v>
      </c>
      <c r="H491" s="9" t="s">
        <v>205</v>
      </c>
      <c r="I491" s="9" t="s">
        <v>1981</v>
      </c>
      <c r="J491" s="13" t="s">
        <v>781</v>
      </c>
      <c r="K491" s="289" t="s">
        <v>153</v>
      </c>
      <c r="L491" s="6" t="s">
        <v>1905</v>
      </c>
      <c r="M491" s="96">
        <v>250000</v>
      </c>
      <c r="N491" s="229" t="s">
        <v>1979</v>
      </c>
    </row>
    <row r="492" spans="1:14" ht="27">
      <c r="A492" s="123">
        <v>27</v>
      </c>
      <c r="B492" s="978" t="s">
        <v>2113</v>
      </c>
      <c r="C492" s="92" t="s">
        <v>2086</v>
      </c>
      <c r="D492" s="125" t="s">
        <v>306</v>
      </c>
      <c r="E492" s="125" t="s">
        <v>322</v>
      </c>
      <c r="F492" s="125" t="s">
        <v>307</v>
      </c>
      <c r="G492" s="193" t="s">
        <v>1968</v>
      </c>
      <c r="H492" s="125" t="s">
        <v>1895</v>
      </c>
      <c r="I492" s="193" t="s">
        <v>1962</v>
      </c>
      <c r="J492" s="125" t="s">
        <v>168</v>
      </c>
      <c r="K492" s="179" t="s">
        <v>1655</v>
      </c>
      <c r="L492" s="125" t="s">
        <v>209</v>
      </c>
      <c r="M492" s="96">
        <v>500000</v>
      </c>
      <c r="N492" s="125" t="s">
        <v>121</v>
      </c>
    </row>
    <row r="493" spans="1:14">
      <c r="A493" s="123">
        <v>27</v>
      </c>
      <c r="B493" s="979"/>
      <c r="C493" s="92">
        <v>45476</v>
      </c>
      <c r="D493" s="125" t="s">
        <v>306</v>
      </c>
      <c r="E493" s="125" t="s">
        <v>322</v>
      </c>
      <c r="F493" s="125" t="s">
        <v>307</v>
      </c>
      <c r="G493" s="193">
        <v>4267</v>
      </c>
      <c r="H493" s="125" t="s">
        <v>125</v>
      </c>
      <c r="I493" s="193" t="s">
        <v>2089</v>
      </c>
      <c r="J493" s="125" t="s">
        <v>168</v>
      </c>
      <c r="K493" s="179" t="s">
        <v>1833</v>
      </c>
      <c r="L493" s="125"/>
      <c r="M493" s="96">
        <v>250000</v>
      </c>
      <c r="N493" s="125" t="s">
        <v>121</v>
      </c>
    </row>
    <row r="494" spans="1:14" ht="27">
      <c r="A494" s="123">
        <v>27</v>
      </c>
      <c r="B494" s="979"/>
      <c r="C494" s="92" t="s">
        <v>2087</v>
      </c>
      <c r="D494" s="125" t="s">
        <v>306</v>
      </c>
      <c r="E494" s="125" t="s">
        <v>322</v>
      </c>
      <c r="F494" s="125" t="s">
        <v>307</v>
      </c>
      <c r="G494" s="193" t="s">
        <v>2085</v>
      </c>
      <c r="H494" s="125" t="s">
        <v>40</v>
      </c>
      <c r="I494" s="193" t="s">
        <v>1962</v>
      </c>
      <c r="J494" s="125" t="s">
        <v>168</v>
      </c>
      <c r="K494" s="179" t="s">
        <v>1655</v>
      </c>
      <c r="L494" s="125" t="s">
        <v>324</v>
      </c>
      <c r="M494" s="96">
        <v>500000</v>
      </c>
      <c r="N494" s="125" t="s">
        <v>121</v>
      </c>
    </row>
    <row r="495" spans="1:14" ht="27">
      <c r="A495" s="123">
        <v>27</v>
      </c>
      <c r="B495" s="979"/>
      <c r="C495" s="92" t="s">
        <v>2086</v>
      </c>
      <c r="D495" s="125" t="s">
        <v>306</v>
      </c>
      <c r="E495" s="125" t="s">
        <v>322</v>
      </c>
      <c r="F495" s="125" t="s">
        <v>307</v>
      </c>
      <c r="G495" s="193" t="s">
        <v>1324</v>
      </c>
      <c r="H495" s="125" t="s">
        <v>83</v>
      </c>
      <c r="I495" s="193" t="s">
        <v>1962</v>
      </c>
      <c r="J495" s="125" t="s">
        <v>168</v>
      </c>
      <c r="K495" s="4" t="s">
        <v>440</v>
      </c>
      <c r="L495" s="125" t="s">
        <v>209</v>
      </c>
      <c r="M495" s="96">
        <v>1000000</v>
      </c>
      <c r="N495" s="125" t="s">
        <v>121</v>
      </c>
    </row>
    <row r="496" spans="1:14" ht="27">
      <c r="A496" s="123">
        <v>27</v>
      </c>
      <c r="B496" s="979"/>
      <c r="C496" s="92" t="s">
        <v>2087</v>
      </c>
      <c r="D496" s="125" t="s">
        <v>306</v>
      </c>
      <c r="E496" s="125" t="s">
        <v>322</v>
      </c>
      <c r="F496" s="125" t="s">
        <v>307</v>
      </c>
      <c r="G496" s="193">
        <v>3306</v>
      </c>
      <c r="H496" s="125" t="s">
        <v>811</v>
      </c>
      <c r="I496" s="193" t="s">
        <v>2091</v>
      </c>
      <c r="J496" s="125" t="s">
        <v>94</v>
      </c>
      <c r="K496" s="183" t="s">
        <v>1745</v>
      </c>
      <c r="L496" s="125"/>
      <c r="M496" s="96">
        <v>1000000</v>
      </c>
      <c r="N496" s="125" t="s">
        <v>247</v>
      </c>
    </row>
    <row r="497" spans="1:14">
      <c r="A497" s="123">
        <v>27</v>
      </c>
      <c r="B497" s="980"/>
      <c r="C497" s="92">
        <v>45479</v>
      </c>
      <c r="D497" s="125" t="s">
        <v>306</v>
      </c>
      <c r="E497" s="125" t="s">
        <v>322</v>
      </c>
      <c r="F497" s="125" t="s">
        <v>307</v>
      </c>
      <c r="G497" s="193">
        <v>4267</v>
      </c>
      <c r="H497" s="125" t="s">
        <v>125</v>
      </c>
      <c r="I497" s="193" t="s">
        <v>1874</v>
      </c>
      <c r="J497" s="125" t="s">
        <v>94</v>
      </c>
      <c r="K497" s="183" t="s">
        <v>1587</v>
      </c>
      <c r="L497" s="125" t="s">
        <v>324</v>
      </c>
      <c r="M497" s="96">
        <v>500000</v>
      </c>
      <c r="N497" s="125" t="s">
        <v>247</v>
      </c>
    </row>
    <row r="498" spans="1:14" ht="27.75" customHeight="1">
      <c r="A498" s="123">
        <v>27</v>
      </c>
      <c r="B498" s="978" t="s">
        <v>21</v>
      </c>
      <c r="C498" s="92">
        <v>45477</v>
      </c>
      <c r="D498" s="4" t="s">
        <v>311</v>
      </c>
      <c r="E498" s="4" t="s">
        <v>320</v>
      </c>
      <c r="F498" s="3" t="s">
        <v>409</v>
      </c>
      <c r="G498" s="246" t="s">
        <v>1412</v>
      </c>
      <c r="H498" s="9" t="s">
        <v>1391</v>
      </c>
      <c r="I498" s="9" t="s">
        <v>1426</v>
      </c>
      <c r="J498" s="13" t="s">
        <v>638</v>
      </c>
      <c r="K498" s="288" t="s">
        <v>2294</v>
      </c>
      <c r="L498" s="6" t="s">
        <v>309</v>
      </c>
      <c r="M498" s="96">
        <v>250000</v>
      </c>
      <c r="N498" s="8" t="s">
        <v>128</v>
      </c>
    </row>
    <row r="499" spans="1:14" ht="27">
      <c r="A499" s="123">
        <v>27</v>
      </c>
      <c r="B499" s="979"/>
      <c r="C499" s="92">
        <v>45478</v>
      </c>
      <c r="D499" s="4" t="s">
        <v>21</v>
      </c>
      <c r="E499" s="4" t="s">
        <v>17</v>
      </c>
      <c r="F499" s="97" t="s">
        <v>898</v>
      </c>
      <c r="G499" s="3" t="s">
        <v>2077</v>
      </c>
      <c r="H499" s="3" t="s">
        <v>102</v>
      </c>
      <c r="I499" s="269" t="s">
        <v>2090</v>
      </c>
      <c r="J499" s="13"/>
      <c r="K499" s="4" t="s">
        <v>60</v>
      </c>
      <c r="L499" s="6" t="s">
        <v>309</v>
      </c>
      <c r="M499" s="96">
        <v>300000</v>
      </c>
      <c r="N499" s="8" t="s">
        <v>2088</v>
      </c>
    </row>
    <row r="500" spans="1:14">
      <c r="A500" s="123">
        <v>27</v>
      </c>
      <c r="B500" s="980"/>
      <c r="C500" s="92">
        <v>45478</v>
      </c>
      <c r="D500" s="4" t="s">
        <v>311</v>
      </c>
      <c r="E500" s="4" t="s">
        <v>320</v>
      </c>
      <c r="F500" s="3" t="s">
        <v>409</v>
      </c>
      <c r="G500" s="3" t="s">
        <v>1412</v>
      </c>
      <c r="H500" s="3" t="s">
        <v>37</v>
      </c>
      <c r="I500" s="9" t="s">
        <v>1426</v>
      </c>
      <c r="J500" s="13" t="s">
        <v>638</v>
      </c>
      <c r="K500" s="4" t="s">
        <v>671</v>
      </c>
      <c r="L500" s="6" t="s">
        <v>309</v>
      </c>
      <c r="M500" s="96">
        <v>250000</v>
      </c>
      <c r="N500" s="8" t="s">
        <v>128</v>
      </c>
    </row>
    <row r="501" spans="1:14" ht="27">
      <c r="A501" s="123">
        <v>28</v>
      </c>
      <c r="B501" s="978" t="s">
        <v>20</v>
      </c>
      <c r="C501" s="92" t="s">
        <v>2105</v>
      </c>
      <c r="D501" s="125" t="s">
        <v>306</v>
      </c>
      <c r="E501" s="125" t="s">
        <v>322</v>
      </c>
      <c r="F501" s="125" t="s">
        <v>307</v>
      </c>
      <c r="G501" s="193" t="s">
        <v>2085</v>
      </c>
      <c r="H501" s="125" t="s">
        <v>23</v>
      </c>
      <c r="I501" s="193" t="s">
        <v>1962</v>
      </c>
      <c r="J501" s="125" t="s">
        <v>168</v>
      </c>
      <c r="K501" s="179" t="s">
        <v>1869</v>
      </c>
      <c r="L501" s="125" t="s">
        <v>209</v>
      </c>
      <c r="M501" s="96">
        <v>750000</v>
      </c>
      <c r="N501" s="125" t="s">
        <v>121</v>
      </c>
    </row>
    <row r="502" spans="1:14" ht="27">
      <c r="A502" s="123">
        <v>28</v>
      </c>
      <c r="B502" s="979"/>
      <c r="C502" s="92" t="s">
        <v>2106</v>
      </c>
      <c r="D502" s="125" t="s">
        <v>306</v>
      </c>
      <c r="E502" s="125" t="s">
        <v>322</v>
      </c>
      <c r="F502" s="125" t="s">
        <v>307</v>
      </c>
      <c r="G502" s="193" t="s">
        <v>1968</v>
      </c>
      <c r="H502" s="125" t="s">
        <v>1895</v>
      </c>
      <c r="I502" s="193" t="s">
        <v>1962</v>
      </c>
      <c r="J502" s="125" t="s">
        <v>168</v>
      </c>
      <c r="K502" s="179" t="s">
        <v>1959</v>
      </c>
      <c r="L502" s="125" t="s">
        <v>209</v>
      </c>
      <c r="M502" s="96">
        <v>500000</v>
      </c>
      <c r="N502" s="125" t="s">
        <v>121</v>
      </c>
    </row>
    <row r="503" spans="1:14">
      <c r="A503" s="123">
        <v>28</v>
      </c>
      <c r="B503" s="979"/>
      <c r="C503" s="92">
        <v>45481</v>
      </c>
      <c r="D503" s="125" t="s">
        <v>306</v>
      </c>
      <c r="E503" s="125" t="s">
        <v>322</v>
      </c>
      <c r="F503" s="125" t="s">
        <v>307</v>
      </c>
      <c r="G503" s="193">
        <v>3306</v>
      </c>
      <c r="H503" s="125" t="s">
        <v>811</v>
      </c>
      <c r="I503" s="193" t="s">
        <v>2109</v>
      </c>
      <c r="J503" s="125" t="s">
        <v>168</v>
      </c>
      <c r="K503" s="4" t="s">
        <v>2108</v>
      </c>
      <c r="L503" s="125"/>
      <c r="M503" s="96">
        <v>500000</v>
      </c>
      <c r="N503" s="125" t="s">
        <v>247</v>
      </c>
    </row>
    <row r="504" spans="1:14" ht="27">
      <c r="A504" s="123">
        <v>28</v>
      </c>
      <c r="B504" s="980"/>
      <c r="C504" s="92" t="s">
        <v>2106</v>
      </c>
      <c r="D504" s="125" t="s">
        <v>306</v>
      </c>
      <c r="E504" s="125" t="s">
        <v>322</v>
      </c>
      <c r="F504" s="125" t="s">
        <v>307</v>
      </c>
      <c r="G504" s="193">
        <v>3306</v>
      </c>
      <c r="H504" s="125" t="s">
        <v>811</v>
      </c>
      <c r="I504" s="193" t="s">
        <v>2110</v>
      </c>
      <c r="J504" s="125" t="s">
        <v>94</v>
      </c>
      <c r="K504" s="183" t="s">
        <v>2107</v>
      </c>
      <c r="L504" s="125"/>
      <c r="M504" s="96">
        <v>1500000</v>
      </c>
      <c r="N504" s="125" t="s">
        <v>247</v>
      </c>
    </row>
    <row r="505" spans="1:14" ht="27">
      <c r="A505" s="123">
        <v>28</v>
      </c>
      <c r="B505" s="978" t="s">
        <v>21</v>
      </c>
      <c r="C505" s="15">
        <v>45482</v>
      </c>
      <c r="D505" s="4" t="s">
        <v>21</v>
      </c>
      <c r="E505" s="4" t="s">
        <v>14</v>
      </c>
      <c r="F505" s="4" t="s">
        <v>381</v>
      </c>
      <c r="G505" s="3" t="s">
        <v>2097</v>
      </c>
      <c r="H505" s="3" t="s">
        <v>264</v>
      </c>
      <c r="I505" s="9" t="s">
        <v>2101</v>
      </c>
      <c r="J505" s="13"/>
      <c r="K505" s="268" t="s">
        <v>2292</v>
      </c>
      <c r="L505" s="6" t="s">
        <v>2100</v>
      </c>
      <c r="M505" s="96">
        <v>500000</v>
      </c>
      <c r="N505" s="8" t="s">
        <v>2102</v>
      </c>
    </row>
    <row r="506" spans="1:14" ht="27">
      <c r="A506" s="123">
        <v>28</v>
      </c>
      <c r="B506" s="980"/>
      <c r="C506" s="92">
        <v>45478</v>
      </c>
      <c r="D506" s="4" t="s">
        <v>21</v>
      </c>
      <c r="E506" s="4" t="s">
        <v>17</v>
      </c>
      <c r="F506" s="3" t="s">
        <v>1540</v>
      </c>
      <c r="G506" s="3" t="s">
        <v>619</v>
      </c>
      <c r="H506" s="3" t="s">
        <v>102</v>
      </c>
      <c r="I506" s="9" t="s">
        <v>2099</v>
      </c>
      <c r="J506" s="13" t="s">
        <v>90</v>
      </c>
      <c r="K506" s="9" t="s">
        <v>2098</v>
      </c>
      <c r="L506" s="6" t="s">
        <v>2100</v>
      </c>
      <c r="M506" s="96">
        <v>600000</v>
      </c>
      <c r="N506" s="8" t="s">
        <v>2103</v>
      </c>
    </row>
    <row r="507" spans="1:14" ht="27">
      <c r="A507" s="123">
        <v>29</v>
      </c>
      <c r="B507" s="978" t="s">
        <v>2161</v>
      </c>
      <c r="C507" s="122" t="s">
        <v>2121</v>
      </c>
      <c r="D507" s="202" t="s">
        <v>306</v>
      </c>
      <c r="E507" s="202" t="s">
        <v>322</v>
      </c>
      <c r="F507" s="202" t="s">
        <v>307</v>
      </c>
      <c r="G507" s="203" t="s">
        <v>2085</v>
      </c>
      <c r="H507" s="202" t="s">
        <v>40</v>
      </c>
      <c r="I507" s="203" t="s">
        <v>2117</v>
      </c>
      <c r="J507" s="202" t="s">
        <v>168</v>
      </c>
      <c r="K507" s="179" t="s">
        <v>2118</v>
      </c>
      <c r="L507" s="202" t="s">
        <v>209</v>
      </c>
      <c r="M507" s="96">
        <v>750000</v>
      </c>
      <c r="N507" s="202" t="s">
        <v>1970</v>
      </c>
    </row>
    <row r="508" spans="1:14" ht="27">
      <c r="A508" s="123">
        <v>29</v>
      </c>
      <c r="B508" s="979"/>
      <c r="C508" s="122" t="s">
        <v>2119</v>
      </c>
      <c r="D508" s="202" t="s">
        <v>306</v>
      </c>
      <c r="E508" s="202" t="s">
        <v>322</v>
      </c>
      <c r="F508" s="202" t="s">
        <v>307</v>
      </c>
      <c r="G508" s="193" t="s">
        <v>1968</v>
      </c>
      <c r="H508" s="125" t="s">
        <v>1895</v>
      </c>
      <c r="I508" s="193" t="s">
        <v>1962</v>
      </c>
      <c r="J508" s="202" t="s">
        <v>168</v>
      </c>
      <c r="K508" s="179" t="s">
        <v>2104</v>
      </c>
      <c r="L508" s="202" t="s">
        <v>209</v>
      </c>
      <c r="M508" s="96">
        <v>500000</v>
      </c>
      <c r="N508" s="202" t="s">
        <v>121</v>
      </c>
    </row>
    <row r="509" spans="1:14">
      <c r="A509" s="123">
        <v>29</v>
      </c>
      <c r="B509" s="979"/>
      <c r="C509" s="122" t="s">
        <v>2122</v>
      </c>
      <c r="D509" s="202" t="s">
        <v>306</v>
      </c>
      <c r="E509" s="202" t="s">
        <v>322</v>
      </c>
      <c r="F509" s="202" t="s">
        <v>307</v>
      </c>
      <c r="G509" s="193">
        <v>4267</v>
      </c>
      <c r="H509" s="125" t="s">
        <v>18</v>
      </c>
      <c r="I509" s="203" t="s">
        <v>2123</v>
      </c>
      <c r="J509" s="202"/>
      <c r="K509" s="183" t="s">
        <v>1617</v>
      </c>
      <c r="L509" s="202"/>
      <c r="M509" s="96">
        <v>500000</v>
      </c>
      <c r="N509" s="202" t="s">
        <v>247</v>
      </c>
    </row>
    <row r="510" spans="1:14">
      <c r="A510" s="123">
        <v>29</v>
      </c>
      <c r="B510" s="979"/>
      <c r="C510" s="122" t="s">
        <v>2122</v>
      </c>
      <c r="D510" s="202" t="s">
        <v>306</v>
      </c>
      <c r="E510" s="202" t="s">
        <v>322</v>
      </c>
      <c r="F510" s="202" t="s">
        <v>307</v>
      </c>
      <c r="G510" s="193">
        <v>3306</v>
      </c>
      <c r="H510" s="125" t="s">
        <v>811</v>
      </c>
      <c r="I510" s="203" t="s">
        <v>2124</v>
      </c>
      <c r="J510" s="202"/>
      <c r="K510" s="183" t="s">
        <v>1617</v>
      </c>
      <c r="L510" s="202"/>
      <c r="M510" s="96">
        <v>500000</v>
      </c>
      <c r="N510" s="202" t="s">
        <v>247</v>
      </c>
    </row>
    <row r="511" spans="1:14" ht="27">
      <c r="A511" s="123">
        <v>29</v>
      </c>
      <c r="B511" s="979" t="s">
        <v>21</v>
      </c>
      <c r="C511" s="34">
        <v>45488</v>
      </c>
      <c r="D511" s="4" t="s">
        <v>21</v>
      </c>
      <c r="E511" s="4" t="s">
        <v>14</v>
      </c>
      <c r="F511" s="3" t="s">
        <v>156</v>
      </c>
      <c r="G511" s="3" t="s">
        <v>1323</v>
      </c>
      <c r="H511" s="3" t="s">
        <v>1391</v>
      </c>
      <c r="I511" s="9" t="s">
        <v>2120</v>
      </c>
      <c r="J511" s="13" t="s">
        <v>639</v>
      </c>
      <c r="K511" s="288" t="s">
        <v>41</v>
      </c>
      <c r="L511" s="6" t="s">
        <v>15</v>
      </c>
      <c r="M511" s="96">
        <v>250000</v>
      </c>
      <c r="N511" s="8" t="s">
        <v>2116</v>
      </c>
    </row>
    <row r="512" spans="1:14">
      <c r="A512" s="123">
        <v>29</v>
      </c>
      <c r="B512" s="979"/>
      <c r="C512" s="122">
        <v>45489</v>
      </c>
      <c r="D512" s="4" t="s">
        <v>21</v>
      </c>
      <c r="E512" s="4" t="s">
        <v>14</v>
      </c>
      <c r="F512" s="3" t="s">
        <v>156</v>
      </c>
      <c r="G512" s="3" t="s">
        <v>1323</v>
      </c>
      <c r="H512" s="3" t="s">
        <v>2111</v>
      </c>
      <c r="I512" s="9" t="s">
        <v>1385</v>
      </c>
      <c r="J512" s="13" t="s">
        <v>639</v>
      </c>
      <c r="K512" s="288" t="s">
        <v>41</v>
      </c>
      <c r="L512" s="6" t="s">
        <v>15</v>
      </c>
      <c r="M512" s="96">
        <v>250000</v>
      </c>
      <c r="N512" s="8" t="s">
        <v>1332</v>
      </c>
    </row>
    <row r="513" spans="1:15" ht="30" customHeight="1">
      <c r="A513" s="123">
        <v>29</v>
      </c>
      <c r="B513" s="979"/>
      <c r="C513" s="122">
        <v>45490</v>
      </c>
      <c r="D513" s="4" t="s">
        <v>21</v>
      </c>
      <c r="E513" s="4" t="s">
        <v>14</v>
      </c>
      <c r="F513" s="3" t="s">
        <v>156</v>
      </c>
      <c r="G513" s="3" t="s">
        <v>1323</v>
      </c>
      <c r="H513" s="3" t="s">
        <v>1857</v>
      </c>
      <c r="I513" s="9" t="s">
        <v>399</v>
      </c>
      <c r="J513" s="13"/>
      <c r="K513" s="287" t="s">
        <v>2293</v>
      </c>
      <c r="L513" s="6" t="s">
        <v>15</v>
      </c>
      <c r="M513" s="96">
        <v>500000</v>
      </c>
      <c r="N513" s="8" t="s">
        <v>1332</v>
      </c>
    </row>
    <row r="514" spans="1:15" ht="27">
      <c r="A514" s="123">
        <v>29</v>
      </c>
      <c r="B514" s="979"/>
      <c r="C514" s="122">
        <v>45491</v>
      </c>
      <c r="D514" s="4" t="s">
        <v>21</v>
      </c>
      <c r="E514" s="4" t="s">
        <v>17</v>
      </c>
      <c r="F514" s="97" t="s">
        <v>898</v>
      </c>
      <c r="G514" s="3" t="s">
        <v>2077</v>
      </c>
      <c r="H514" s="3" t="s">
        <v>102</v>
      </c>
      <c r="I514" s="99" t="s">
        <v>2112</v>
      </c>
      <c r="J514" s="13" t="s">
        <v>90</v>
      </c>
      <c r="K514" s="4" t="s">
        <v>960</v>
      </c>
      <c r="L514" s="6" t="s">
        <v>15</v>
      </c>
      <c r="M514" s="96">
        <v>300000</v>
      </c>
      <c r="N514" s="8" t="s">
        <v>2114</v>
      </c>
    </row>
    <row r="515" spans="1:15" ht="27">
      <c r="A515" s="231">
        <v>29</v>
      </c>
      <c r="B515" s="980"/>
      <c r="C515" s="122">
        <v>45492</v>
      </c>
      <c r="D515" s="10" t="s">
        <v>21</v>
      </c>
      <c r="E515" s="10" t="s">
        <v>14</v>
      </c>
      <c r="F515" s="32" t="s">
        <v>2096</v>
      </c>
      <c r="G515" s="32" t="s">
        <v>270</v>
      </c>
      <c r="H515" s="3" t="s">
        <v>1501</v>
      </c>
      <c r="I515" s="5" t="s">
        <v>2095</v>
      </c>
      <c r="J515" s="13" t="s">
        <v>202</v>
      </c>
      <c r="K515" s="6" t="s">
        <v>901</v>
      </c>
      <c r="L515" s="6" t="s">
        <v>15</v>
      </c>
      <c r="M515" s="96">
        <v>300000</v>
      </c>
      <c r="N515" s="8" t="s">
        <v>2115</v>
      </c>
    </row>
    <row r="516" spans="1:15" ht="27">
      <c r="A516" s="123">
        <v>30</v>
      </c>
      <c r="B516" s="978" t="s">
        <v>175</v>
      </c>
      <c r="C516" s="92" t="s">
        <v>2134</v>
      </c>
      <c r="D516" s="125" t="s">
        <v>306</v>
      </c>
      <c r="E516" s="125" t="s">
        <v>322</v>
      </c>
      <c r="F516" s="125" t="s">
        <v>307</v>
      </c>
      <c r="G516" s="193" t="s">
        <v>2135</v>
      </c>
      <c r="H516" s="202" t="s">
        <v>40</v>
      </c>
      <c r="I516" s="193" t="s">
        <v>1962</v>
      </c>
      <c r="J516" s="202" t="s">
        <v>168</v>
      </c>
      <c r="K516" s="179" t="s">
        <v>2118</v>
      </c>
      <c r="L516" s="202" t="s">
        <v>209</v>
      </c>
      <c r="M516" s="96">
        <v>750000</v>
      </c>
      <c r="N516" s="202" t="s">
        <v>1970</v>
      </c>
    </row>
    <row r="517" spans="1:15" ht="27">
      <c r="A517" s="123">
        <v>30</v>
      </c>
      <c r="B517" s="979"/>
      <c r="C517" s="92" t="s">
        <v>2136</v>
      </c>
      <c r="D517" s="125" t="s">
        <v>306</v>
      </c>
      <c r="E517" s="125" t="s">
        <v>322</v>
      </c>
      <c r="F517" s="125" t="s">
        <v>307</v>
      </c>
      <c r="G517" s="193" t="s">
        <v>2048</v>
      </c>
      <c r="H517" s="125" t="s">
        <v>18</v>
      </c>
      <c r="I517" s="193" t="s">
        <v>1962</v>
      </c>
      <c r="J517" s="202" t="s">
        <v>168</v>
      </c>
      <c r="K517" s="179" t="s">
        <v>2104</v>
      </c>
      <c r="L517" s="202" t="s">
        <v>209</v>
      </c>
      <c r="M517" s="96">
        <v>500000</v>
      </c>
      <c r="N517" s="202" t="s">
        <v>121</v>
      </c>
    </row>
    <row r="518" spans="1:15" ht="27">
      <c r="A518" s="123">
        <v>30</v>
      </c>
      <c r="B518" s="980"/>
      <c r="C518" s="92" t="s">
        <v>2140</v>
      </c>
      <c r="D518" s="125" t="s">
        <v>306</v>
      </c>
      <c r="E518" s="125" t="s">
        <v>322</v>
      </c>
      <c r="F518" s="125" t="s">
        <v>307</v>
      </c>
      <c r="G518" s="193" t="s">
        <v>2138</v>
      </c>
      <c r="H518" s="125" t="s">
        <v>23</v>
      </c>
      <c r="I518" s="203" t="s">
        <v>2137</v>
      </c>
      <c r="J518" s="202" t="s">
        <v>292</v>
      </c>
      <c r="K518" s="183" t="s">
        <v>1571</v>
      </c>
      <c r="L518" s="202"/>
      <c r="M518" s="96">
        <v>1500000</v>
      </c>
      <c r="N518" s="202" t="s">
        <v>247</v>
      </c>
    </row>
    <row r="519" spans="1:15" ht="27">
      <c r="A519" s="123">
        <v>30</v>
      </c>
      <c r="B519" s="978" t="s">
        <v>2162</v>
      </c>
      <c r="C519" s="15">
        <v>45495</v>
      </c>
      <c r="D519" s="4" t="s">
        <v>21</v>
      </c>
      <c r="E519" s="4" t="s">
        <v>14</v>
      </c>
      <c r="F519" s="3" t="s">
        <v>156</v>
      </c>
      <c r="G519" s="3" t="s">
        <v>1323</v>
      </c>
      <c r="H519" s="4" t="s">
        <v>1348</v>
      </c>
      <c r="I519" s="9" t="s">
        <v>2141</v>
      </c>
      <c r="J519" s="13"/>
      <c r="K519" s="9" t="s">
        <v>68</v>
      </c>
      <c r="L519" s="6" t="s">
        <v>15</v>
      </c>
      <c r="M519" s="96">
        <v>300000</v>
      </c>
      <c r="N519" s="8" t="s">
        <v>2139</v>
      </c>
    </row>
    <row r="520" spans="1:15">
      <c r="A520" s="123">
        <v>30</v>
      </c>
      <c r="B520" s="979"/>
      <c r="C520" s="15">
        <v>45495</v>
      </c>
      <c r="D520" s="4" t="s">
        <v>21</v>
      </c>
      <c r="E520" s="4" t="s">
        <v>14</v>
      </c>
      <c r="F520" s="3" t="s">
        <v>107</v>
      </c>
      <c r="G520" s="3" t="s">
        <v>402</v>
      </c>
      <c r="H520" s="4" t="s">
        <v>205</v>
      </c>
      <c r="I520" s="9" t="s">
        <v>2131</v>
      </c>
      <c r="J520" s="13"/>
      <c r="K520" s="4" t="s">
        <v>752</v>
      </c>
      <c r="L520" s="6" t="s">
        <v>15</v>
      </c>
      <c r="M520" s="96">
        <v>300000</v>
      </c>
      <c r="N520" s="8" t="s">
        <v>2115</v>
      </c>
    </row>
    <row r="521" spans="1:15" ht="27">
      <c r="A521" s="123">
        <v>30</v>
      </c>
      <c r="B521" s="979"/>
      <c r="C521" s="15">
        <v>45496</v>
      </c>
      <c r="D521" s="4" t="s">
        <v>21</v>
      </c>
      <c r="E521" s="4" t="s">
        <v>77</v>
      </c>
      <c r="F521" s="3" t="s">
        <v>958</v>
      </c>
      <c r="G521" s="3">
        <v>7060</v>
      </c>
      <c r="H521" s="3" t="s">
        <v>649</v>
      </c>
      <c r="I521" s="193" t="s">
        <v>2132</v>
      </c>
      <c r="J521" s="13"/>
      <c r="K521" s="4" t="s">
        <v>2126</v>
      </c>
      <c r="L521" s="6" t="s">
        <v>15</v>
      </c>
      <c r="M521" s="96">
        <v>300000</v>
      </c>
      <c r="N521" s="8" t="s">
        <v>2133</v>
      </c>
    </row>
    <row r="522" spans="1:15" ht="27">
      <c r="A522" s="123">
        <v>30</v>
      </c>
      <c r="B522" s="979"/>
      <c r="C522" s="15">
        <v>45498</v>
      </c>
      <c r="D522" s="4" t="s">
        <v>138</v>
      </c>
      <c r="E522" s="4" t="s">
        <v>31</v>
      </c>
      <c r="F522" s="4" t="s">
        <v>1384</v>
      </c>
      <c r="G522" s="4" t="s">
        <v>2129</v>
      </c>
      <c r="H522" s="3" t="s">
        <v>23</v>
      </c>
      <c r="I522" s="269" t="s">
        <v>2142</v>
      </c>
      <c r="J522" s="13"/>
      <c r="K522" s="297" t="s">
        <v>133</v>
      </c>
      <c r="L522" s="6" t="s">
        <v>15</v>
      </c>
      <c r="M522" s="96">
        <v>500000</v>
      </c>
      <c r="N522" s="8" t="s">
        <v>2143</v>
      </c>
    </row>
    <row r="523" spans="1:15">
      <c r="A523" s="123">
        <v>30</v>
      </c>
      <c r="B523" s="980"/>
      <c r="C523" s="92">
        <v>45499</v>
      </c>
      <c r="D523" s="4" t="s">
        <v>21</v>
      </c>
      <c r="E523" s="4" t="s">
        <v>14</v>
      </c>
      <c r="F523" s="3" t="s">
        <v>107</v>
      </c>
      <c r="G523" s="4" t="s">
        <v>141</v>
      </c>
      <c r="H523" s="4" t="s">
        <v>1376</v>
      </c>
      <c r="I523" s="269" t="s">
        <v>2128</v>
      </c>
      <c r="J523" s="13" t="s">
        <v>155</v>
      </c>
      <c r="K523" s="288" t="s">
        <v>41</v>
      </c>
      <c r="L523" s="308" t="s">
        <v>15</v>
      </c>
      <c r="M523" s="96">
        <v>250000</v>
      </c>
      <c r="N523" s="8" t="s">
        <v>1979</v>
      </c>
      <c r="O523">
        <v>30</v>
      </c>
    </row>
    <row r="524" spans="1:15" ht="27">
      <c r="A524" s="123">
        <v>31</v>
      </c>
      <c r="B524" s="978" t="s">
        <v>2174</v>
      </c>
      <c r="C524" s="92" t="s">
        <v>2156</v>
      </c>
      <c r="D524" s="125" t="s">
        <v>306</v>
      </c>
      <c r="E524" s="125" t="s">
        <v>322</v>
      </c>
      <c r="F524" s="125" t="s">
        <v>307</v>
      </c>
      <c r="G524" s="193" t="s">
        <v>2164</v>
      </c>
      <c r="H524" s="125" t="s">
        <v>2165</v>
      </c>
      <c r="I524" s="193" t="s">
        <v>1962</v>
      </c>
      <c r="J524" s="125" t="s">
        <v>168</v>
      </c>
      <c r="K524" s="179" t="s">
        <v>2118</v>
      </c>
      <c r="L524" s="125" t="s">
        <v>209</v>
      </c>
      <c r="M524" s="96">
        <v>750000</v>
      </c>
      <c r="N524" s="125" t="s">
        <v>1970</v>
      </c>
    </row>
    <row r="525" spans="1:15">
      <c r="A525" s="123">
        <v>31</v>
      </c>
      <c r="B525" s="980"/>
      <c r="C525" s="92" t="s">
        <v>2166</v>
      </c>
      <c r="D525" s="125" t="s">
        <v>306</v>
      </c>
      <c r="E525" s="125" t="s">
        <v>322</v>
      </c>
      <c r="F525" s="125" t="s">
        <v>307</v>
      </c>
      <c r="G525" s="193" t="s">
        <v>2169</v>
      </c>
      <c r="H525" s="125" t="s">
        <v>2170</v>
      </c>
      <c r="I525" s="193" t="s">
        <v>2173</v>
      </c>
      <c r="J525" s="125" t="s">
        <v>2172</v>
      </c>
      <c r="K525" s="183" t="s">
        <v>2167</v>
      </c>
      <c r="L525" s="125" t="s">
        <v>209</v>
      </c>
      <c r="M525" s="96">
        <v>500000</v>
      </c>
      <c r="N525" s="125" t="s">
        <v>2168</v>
      </c>
    </row>
    <row r="526" spans="1:15">
      <c r="A526" s="123">
        <v>31</v>
      </c>
      <c r="B526" s="978" t="s">
        <v>2175</v>
      </c>
      <c r="C526" s="15">
        <v>45502</v>
      </c>
      <c r="D526" s="4" t="s">
        <v>21</v>
      </c>
      <c r="E526" s="4" t="s">
        <v>14</v>
      </c>
      <c r="F526" s="3" t="s">
        <v>156</v>
      </c>
      <c r="G526" s="3" t="s">
        <v>1323</v>
      </c>
      <c r="H526" s="3" t="s">
        <v>2092</v>
      </c>
      <c r="I526" s="9" t="s">
        <v>2152</v>
      </c>
      <c r="J526" s="13" t="s">
        <v>2163</v>
      </c>
      <c r="K526" s="9" t="s">
        <v>2153</v>
      </c>
      <c r="L526" s="6" t="s">
        <v>15</v>
      </c>
      <c r="M526" s="96">
        <v>300000</v>
      </c>
      <c r="N526" s="8" t="s">
        <v>1979</v>
      </c>
    </row>
    <row r="527" spans="1:15" ht="27">
      <c r="A527" s="123">
        <v>31</v>
      </c>
      <c r="B527" s="979"/>
      <c r="C527" s="15">
        <v>45503</v>
      </c>
      <c r="D527" s="4" t="s">
        <v>21</v>
      </c>
      <c r="E527" s="4" t="s">
        <v>14</v>
      </c>
      <c r="F527" s="3" t="s">
        <v>211</v>
      </c>
      <c r="G527" s="3" t="s">
        <v>2125</v>
      </c>
      <c r="H527" s="3" t="s">
        <v>18</v>
      </c>
      <c r="I527" s="9" t="s">
        <v>2147</v>
      </c>
      <c r="J527" s="13" t="s">
        <v>2127</v>
      </c>
      <c r="K527" s="288" t="s">
        <v>2471</v>
      </c>
      <c r="L527" s="6" t="s">
        <v>15</v>
      </c>
      <c r="M527" s="96">
        <v>250000</v>
      </c>
      <c r="N527" s="8" t="s">
        <v>2160</v>
      </c>
    </row>
    <row r="528" spans="1:15">
      <c r="A528" s="123">
        <v>31</v>
      </c>
      <c r="B528" s="979"/>
      <c r="C528" s="15">
        <v>45503</v>
      </c>
      <c r="D528" s="4" t="s">
        <v>21</v>
      </c>
      <c r="E528" s="4" t="s">
        <v>14</v>
      </c>
      <c r="F528" s="3" t="s">
        <v>211</v>
      </c>
      <c r="G528" s="3" t="s">
        <v>2149</v>
      </c>
      <c r="H528" s="4" t="s">
        <v>2150</v>
      </c>
      <c r="I528" s="9" t="s">
        <v>238</v>
      </c>
      <c r="J528" s="13"/>
      <c r="K528" s="9" t="s">
        <v>2151</v>
      </c>
      <c r="L528" s="6" t="s">
        <v>15</v>
      </c>
      <c r="M528" s="96">
        <v>500000</v>
      </c>
      <c r="N528" s="8" t="s">
        <v>128</v>
      </c>
    </row>
    <row r="529" spans="1:14" ht="27">
      <c r="A529" s="123">
        <v>31</v>
      </c>
      <c r="B529" s="979"/>
      <c r="C529" s="15" t="s">
        <v>2158</v>
      </c>
      <c r="D529" s="3" t="s">
        <v>21</v>
      </c>
      <c r="E529" s="4" t="s">
        <v>77</v>
      </c>
      <c r="F529" s="4" t="s">
        <v>1788</v>
      </c>
      <c r="G529" s="16" t="s">
        <v>683</v>
      </c>
      <c r="H529" s="3" t="s">
        <v>1786</v>
      </c>
      <c r="I529" s="9" t="s">
        <v>2154</v>
      </c>
      <c r="J529" s="13"/>
      <c r="K529" s="295" t="s">
        <v>2159</v>
      </c>
      <c r="L529" s="6" t="s">
        <v>69</v>
      </c>
      <c r="M529" s="96">
        <v>600000</v>
      </c>
      <c r="N529" s="8" t="s">
        <v>2171</v>
      </c>
    </row>
    <row r="530" spans="1:14" ht="27">
      <c r="A530" s="123">
        <v>31</v>
      </c>
      <c r="B530" s="980"/>
      <c r="C530" s="15">
        <v>45506</v>
      </c>
      <c r="D530" s="4" t="s">
        <v>21</v>
      </c>
      <c r="E530" s="4" t="s">
        <v>14</v>
      </c>
      <c r="F530" s="3" t="s">
        <v>2146</v>
      </c>
      <c r="G530" s="3" t="s">
        <v>2145</v>
      </c>
      <c r="H530" s="4" t="s">
        <v>102</v>
      </c>
      <c r="I530" s="269" t="s">
        <v>2155</v>
      </c>
      <c r="J530" s="13" t="s">
        <v>155</v>
      </c>
      <c r="K530" s="293" t="s">
        <v>822</v>
      </c>
      <c r="L530" s="6" t="s">
        <v>15</v>
      </c>
      <c r="M530" s="96">
        <v>250000</v>
      </c>
      <c r="N530" s="8" t="s">
        <v>2157</v>
      </c>
    </row>
    <row r="531" spans="1:14" ht="27">
      <c r="A531" s="123">
        <v>32</v>
      </c>
      <c r="B531" s="978" t="s">
        <v>240</v>
      </c>
      <c r="C531" s="92" t="s">
        <v>2296</v>
      </c>
      <c r="D531" s="125" t="s">
        <v>306</v>
      </c>
      <c r="E531" s="125" t="s">
        <v>322</v>
      </c>
      <c r="F531" s="125" t="s">
        <v>307</v>
      </c>
      <c r="G531" s="193" t="s">
        <v>2164</v>
      </c>
      <c r="H531" s="125" t="s">
        <v>2165</v>
      </c>
      <c r="I531" s="193" t="s">
        <v>1962</v>
      </c>
      <c r="J531" s="125" t="s">
        <v>168</v>
      </c>
      <c r="K531" s="298" t="s">
        <v>1869</v>
      </c>
      <c r="L531" s="125" t="s">
        <v>209</v>
      </c>
      <c r="M531" s="96">
        <v>750000</v>
      </c>
      <c r="N531" s="125" t="s">
        <v>121</v>
      </c>
    </row>
    <row r="532" spans="1:14" ht="27">
      <c r="A532" s="123">
        <v>32</v>
      </c>
      <c r="B532" s="979"/>
      <c r="C532" s="92" t="s">
        <v>2297</v>
      </c>
      <c r="D532" s="125" t="s">
        <v>306</v>
      </c>
      <c r="E532" s="125" t="s">
        <v>322</v>
      </c>
      <c r="F532" s="125" t="s">
        <v>307</v>
      </c>
      <c r="G532" s="193" t="s">
        <v>1968</v>
      </c>
      <c r="H532" s="125" t="s">
        <v>1895</v>
      </c>
      <c r="I532" s="193" t="s">
        <v>1962</v>
      </c>
      <c r="J532" s="125" t="s">
        <v>168</v>
      </c>
      <c r="K532" s="298" t="s">
        <v>1655</v>
      </c>
      <c r="L532" s="125" t="s">
        <v>209</v>
      </c>
      <c r="M532" s="96">
        <v>500000</v>
      </c>
      <c r="N532" s="125" t="s">
        <v>121</v>
      </c>
    </row>
    <row r="533" spans="1:14">
      <c r="A533" s="123">
        <v>32</v>
      </c>
      <c r="B533" s="980"/>
      <c r="C533" s="92">
        <v>45509</v>
      </c>
      <c r="D533" s="125" t="s">
        <v>306</v>
      </c>
      <c r="E533" s="125" t="s">
        <v>322</v>
      </c>
      <c r="F533" s="125" t="s">
        <v>307</v>
      </c>
      <c r="G533" s="193">
        <v>3307</v>
      </c>
      <c r="H533" s="125" t="s">
        <v>811</v>
      </c>
      <c r="I533" s="193" t="s">
        <v>2300</v>
      </c>
      <c r="J533" s="125" t="s">
        <v>168</v>
      </c>
      <c r="K533" s="292" t="s">
        <v>1587</v>
      </c>
      <c r="L533" s="125"/>
      <c r="M533" s="96">
        <v>500000</v>
      </c>
      <c r="N533" s="125" t="s">
        <v>247</v>
      </c>
    </row>
    <row r="534" spans="1:14">
      <c r="A534" s="123">
        <v>32</v>
      </c>
      <c r="B534" s="978" t="s">
        <v>64</v>
      </c>
      <c r="C534" s="92">
        <v>45507</v>
      </c>
      <c r="D534" s="3" t="s">
        <v>24</v>
      </c>
      <c r="E534" s="4" t="s">
        <v>139</v>
      </c>
      <c r="F534" s="4" t="s">
        <v>953</v>
      </c>
      <c r="G534" s="13">
        <v>3306</v>
      </c>
      <c r="H534" s="3" t="s">
        <v>811</v>
      </c>
      <c r="I534" s="9" t="s">
        <v>2301</v>
      </c>
      <c r="J534" s="13"/>
      <c r="K534" s="288" t="s">
        <v>118</v>
      </c>
      <c r="L534" s="6" t="s">
        <v>15</v>
      </c>
      <c r="M534" s="96">
        <v>500000</v>
      </c>
      <c r="N534" s="8" t="s">
        <v>1878</v>
      </c>
    </row>
    <row r="535" spans="1:14">
      <c r="A535" s="123">
        <v>32</v>
      </c>
      <c r="B535" s="979"/>
      <c r="C535" s="92">
        <v>45512</v>
      </c>
      <c r="D535" s="3" t="s">
        <v>138</v>
      </c>
      <c r="E535" s="4" t="s">
        <v>31</v>
      </c>
      <c r="F535" s="4" t="s">
        <v>78</v>
      </c>
      <c r="G535" s="13" t="s">
        <v>502</v>
      </c>
      <c r="H535" s="3" t="s">
        <v>80</v>
      </c>
      <c r="I535" s="9" t="s">
        <v>2295</v>
      </c>
      <c r="J535" s="13" t="s">
        <v>90</v>
      </c>
      <c r="K535" s="297" t="s">
        <v>2299</v>
      </c>
      <c r="L535" s="300" t="s">
        <v>15</v>
      </c>
      <c r="M535" s="96">
        <v>1000000</v>
      </c>
      <c r="N535" s="8" t="s">
        <v>1876</v>
      </c>
    </row>
    <row r="536" spans="1:14" ht="27">
      <c r="A536" s="123">
        <v>32</v>
      </c>
      <c r="B536" s="980"/>
      <c r="C536" s="15">
        <v>45513</v>
      </c>
      <c r="D536" s="4" t="s">
        <v>21</v>
      </c>
      <c r="E536" s="4" t="s">
        <v>17</v>
      </c>
      <c r="F536" s="200" t="s">
        <v>898</v>
      </c>
      <c r="G536" s="4" t="s">
        <v>2077</v>
      </c>
      <c r="H536" s="4" t="s">
        <v>102</v>
      </c>
      <c r="I536" s="269" t="s">
        <v>2144</v>
      </c>
      <c r="J536" s="13" t="s">
        <v>73</v>
      </c>
      <c r="K536" s="296" t="s">
        <v>41</v>
      </c>
      <c r="L536" s="6" t="s">
        <v>15</v>
      </c>
      <c r="M536" s="96">
        <v>250000</v>
      </c>
      <c r="N536" s="8" t="s">
        <v>2298</v>
      </c>
    </row>
    <row r="537" spans="1:14">
      <c r="A537" s="123">
        <v>33</v>
      </c>
      <c r="B537" s="978" t="s">
        <v>123</v>
      </c>
      <c r="C537" s="92">
        <v>45513</v>
      </c>
      <c r="D537" s="125" t="s">
        <v>306</v>
      </c>
      <c r="E537" s="125" t="s">
        <v>322</v>
      </c>
      <c r="F537" s="125" t="s">
        <v>307</v>
      </c>
      <c r="G537" s="193" t="s">
        <v>2048</v>
      </c>
      <c r="H537" s="125" t="s">
        <v>125</v>
      </c>
      <c r="I537" s="193" t="s">
        <v>1860</v>
      </c>
      <c r="J537" s="125" t="s">
        <v>168</v>
      </c>
      <c r="K537" s="4" t="s">
        <v>118</v>
      </c>
      <c r="L537" s="125" t="s">
        <v>209</v>
      </c>
      <c r="M537" s="96">
        <v>500000</v>
      </c>
      <c r="N537" s="125" t="s">
        <v>121</v>
      </c>
    </row>
    <row r="538" spans="1:14">
      <c r="A538" s="123">
        <v>33</v>
      </c>
      <c r="B538" s="979"/>
      <c r="C538" s="92">
        <v>45516</v>
      </c>
      <c r="D538" s="125" t="s">
        <v>306</v>
      </c>
      <c r="E538" s="125" t="s">
        <v>322</v>
      </c>
      <c r="F538" s="125" t="s">
        <v>307</v>
      </c>
      <c r="G538" s="193" t="s">
        <v>2048</v>
      </c>
      <c r="H538" s="125" t="s">
        <v>125</v>
      </c>
      <c r="I538" s="193" t="s">
        <v>1860</v>
      </c>
      <c r="J538" s="125" t="s">
        <v>168</v>
      </c>
      <c r="K538" s="4" t="s">
        <v>111</v>
      </c>
      <c r="L538" s="125" t="s">
        <v>209</v>
      </c>
      <c r="M538" s="96">
        <v>250000</v>
      </c>
      <c r="N538" s="125" t="s">
        <v>121</v>
      </c>
    </row>
    <row r="539" spans="1:14">
      <c r="A539" s="123">
        <v>33</v>
      </c>
      <c r="B539" s="979"/>
      <c r="C539" s="92">
        <v>45517</v>
      </c>
      <c r="D539" s="125" t="s">
        <v>306</v>
      </c>
      <c r="E539" s="125" t="s">
        <v>322</v>
      </c>
      <c r="F539" s="125" t="s">
        <v>307</v>
      </c>
      <c r="G539" s="193">
        <v>3307</v>
      </c>
      <c r="H539" s="125" t="s">
        <v>811</v>
      </c>
      <c r="I539" s="193" t="s">
        <v>2313</v>
      </c>
      <c r="J539" s="125" t="s">
        <v>168</v>
      </c>
      <c r="K539" s="292" t="s">
        <v>1587</v>
      </c>
      <c r="L539" s="125" t="s">
        <v>209</v>
      </c>
      <c r="M539" s="96">
        <v>500000</v>
      </c>
      <c r="N539" s="125" t="s">
        <v>121</v>
      </c>
    </row>
    <row r="540" spans="1:14" ht="27">
      <c r="A540" s="123">
        <v>33</v>
      </c>
      <c r="B540" s="979"/>
      <c r="C540" s="92" t="s">
        <v>2307</v>
      </c>
      <c r="D540" s="125" t="s">
        <v>306</v>
      </c>
      <c r="E540" s="125" t="s">
        <v>322</v>
      </c>
      <c r="F540" s="125" t="s">
        <v>307</v>
      </c>
      <c r="G540" s="193" t="s">
        <v>2048</v>
      </c>
      <c r="H540" s="125" t="s">
        <v>125</v>
      </c>
      <c r="I540" s="193" t="s">
        <v>2306</v>
      </c>
      <c r="J540" s="125" t="s">
        <v>168</v>
      </c>
      <c r="K540" s="298" t="s">
        <v>1655</v>
      </c>
      <c r="L540" s="125" t="s">
        <v>209</v>
      </c>
      <c r="M540" s="96">
        <v>500000</v>
      </c>
      <c r="N540" s="125" t="s">
        <v>121</v>
      </c>
    </row>
    <row r="541" spans="1:14" ht="27">
      <c r="A541" s="123">
        <v>33</v>
      </c>
      <c r="B541" s="980"/>
      <c r="C541" s="92" t="s">
        <v>2308</v>
      </c>
      <c r="D541" s="125" t="s">
        <v>306</v>
      </c>
      <c r="E541" s="125" t="s">
        <v>322</v>
      </c>
      <c r="F541" s="125" t="s">
        <v>307</v>
      </c>
      <c r="G541" s="193" t="s">
        <v>2048</v>
      </c>
      <c r="H541" s="125" t="s">
        <v>361</v>
      </c>
      <c r="I541" s="193" t="s">
        <v>1962</v>
      </c>
      <c r="J541" s="125" t="s">
        <v>168</v>
      </c>
      <c r="K541" s="298" t="s">
        <v>1655</v>
      </c>
      <c r="L541" s="125" t="s">
        <v>209</v>
      </c>
      <c r="M541" s="96">
        <v>500000</v>
      </c>
      <c r="N541" s="125" t="s">
        <v>121</v>
      </c>
    </row>
    <row r="542" spans="1:14" ht="27">
      <c r="A542" s="123">
        <v>33</v>
      </c>
      <c r="B542" s="978" t="s">
        <v>21</v>
      </c>
      <c r="C542" s="92">
        <v>45517</v>
      </c>
      <c r="D542" s="4" t="s">
        <v>138</v>
      </c>
      <c r="E542" s="4" t="s">
        <v>31</v>
      </c>
      <c r="F542" s="4" t="s">
        <v>1384</v>
      </c>
      <c r="G542" s="4" t="s">
        <v>2129</v>
      </c>
      <c r="H542" s="3" t="s">
        <v>23</v>
      </c>
      <c r="I542" s="269" t="s">
        <v>2309</v>
      </c>
      <c r="J542" s="13"/>
      <c r="K542" s="288" t="s">
        <v>2470</v>
      </c>
      <c r="L542" s="6" t="s">
        <v>15</v>
      </c>
      <c r="M542" s="96">
        <v>500000</v>
      </c>
      <c r="N542" s="8" t="s">
        <v>2304</v>
      </c>
    </row>
    <row r="543" spans="1:14">
      <c r="A543" s="123">
        <v>33</v>
      </c>
      <c r="B543" s="979"/>
      <c r="C543" s="92">
        <v>45517</v>
      </c>
      <c r="D543" s="4" t="s">
        <v>138</v>
      </c>
      <c r="E543" s="4" t="s">
        <v>139</v>
      </c>
      <c r="F543" s="3" t="s">
        <v>225</v>
      </c>
      <c r="G543" s="3" t="s">
        <v>2097</v>
      </c>
      <c r="H543" s="3" t="s">
        <v>125</v>
      </c>
      <c r="I543" s="9" t="s">
        <v>2303</v>
      </c>
      <c r="J543" s="13" t="s">
        <v>90</v>
      </c>
      <c r="K543" s="293" t="s">
        <v>686</v>
      </c>
      <c r="L543" s="6" t="s">
        <v>15</v>
      </c>
      <c r="M543" s="96">
        <v>250000</v>
      </c>
      <c r="N543" s="8" t="s">
        <v>2305</v>
      </c>
    </row>
    <row r="544" spans="1:14" ht="27">
      <c r="A544" s="123">
        <v>33</v>
      </c>
      <c r="B544" s="979"/>
      <c r="C544" s="92">
        <v>45520</v>
      </c>
      <c r="D544" s="3" t="s">
        <v>138</v>
      </c>
      <c r="E544" s="4" t="s">
        <v>31</v>
      </c>
      <c r="F544" s="4" t="s">
        <v>78</v>
      </c>
      <c r="G544" s="13" t="s">
        <v>502</v>
      </c>
      <c r="H544" s="3" t="s">
        <v>80</v>
      </c>
      <c r="I544" s="9" t="s">
        <v>2302</v>
      </c>
      <c r="J544" s="13" t="s">
        <v>90</v>
      </c>
      <c r="K544" s="169" t="s">
        <v>999</v>
      </c>
      <c r="L544" s="6" t="s">
        <v>15</v>
      </c>
      <c r="M544" s="96">
        <v>300000</v>
      </c>
      <c r="N544" s="8" t="s">
        <v>2310</v>
      </c>
    </row>
    <row r="545" spans="1:14">
      <c r="A545" s="123">
        <v>33</v>
      </c>
      <c r="B545" s="980"/>
      <c r="C545" s="92">
        <v>45520</v>
      </c>
      <c r="D545" s="4" t="s">
        <v>21</v>
      </c>
      <c r="E545" s="4" t="s">
        <v>14</v>
      </c>
      <c r="F545" s="3" t="s">
        <v>107</v>
      </c>
      <c r="G545" s="4" t="s">
        <v>108</v>
      </c>
      <c r="H545" s="3" t="s">
        <v>376</v>
      </c>
      <c r="I545" s="269" t="s">
        <v>2311</v>
      </c>
      <c r="J545" s="13"/>
      <c r="K545" s="299" t="s">
        <v>118</v>
      </c>
      <c r="L545" s="6" t="s">
        <v>15</v>
      </c>
      <c r="M545" s="96">
        <v>500000</v>
      </c>
      <c r="N545" s="8" t="s">
        <v>2312</v>
      </c>
    </row>
    <row r="546" spans="1:14" ht="27">
      <c r="A546" s="123">
        <v>34</v>
      </c>
      <c r="B546" s="978" t="s">
        <v>20</v>
      </c>
      <c r="C546" s="92" t="s">
        <v>2315</v>
      </c>
      <c r="D546" s="125" t="s">
        <v>306</v>
      </c>
      <c r="E546" s="125" t="s">
        <v>322</v>
      </c>
      <c r="F546" s="125" t="s">
        <v>307</v>
      </c>
      <c r="G546" s="203" t="s">
        <v>2316</v>
      </c>
      <c r="H546" s="202" t="s">
        <v>2317</v>
      </c>
      <c r="I546" s="193" t="s">
        <v>2318</v>
      </c>
      <c r="J546" s="202" t="s">
        <v>168</v>
      </c>
      <c r="K546" s="298" t="s">
        <v>1869</v>
      </c>
      <c r="L546" s="202" t="s">
        <v>209</v>
      </c>
      <c r="M546" s="96">
        <v>750000</v>
      </c>
      <c r="N546" s="202" t="s">
        <v>121</v>
      </c>
    </row>
    <row r="547" spans="1:14" ht="27">
      <c r="A547" s="123">
        <v>34</v>
      </c>
      <c r="B547" s="979"/>
      <c r="C547" s="92" t="s">
        <v>2319</v>
      </c>
      <c r="D547" s="125" t="s">
        <v>306</v>
      </c>
      <c r="E547" s="125" t="s">
        <v>322</v>
      </c>
      <c r="F547" s="125" t="s">
        <v>307</v>
      </c>
      <c r="G547" s="203" t="s">
        <v>2323</v>
      </c>
      <c r="H547" s="202" t="s">
        <v>40</v>
      </c>
      <c r="I547" s="193" t="s">
        <v>2320</v>
      </c>
      <c r="J547" s="202" t="s">
        <v>168</v>
      </c>
      <c r="K547" s="298" t="s">
        <v>1655</v>
      </c>
      <c r="L547" s="202" t="s">
        <v>209</v>
      </c>
      <c r="M547" s="96">
        <v>500000</v>
      </c>
      <c r="N547" s="202" t="s">
        <v>121</v>
      </c>
    </row>
    <row r="548" spans="1:14">
      <c r="A548" s="123">
        <v>34</v>
      </c>
      <c r="B548" s="979"/>
      <c r="C548" s="92">
        <v>45523</v>
      </c>
      <c r="D548" s="125" t="s">
        <v>306</v>
      </c>
      <c r="E548" s="125" t="s">
        <v>322</v>
      </c>
      <c r="F548" s="125" t="s">
        <v>307</v>
      </c>
      <c r="G548" s="203">
        <v>3307</v>
      </c>
      <c r="H548" s="202" t="s">
        <v>811</v>
      </c>
      <c r="I548" s="193" t="s">
        <v>2324</v>
      </c>
      <c r="J548" s="202" t="s">
        <v>168</v>
      </c>
      <c r="K548" s="293" t="s">
        <v>686</v>
      </c>
      <c r="L548" s="202" t="s">
        <v>209</v>
      </c>
      <c r="M548" s="96">
        <v>250000</v>
      </c>
      <c r="N548" s="202" t="s">
        <v>121</v>
      </c>
    </row>
    <row r="549" spans="1:14" ht="27">
      <c r="A549" s="123">
        <v>34</v>
      </c>
      <c r="B549" s="980"/>
      <c r="C549" s="92" t="s">
        <v>2322</v>
      </c>
      <c r="D549" s="125" t="s">
        <v>306</v>
      </c>
      <c r="E549" s="125" t="s">
        <v>322</v>
      </c>
      <c r="F549" s="125" t="s">
        <v>307</v>
      </c>
      <c r="G549" s="203" t="s">
        <v>2048</v>
      </c>
      <c r="H549" s="202" t="s">
        <v>227</v>
      </c>
      <c r="I549" s="193" t="s">
        <v>2321</v>
      </c>
      <c r="J549" s="202" t="s">
        <v>468</v>
      </c>
      <c r="K549" s="292" t="s">
        <v>1571</v>
      </c>
      <c r="L549" s="202" t="s">
        <v>209</v>
      </c>
      <c r="M549" s="96">
        <v>1500000</v>
      </c>
      <c r="N549" s="202" t="s">
        <v>247</v>
      </c>
    </row>
    <row r="550" spans="1:14">
      <c r="A550" s="123">
        <v>34</v>
      </c>
      <c r="B550" s="55" t="s">
        <v>64</v>
      </c>
      <c r="C550" s="92">
        <v>45527</v>
      </c>
      <c r="D550" s="4" t="s">
        <v>21</v>
      </c>
      <c r="E550" s="4" t="s">
        <v>17</v>
      </c>
      <c r="F550" s="4" t="s">
        <v>953</v>
      </c>
      <c r="G550" s="13">
        <v>7060</v>
      </c>
      <c r="H550" s="3" t="s">
        <v>36</v>
      </c>
      <c r="I550" s="31" t="s">
        <v>2314</v>
      </c>
      <c r="J550" s="13" t="s">
        <v>90</v>
      </c>
      <c r="K550" s="4" t="s">
        <v>60</v>
      </c>
      <c r="L550" s="6" t="s">
        <v>15</v>
      </c>
      <c r="M550" s="96">
        <v>250000</v>
      </c>
      <c r="N550" s="8" t="s">
        <v>1876</v>
      </c>
    </row>
    <row r="551" spans="1:14" ht="27">
      <c r="A551" s="123">
        <v>35</v>
      </c>
      <c r="B551" s="978" t="s">
        <v>123</v>
      </c>
      <c r="C551" s="92" t="s">
        <v>2327</v>
      </c>
      <c r="D551" s="125" t="s">
        <v>306</v>
      </c>
      <c r="E551" s="125" t="s">
        <v>322</v>
      </c>
      <c r="F551" s="125" t="s">
        <v>307</v>
      </c>
      <c r="G551" s="193" t="s">
        <v>2329</v>
      </c>
      <c r="H551" s="125" t="s">
        <v>23</v>
      </c>
      <c r="I551" s="193" t="s">
        <v>1962</v>
      </c>
      <c r="J551" s="125" t="s">
        <v>168</v>
      </c>
      <c r="K551" s="298" t="s">
        <v>1869</v>
      </c>
      <c r="L551" s="125" t="s">
        <v>209</v>
      </c>
      <c r="M551" s="96">
        <v>750000</v>
      </c>
      <c r="N551" s="125" t="s">
        <v>121</v>
      </c>
    </row>
    <row r="552" spans="1:14" ht="27">
      <c r="A552" s="123">
        <v>35</v>
      </c>
      <c r="B552" s="979"/>
      <c r="C552" s="92" t="s">
        <v>2328</v>
      </c>
      <c r="D552" s="125" t="s">
        <v>306</v>
      </c>
      <c r="E552" s="125" t="s">
        <v>322</v>
      </c>
      <c r="F552" s="125" t="s">
        <v>307</v>
      </c>
      <c r="G552" s="193" t="s">
        <v>2330</v>
      </c>
      <c r="H552" s="125" t="s">
        <v>2331</v>
      </c>
      <c r="I552" s="193" t="s">
        <v>1962</v>
      </c>
      <c r="J552" s="125" t="s">
        <v>168</v>
      </c>
      <c r="K552" s="298" t="s">
        <v>1655</v>
      </c>
      <c r="L552" s="125" t="s">
        <v>209</v>
      </c>
      <c r="M552" s="96">
        <v>500000</v>
      </c>
      <c r="N552" s="125" t="s">
        <v>121</v>
      </c>
    </row>
    <row r="553" spans="1:14" ht="27">
      <c r="A553" s="123">
        <v>35</v>
      </c>
      <c r="B553" s="980"/>
      <c r="C553" s="92" t="s">
        <v>2328</v>
      </c>
      <c r="D553" s="125" t="s">
        <v>306</v>
      </c>
      <c r="E553" s="125" t="s">
        <v>322</v>
      </c>
      <c r="F553" s="125" t="s">
        <v>307</v>
      </c>
      <c r="G553" s="193" t="s">
        <v>2048</v>
      </c>
      <c r="H553" s="125" t="s">
        <v>344</v>
      </c>
      <c r="I553" s="193" t="s">
        <v>2337</v>
      </c>
      <c r="J553" s="125" t="s">
        <v>468</v>
      </c>
      <c r="K553" s="292" t="s">
        <v>1587</v>
      </c>
      <c r="L553" s="125" t="s">
        <v>209</v>
      </c>
      <c r="M553" s="96">
        <v>500000</v>
      </c>
      <c r="N553" s="125" t="s">
        <v>247</v>
      </c>
    </row>
    <row r="554" spans="1:14" ht="27">
      <c r="A554" s="123">
        <v>35</v>
      </c>
      <c r="B554" s="978" t="s">
        <v>2343</v>
      </c>
      <c r="C554" s="92">
        <v>45528</v>
      </c>
      <c r="D554" s="4" t="s">
        <v>2342</v>
      </c>
      <c r="E554" s="4" t="s">
        <v>14</v>
      </c>
      <c r="F554" s="3" t="s">
        <v>1893</v>
      </c>
      <c r="G554" s="4" t="s">
        <v>2339</v>
      </c>
      <c r="H554" s="4" t="s">
        <v>83</v>
      </c>
      <c r="I554" s="269" t="s">
        <v>2340</v>
      </c>
      <c r="J554" s="13" t="s">
        <v>2338</v>
      </c>
      <c r="K554" s="296" t="s">
        <v>41</v>
      </c>
      <c r="L554" s="6" t="s">
        <v>15</v>
      </c>
      <c r="M554" s="96">
        <v>250000</v>
      </c>
      <c r="N554" s="8" t="s">
        <v>2341</v>
      </c>
    </row>
    <row r="555" spans="1:14">
      <c r="A555" s="123">
        <v>35</v>
      </c>
      <c r="B555" s="979"/>
      <c r="C555" s="92">
        <v>45530</v>
      </c>
      <c r="D555" s="4" t="s">
        <v>21</v>
      </c>
      <c r="E555" s="4" t="s">
        <v>14</v>
      </c>
      <c r="F555" s="3" t="s">
        <v>225</v>
      </c>
      <c r="G555" s="4" t="s">
        <v>1647</v>
      </c>
      <c r="H555" s="4" t="s">
        <v>2150</v>
      </c>
      <c r="I555" s="269" t="s">
        <v>318</v>
      </c>
      <c r="J555" s="13"/>
      <c r="K555" s="294" t="s">
        <v>641</v>
      </c>
      <c r="L555" s="6" t="s">
        <v>15</v>
      </c>
      <c r="M555" s="96">
        <v>500000</v>
      </c>
      <c r="N555" s="8" t="s">
        <v>128</v>
      </c>
    </row>
    <row r="556" spans="1:14">
      <c r="A556" s="123">
        <v>35</v>
      </c>
      <c r="B556" s="979"/>
      <c r="C556" s="92">
        <v>45531</v>
      </c>
      <c r="D556" s="4" t="s">
        <v>2342</v>
      </c>
      <c r="E556" s="4" t="s">
        <v>14</v>
      </c>
      <c r="F556" s="3" t="s">
        <v>225</v>
      </c>
      <c r="G556" s="4" t="s">
        <v>1647</v>
      </c>
      <c r="H556" s="4" t="s">
        <v>2326</v>
      </c>
      <c r="I556" s="269" t="s">
        <v>2333</v>
      </c>
      <c r="J556" s="13"/>
      <c r="K556" s="301" t="s">
        <v>641</v>
      </c>
      <c r="L556" s="6" t="s">
        <v>15</v>
      </c>
      <c r="M556" s="96">
        <v>500000</v>
      </c>
      <c r="N556" s="8" t="s">
        <v>2332</v>
      </c>
    </row>
    <row r="557" spans="1:14" ht="27">
      <c r="A557" s="123">
        <v>35</v>
      </c>
      <c r="B557" s="980"/>
      <c r="C557" s="92" t="s">
        <v>2334</v>
      </c>
      <c r="D557" s="3" t="s">
        <v>21</v>
      </c>
      <c r="E557" s="4" t="s">
        <v>17</v>
      </c>
      <c r="F557" s="4" t="s">
        <v>1788</v>
      </c>
      <c r="G557" s="16" t="s">
        <v>683</v>
      </c>
      <c r="H557" s="3" t="s">
        <v>28</v>
      </c>
      <c r="I557" s="9" t="s">
        <v>2335</v>
      </c>
      <c r="J557" s="13"/>
      <c r="K557" s="304" t="s">
        <v>2159</v>
      </c>
      <c r="L557" s="6" t="s">
        <v>15</v>
      </c>
      <c r="M557" s="96">
        <v>600000</v>
      </c>
      <c r="N557" s="8" t="s">
        <v>1876</v>
      </c>
    </row>
    <row r="558" spans="1:14" ht="27">
      <c r="A558" s="123">
        <v>36</v>
      </c>
      <c r="B558" s="978" t="s">
        <v>175</v>
      </c>
      <c r="C558" s="92" t="s">
        <v>2348</v>
      </c>
      <c r="D558" s="125" t="s">
        <v>306</v>
      </c>
      <c r="E558" s="125" t="s">
        <v>322</v>
      </c>
      <c r="F558" s="125" t="s">
        <v>307</v>
      </c>
      <c r="G558" s="193" t="s">
        <v>2349</v>
      </c>
      <c r="H558" s="125" t="s">
        <v>23</v>
      </c>
      <c r="I558" s="193" t="s">
        <v>1962</v>
      </c>
      <c r="J558" s="125" t="s">
        <v>168</v>
      </c>
      <c r="K558" s="307" t="s">
        <v>1869</v>
      </c>
      <c r="L558" s="125" t="s">
        <v>209</v>
      </c>
      <c r="M558" s="96">
        <v>750000</v>
      </c>
      <c r="N558" s="202" t="s">
        <v>121</v>
      </c>
    </row>
    <row r="559" spans="1:14" ht="27">
      <c r="A559" s="123">
        <v>36</v>
      </c>
      <c r="B559" s="979"/>
      <c r="C559" s="92" t="s">
        <v>2351</v>
      </c>
      <c r="D559" s="125" t="s">
        <v>306</v>
      </c>
      <c r="E559" s="125" t="s">
        <v>322</v>
      </c>
      <c r="F559" s="125" t="s">
        <v>307</v>
      </c>
      <c r="G559" s="193" t="s">
        <v>2048</v>
      </c>
      <c r="H559" s="125" t="s">
        <v>361</v>
      </c>
      <c r="I559" s="193" t="s">
        <v>1962</v>
      </c>
      <c r="J559" s="125" t="s">
        <v>168</v>
      </c>
      <c r="K559" s="307" t="s">
        <v>1655</v>
      </c>
      <c r="L559" s="202" t="s">
        <v>209</v>
      </c>
      <c r="M559" s="96">
        <v>500000</v>
      </c>
      <c r="N559" s="202" t="s">
        <v>121</v>
      </c>
    </row>
    <row r="560" spans="1:14" ht="27">
      <c r="A560" s="123">
        <v>36</v>
      </c>
      <c r="B560" s="980"/>
      <c r="C560" s="92" t="s">
        <v>2352</v>
      </c>
      <c r="D560" s="125" t="s">
        <v>306</v>
      </c>
      <c r="E560" s="125" t="s">
        <v>322</v>
      </c>
      <c r="F560" s="125" t="s">
        <v>307</v>
      </c>
      <c r="G560" s="193" t="s">
        <v>2135</v>
      </c>
      <c r="H560" s="125" t="s">
        <v>1391</v>
      </c>
      <c r="I560" s="193" t="s">
        <v>2321</v>
      </c>
      <c r="J560" s="202" t="s">
        <v>94</v>
      </c>
      <c r="K560" s="183" t="s">
        <v>1745</v>
      </c>
      <c r="L560" s="202" t="s">
        <v>209</v>
      </c>
      <c r="M560" s="96">
        <v>1000000</v>
      </c>
      <c r="N560" s="202" t="s">
        <v>2336</v>
      </c>
    </row>
    <row r="561" spans="1:14" ht="27">
      <c r="A561" s="123">
        <v>36</v>
      </c>
      <c r="B561" s="978" t="s">
        <v>64</v>
      </c>
      <c r="C561" s="92">
        <v>45535</v>
      </c>
      <c r="D561" s="3" t="s">
        <v>21</v>
      </c>
      <c r="E561" s="4" t="s">
        <v>99</v>
      </c>
      <c r="F561" s="3" t="s">
        <v>1893</v>
      </c>
      <c r="G561" s="3" t="s">
        <v>2344</v>
      </c>
      <c r="H561" s="3" t="s">
        <v>200</v>
      </c>
      <c r="I561" s="9" t="s">
        <v>2345</v>
      </c>
      <c r="J561" s="13"/>
      <c r="K561" s="4" t="s">
        <v>2346</v>
      </c>
      <c r="L561" s="84" t="s">
        <v>15</v>
      </c>
      <c r="M561" s="96">
        <v>250000</v>
      </c>
      <c r="N561" s="18" t="s">
        <v>2350</v>
      </c>
    </row>
    <row r="562" spans="1:14">
      <c r="A562" s="123">
        <v>36</v>
      </c>
      <c r="B562" s="979"/>
      <c r="C562" s="92">
        <v>45538</v>
      </c>
      <c r="D562" s="4" t="s">
        <v>311</v>
      </c>
      <c r="E562" s="4" t="s">
        <v>320</v>
      </c>
      <c r="F562" s="3" t="s">
        <v>277</v>
      </c>
      <c r="G562" s="3">
        <v>4267</v>
      </c>
      <c r="H562" s="3" t="s">
        <v>640</v>
      </c>
      <c r="I562" s="9" t="s">
        <v>2354</v>
      </c>
      <c r="J562" s="13"/>
      <c r="K562" s="303" t="s">
        <v>686</v>
      </c>
      <c r="L562" s="84" t="s">
        <v>309</v>
      </c>
      <c r="M562" s="96">
        <v>250000</v>
      </c>
      <c r="N562" s="8" t="s">
        <v>1980</v>
      </c>
    </row>
    <row r="563" spans="1:14">
      <c r="A563" s="123">
        <v>36</v>
      </c>
      <c r="B563" s="979"/>
      <c r="C563" s="92">
        <v>45539</v>
      </c>
      <c r="D563" s="4" t="s">
        <v>311</v>
      </c>
      <c r="E563" s="4" t="s">
        <v>320</v>
      </c>
      <c r="F563" s="3" t="s">
        <v>709</v>
      </c>
      <c r="G563" s="3" t="s">
        <v>2097</v>
      </c>
      <c r="H563" s="3" t="s">
        <v>640</v>
      </c>
      <c r="I563" s="9" t="s">
        <v>2353</v>
      </c>
      <c r="J563" s="13"/>
      <c r="K563" s="9" t="s">
        <v>686</v>
      </c>
      <c r="L563" s="84" t="s">
        <v>309</v>
      </c>
      <c r="M563" s="96">
        <v>250000</v>
      </c>
      <c r="N563" s="8" t="s">
        <v>2305</v>
      </c>
    </row>
    <row r="564" spans="1:14">
      <c r="A564" s="123">
        <v>36</v>
      </c>
      <c r="B564" s="980"/>
      <c r="C564" s="92">
        <v>45540</v>
      </c>
      <c r="D564" s="4" t="s">
        <v>21</v>
      </c>
      <c r="E564" s="4" t="s">
        <v>14</v>
      </c>
      <c r="F564" s="3" t="s">
        <v>107</v>
      </c>
      <c r="G564" s="3" t="s">
        <v>961</v>
      </c>
      <c r="H564" s="3" t="s">
        <v>143</v>
      </c>
      <c r="I564" s="9" t="s">
        <v>2347</v>
      </c>
      <c r="J564" s="13" t="s">
        <v>90</v>
      </c>
      <c r="K564" s="4" t="s">
        <v>686</v>
      </c>
      <c r="L564" s="84" t="s">
        <v>309</v>
      </c>
      <c r="M564" s="96">
        <v>250000</v>
      </c>
      <c r="N564" s="8" t="s">
        <v>2312</v>
      </c>
    </row>
    <row r="565" spans="1:14" ht="27">
      <c r="A565" s="123">
        <v>37</v>
      </c>
      <c r="B565" s="978" t="s">
        <v>20</v>
      </c>
      <c r="C565" s="92" t="s">
        <v>2477</v>
      </c>
      <c r="D565" s="125" t="s">
        <v>306</v>
      </c>
      <c r="E565" s="125" t="s">
        <v>322</v>
      </c>
      <c r="F565" s="125" t="s">
        <v>307</v>
      </c>
      <c r="G565" s="193" t="s">
        <v>2048</v>
      </c>
      <c r="H565" s="125" t="s">
        <v>264</v>
      </c>
      <c r="I565" s="193" t="s">
        <v>1122</v>
      </c>
      <c r="J565" s="125"/>
      <c r="K565" s="307" t="s">
        <v>2474</v>
      </c>
      <c r="L565" s="125" t="s">
        <v>209</v>
      </c>
      <c r="M565" s="96">
        <v>1000000</v>
      </c>
      <c r="N565" s="202" t="s">
        <v>121</v>
      </c>
    </row>
    <row r="566" spans="1:14">
      <c r="A566" s="123">
        <v>37</v>
      </c>
      <c r="B566" s="979"/>
      <c r="C566" s="92" t="s">
        <v>2476</v>
      </c>
      <c r="D566" s="125" t="s">
        <v>306</v>
      </c>
      <c r="E566" s="125" t="s">
        <v>322</v>
      </c>
      <c r="F566" s="125" t="s">
        <v>307</v>
      </c>
      <c r="G566" s="193" t="s">
        <v>2329</v>
      </c>
      <c r="H566" s="125" t="s">
        <v>23</v>
      </c>
      <c r="I566" s="193" t="s">
        <v>2472</v>
      </c>
      <c r="J566" s="125"/>
      <c r="K566" s="307" t="s">
        <v>1833</v>
      </c>
      <c r="L566" s="202" t="s">
        <v>209</v>
      </c>
      <c r="M566" s="96">
        <v>250000</v>
      </c>
      <c r="N566" s="202" t="s">
        <v>121</v>
      </c>
    </row>
    <row r="567" spans="1:14" ht="27">
      <c r="A567" s="123">
        <v>37</v>
      </c>
      <c r="B567" s="979"/>
      <c r="C567" s="92" t="s">
        <v>2475</v>
      </c>
      <c r="D567" s="125" t="s">
        <v>306</v>
      </c>
      <c r="E567" s="125" t="s">
        <v>322</v>
      </c>
      <c r="F567" s="125" t="s">
        <v>307</v>
      </c>
      <c r="G567" s="193" t="s">
        <v>2329</v>
      </c>
      <c r="H567" s="125" t="s">
        <v>23</v>
      </c>
      <c r="I567" s="193" t="s">
        <v>2321</v>
      </c>
      <c r="J567" s="202" t="s">
        <v>468</v>
      </c>
      <c r="K567" s="183" t="s">
        <v>1745</v>
      </c>
      <c r="L567" s="202" t="s">
        <v>209</v>
      </c>
      <c r="M567" s="96">
        <v>1000000</v>
      </c>
      <c r="N567" s="202" t="s">
        <v>247</v>
      </c>
    </row>
    <row r="568" spans="1:14">
      <c r="A568" s="123">
        <v>37</v>
      </c>
      <c r="B568" s="979" t="s">
        <v>21</v>
      </c>
      <c r="C568" s="122">
        <v>45542</v>
      </c>
      <c r="D568" s="3" t="s">
        <v>21</v>
      </c>
      <c r="E568" s="4" t="s">
        <v>31</v>
      </c>
      <c r="F568" s="3" t="s">
        <v>1893</v>
      </c>
      <c r="G568" s="4" t="s">
        <v>362</v>
      </c>
      <c r="H568" s="4" t="s">
        <v>148</v>
      </c>
      <c r="I568" s="9" t="s">
        <v>2473</v>
      </c>
      <c r="J568" s="13"/>
      <c r="K568" s="306" t="s">
        <v>2469</v>
      </c>
      <c r="L568" s="84" t="s">
        <v>15</v>
      </c>
      <c r="M568" s="96">
        <v>550000</v>
      </c>
      <c r="N568" s="18" t="s">
        <v>2114</v>
      </c>
    </row>
    <row r="569" spans="1:14">
      <c r="A569" s="123">
        <v>37</v>
      </c>
      <c r="B569" s="979"/>
      <c r="C569" s="122">
        <v>45545</v>
      </c>
      <c r="D569" s="4" t="s">
        <v>21</v>
      </c>
      <c r="E569" s="4" t="s">
        <v>14</v>
      </c>
      <c r="F569" s="3" t="s">
        <v>225</v>
      </c>
      <c r="G569" s="4" t="s">
        <v>2097</v>
      </c>
      <c r="H569" s="4" t="s">
        <v>2150</v>
      </c>
      <c r="I569" s="99" t="s">
        <v>318</v>
      </c>
      <c r="J569" s="13"/>
      <c r="K569" s="303" t="s">
        <v>641</v>
      </c>
      <c r="L569" s="6" t="s">
        <v>15</v>
      </c>
      <c r="M569" s="96">
        <v>500000</v>
      </c>
      <c r="N569" s="8" t="s">
        <v>807</v>
      </c>
    </row>
    <row r="570" spans="1:14" ht="27">
      <c r="A570" s="123">
        <v>37</v>
      </c>
      <c r="B570" s="980"/>
      <c r="C570" s="122">
        <v>45548</v>
      </c>
      <c r="D570" s="4" t="s">
        <v>138</v>
      </c>
      <c r="E570" s="4" t="s">
        <v>31</v>
      </c>
      <c r="F570" s="4" t="s">
        <v>1384</v>
      </c>
      <c r="G570" s="4" t="s">
        <v>2129</v>
      </c>
      <c r="H570" s="3" t="s">
        <v>23</v>
      </c>
      <c r="I570" s="99" t="s">
        <v>2325</v>
      </c>
      <c r="J570" s="13"/>
      <c r="K570" s="286" t="s">
        <v>487</v>
      </c>
      <c r="L570" s="6" t="s">
        <v>15</v>
      </c>
      <c r="M570" s="96">
        <v>500000</v>
      </c>
      <c r="N570" s="8" t="s">
        <v>2304</v>
      </c>
    </row>
    <row r="571" spans="1:14" ht="27">
      <c r="A571" s="123">
        <v>38</v>
      </c>
      <c r="B571" s="981" t="s">
        <v>2507</v>
      </c>
      <c r="C571" s="92" t="s">
        <v>2478</v>
      </c>
      <c r="D571" s="125" t="s">
        <v>306</v>
      </c>
      <c r="E571" s="125" t="s">
        <v>322</v>
      </c>
      <c r="F571" s="125" t="s">
        <v>307</v>
      </c>
      <c r="G571" s="193" t="s">
        <v>2480</v>
      </c>
      <c r="H571" s="125" t="s">
        <v>23</v>
      </c>
      <c r="I571" s="193" t="s">
        <v>2031</v>
      </c>
      <c r="J571" s="125" t="s">
        <v>2481</v>
      </c>
      <c r="K571" s="307" t="s">
        <v>2479</v>
      </c>
      <c r="L571" s="125" t="s">
        <v>209</v>
      </c>
      <c r="M571" s="96">
        <v>500000</v>
      </c>
      <c r="N571" s="125" t="s">
        <v>121</v>
      </c>
    </row>
    <row r="572" spans="1:14">
      <c r="A572" s="123">
        <v>38</v>
      </c>
      <c r="B572" s="983"/>
      <c r="C572" s="92">
        <v>45556</v>
      </c>
      <c r="D572" s="125" t="s">
        <v>306</v>
      </c>
      <c r="E572" s="125" t="s">
        <v>322</v>
      </c>
      <c r="F572" s="125" t="s">
        <v>307</v>
      </c>
      <c r="G572" s="193" t="s">
        <v>2485</v>
      </c>
      <c r="H572" s="125" t="s">
        <v>2486</v>
      </c>
      <c r="I572" s="193" t="s">
        <v>2137</v>
      </c>
      <c r="J572" s="125" t="s">
        <v>2487</v>
      </c>
      <c r="K572" s="183" t="s">
        <v>2488</v>
      </c>
      <c r="L572" s="125"/>
      <c r="M572" s="96">
        <v>500000</v>
      </c>
      <c r="N572" s="125" t="s">
        <v>2489</v>
      </c>
    </row>
    <row r="573" spans="1:14" ht="27">
      <c r="A573" s="123">
        <v>38</v>
      </c>
      <c r="B573" s="92" t="s">
        <v>64</v>
      </c>
      <c r="C573" s="92" t="s">
        <v>2482</v>
      </c>
      <c r="D573" s="4" t="s">
        <v>138</v>
      </c>
      <c r="E573" s="4" t="s">
        <v>31</v>
      </c>
      <c r="F573" s="4" t="s">
        <v>1384</v>
      </c>
      <c r="G573" s="4" t="s">
        <v>2129</v>
      </c>
      <c r="H573" s="3" t="s">
        <v>23</v>
      </c>
      <c r="I573" s="269" t="s">
        <v>2490</v>
      </c>
      <c r="J573" s="13" t="s">
        <v>2484</v>
      </c>
      <c r="K573" s="286" t="s">
        <v>2483</v>
      </c>
      <c r="L573" s="6" t="s">
        <v>15</v>
      </c>
      <c r="M573" s="96">
        <v>1000000</v>
      </c>
      <c r="N573" s="8" t="s">
        <v>2304</v>
      </c>
    </row>
    <row r="574" spans="1:14">
      <c r="A574" s="123">
        <v>39</v>
      </c>
      <c r="B574" s="981" t="s">
        <v>2545</v>
      </c>
      <c r="C574" s="92">
        <v>45558</v>
      </c>
      <c r="D574" s="125" t="s">
        <v>306</v>
      </c>
      <c r="E574" s="125" t="s">
        <v>322</v>
      </c>
      <c r="F574" s="125" t="s">
        <v>307</v>
      </c>
      <c r="G574" s="193" t="s">
        <v>1949</v>
      </c>
      <c r="H574" s="125" t="s">
        <v>23</v>
      </c>
      <c r="I574" s="193" t="s">
        <v>614</v>
      </c>
      <c r="J574" s="125" t="s">
        <v>168</v>
      </c>
      <c r="K574" s="307" t="s">
        <v>1833</v>
      </c>
      <c r="L574" s="125" t="s">
        <v>209</v>
      </c>
      <c r="M574" s="96">
        <v>250000</v>
      </c>
      <c r="N574" s="125" t="s">
        <v>121</v>
      </c>
    </row>
    <row r="575" spans="1:14" ht="27">
      <c r="A575" s="123">
        <v>39</v>
      </c>
      <c r="B575" s="982"/>
      <c r="C575" s="92" t="s">
        <v>2493</v>
      </c>
      <c r="D575" s="125" t="s">
        <v>306</v>
      </c>
      <c r="E575" s="125" t="s">
        <v>322</v>
      </c>
      <c r="F575" s="125" t="s">
        <v>307</v>
      </c>
      <c r="G575" s="193" t="s">
        <v>2048</v>
      </c>
      <c r="H575" s="125" t="s">
        <v>894</v>
      </c>
      <c r="I575" s="193" t="s">
        <v>2495</v>
      </c>
      <c r="J575" s="125" t="s">
        <v>168</v>
      </c>
      <c r="K575" s="307" t="s">
        <v>1655</v>
      </c>
      <c r="L575" s="125"/>
      <c r="M575" s="96">
        <v>500000</v>
      </c>
      <c r="N575" s="125" t="s">
        <v>121</v>
      </c>
    </row>
    <row r="576" spans="1:14" ht="27">
      <c r="A576" s="123">
        <v>39</v>
      </c>
      <c r="B576" s="982"/>
      <c r="C576" s="92" t="s">
        <v>2494</v>
      </c>
      <c r="D576" s="125" t="s">
        <v>306</v>
      </c>
      <c r="E576" s="125" t="s">
        <v>322</v>
      </c>
      <c r="F576" s="125" t="s">
        <v>307</v>
      </c>
      <c r="G576" s="193" t="s">
        <v>2330</v>
      </c>
      <c r="H576" s="125" t="s">
        <v>18</v>
      </c>
      <c r="I576" s="193" t="s">
        <v>2031</v>
      </c>
      <c r="J576" s="125" t="s">
        <v>168</v>
      </c>
      <c r="K576" s="307" t="s">
        <v>1655</v>
      </c>
      <c r="L576" s="125"/>
      <c r="M576" s="96">
        <v>500000</v>
      </c>
      <c r="N576" s="125" t="s">
        <v>121</v>
      </c>
    </row>
    <row r="577" spans="1:17" ht="27">
      <c r="A577" s="123">
        <v>39</v>
      </c>
      <c r="B577" s="983"/>
      <c r="C577" s="92">
        <v>45559</v>
      </c>
      <c r="D577" s="125" t="s">
        <v>306</v>
      </c>
      <c r="E577" s="125" t="s">
        <v>322</v>
      </c>
      <c r="F577" s="125" t="s">
        <v>307</v>
      </c>
      <c r="G577" s="193" t="s">
        <v>2349</v>
      </c>
      <c r="H577" s="125" t="s">
        <v>2496</v>
      </c>
      <c r="I577" s="193" t="s">
        <v>2497</v>
      </c>
      <c r="J577" s="125" t="s">
        <v>902</v>
      </c>
      <c r="K577" s="183" t="s">
        <v>1587</v>
      </c>
      <c r="L577" s="125"/>
      <c r="M577" s="96">
        <v>500000</v>
      </c>
      <c r="N577" s="125" t="s">
        <v>247</v>
      </c>
    </row>
    <row r="578" spans="1:17" ht="27">
      <c r="A578" s="123">
        <v>39</v>
      </c>
      <c r="B578" s="55" t="s">
        <v>2546</v>
      </c>
      <c r="C578" s="92" t="s">
        <v>2491</v>
      </c>
      <c r="D578" s="4" t="s">
        <v>138</v>
      </c>
      <c r="E578" s="4" t="s">
        <v>31</v>
      </c>
      <c r="F578" s="4" t="s">
        <v>1384</v>
      </c>
      <c r="G578" s="4" t="s">
        <v>2129</v>
      </c>
      <c r="H578" s="3" t="s">
        <v>23</v>
      </c>
      <c r="I578" s="269" t="s">
        <v>2490</v>
      </c>
      <c r="J578" s="13" t="s">
        <v>90</v>
      </c>
      <c r="K578" s="286" t="s">
        <v>1178</v>
      </c>
      <c r="L578" s="305" t="s">
        <v>15</v>
      </c>
      <c r="M578" s="96">
        <v>500000</v>
      </c>
      <c r="N578" s="302" t="s">
        <v>2492</v>
      </c>
    </row>
    <row r="579" spans="1:17" ht="27">
      <c r="A579" s="123">
        <v>40</v>
      </c>
      <c r="B579" s="978" t="s">
        <v>2547</v>
      </c>
      <c r="C579" s="92" t="s">
        <v>2502</v>
      </c>
      <c r="D579" s="125" t="s">
        <v>306</v>
      </c>
      <c r="E579" s="125" t="s">
        <v>322</v>
      </c>
      <c r="F579" s="125" t="s">
        <v>307</v>
      </c>
      <c r="G579" s="193">
        <v>3307</v>
      </c>
      <c r="H579" s="125" t="s">
        <v>811</v>
      </c>
      <c r="I579" s="193" t="s">
        <v>2505</v>
      </c>
      <c r="J579" s="125" t="s">
        <v>168</v>
      </c>
      <c r="K579" s="307" t="s">
        <v>1869</v>
      </c>
      <c r="L579" s="313" t="s">
        <v>209</v>
      </c>
      <c r="M579" s="96">
        <v>750000</v>
      </c>
      <c r="N579" s="125" t="s">
        <v>121</v>
      </c>
    </row>
    <row r="580" spans="1:17">
      <c r="A580" s="123">
        <v>40</v>
      </c>
      <c r="B580" s="980"/>
      <c r="C580" s="92" t="s">
        <v>2503</v>
      </c>
      <c r="D580" s="125" t="s">
        <v>306</v>
      </c>
      <c r="E580" s="125" t="s">
        <v>322</v>
      </c>
      <c r="F580" s="125" t="s">
        <v>307</v>
      </c>
      <c r="G580" s="193">
        <v>3001</v>
      </c>
      <c r="H580" s="125" t="s">
        <v>23</v>
      </c>
      <c r="I580" s="193" t="s">
        <v>2504</v>
      </c>
      <c r="J580" s="125" t="s">
        <v>94</v>
      </c>
      <c r="K580" s="268" t="s">
        <v>1745</v>
      </c>
      <c r="L580" s="125"/>
      <c r="M580" s="96">
        <v>1000000</v>
      </c>
      <c r="N580" s="125" t="s">
        <v>247</v>
      </c>
    </row>
    <row r="581" spans="1:17">
      <c r="A581" s="123">
        <v>40</v>
      </c>
      <c r="B581" s="55" t="s">
        <v>2548</v>
      </c>
      <c r="C581" s="92">
        <v>45562</v>
      </c>
      <c r="D581" s="4" t="s">
        <v>21</v>
      </c>
      <c r="E581" s="4" t="s">
        <v>31</v>
      </c>
      <c r="F581" s="3" t="s">
        <v>1893</v>
      </c>
      <c r="G581" s="3" t="s">
        <v>362</v>
      </c>
      <c r="H581" s="3" t="s">
        <v>148</v>
      </c>
      <c r="I581" s="9" t="s">
        <v>2501</v>
      </c>
      <c r="J581" s="13"/>
      <c r="K581" s="4" t="s">
        <v>60</v>
      </c>
      <c r="L581" s="6" t="s">
        <v>15</v>
      </c>
      <c r="M581" s="96">
        <v>300000</v>
      </c>
      <c r="N581" s="18" t="s">
        <v>1793</v>
      </c>
    </row>
    <row r="582" spans="1:17" ht="27">
      <c r="A582" s="123">
        <v>41</v>
      </c>
      <c r="B582" s="981" t="s">
        <v>20</v>
      </c>
      <c r="C582" s="92" t="s">
        <v>2510</v>
      </c>
      <c r="D582" s="125" t="s">
        <v>306</v>
      </c>
      <c r="E582" s="125" t="s">
        <v>322</v>
      </c>
      <c r="F582" s="125" t="s">
        <v>307</v>
      </c>
      <c r="G582" s="193" t="s">
        <v>2509</v>
      </c>
      <c r="H582" s="125" t="s">
        <v>23</v>
      </c>
      <c r="I582" s="193" t="s">
        <v>855</v>
      </c>
      <c r="J582" s="125" t="s">
        <v>168</v>
      </c>
      <c r="K582" s="312" t="s">
        <v>1959</v>
      </c>
      <c r="L582" s="125" t="s">
        <v>209</v>
      </c>
      <c r="M582" s="96">
        <v>500000</v>
      </c>
      <c r="N582" s="202" t="s">
        <v>121</v>
      </c>
    </row>
    <row r="583" spans="1:17" ht="27">
      <c r="A583" s="123">
        <v>41</v>
      </c>
      <c r="B583" s="982"/>
      <c r="C583" s="92" t="s">
        <v>2518</v>
      </c>
      <c r="D583" s="125" t="s">
        <v>306</v>
      </c>
      <c r="E583" s="125" t="s">
        <v>322</v>
      </c>
      <c r="F583" s="125" t="s">
        <v>307</v>
      </c>
      <c r="G583" s="193" t="s">
        <v>1949</v>
      </c>
      <c r="H583" s="125" t="s">
        <v>2511</v>
      </c>
      <c r="I583" s="193" t="s">
        <v>1632</v>
      </c>
      <c r="J583" s="125" t="s">
        <v>168</v>
      </c>
      <c r="K583" s="312" t="s">
        <v>1959</v>
      </c>
      <c r="L583" s="125"/>
      <c r="M583" s="96">
        <v>500000</v>
      </c>
      <c r="N583" s="202" t="s">
        <v>121</v>
      </c>
    </row>
    <row r="584" spans="1:17">
      <c r="A584" s="123">
        <v>41</v>
      </c>
      <c r="B584" s="982"/>
      <c r="C584" s="122">
        <v>45573</v>
      </c>
      <c r="D584" s="125" t="s">
        <v>306</v>
      </c>
      <c r="E584" s="125" t="s">
        <v>322</v>
      </c>
      <c r="F584" s="125" t="s">
        <v>307</v>
      </c>
      <c r="G584" s="193" t="s">
        <v>2516</v>
      </c>
      <c r="H584" s="125" t="s">
        <v>2517</v>
      </c>
      <c r="I584" s="193" t="s">
        <v>2321</v>
      </c>
      <c r="J584" s="125" t="s">
        <v>94</v>
      </c>
      <c r="K584" s="268" t="s">
        <v>1617</v>
      </c>
      <c r="L584" s="125"/>
      <c r="M584" s="96">
        <v>500000</v>
      </c>
      <c r="N584" s="202" t="s">
        <v>247</v>
      </c>
    </row>
    <row r="585" spans="1:17">
      <c r="A585" s="123">
        <v>41</v>
      </c>
      <c r="B585" s="983"/>
      <c r="C585" s="122">
        <v>45575</v>
      </c>
      <c r="D585" s="125" t="s">
        <v>306</v>
      </c>
      <c r="E585" s="125" t="s">
        <v>322</v>
      </c>
      <c r="F585" s="125" t="s">
        <v>307</v>
      </c>
      <c r="G585" s="193" t="s">
        <v>2485</v>
      </c>
      <c r="H585" s="125" t="s">
        <v>2515</v>
      </c>
      <c r="I585" s="193" t="s">
        <v>2321</v>
      </c>
      <c r="J585" s="125" t="s">
        <v>94</v>
      </c>
      <c r="K585" s="268" t="s">
        <v>2519</v>
      </c>
      <c r="L585" s="125"/>
      <c r="M585" s="96">
        <v>1000000</v>
      </c>
      <c r="N585" s="202" t="s">
        <v>247</v>
      </c>
      <c r="P585">
        <v>18</v>
      </c>
      <c r="Q585" s="109">
        <v>4500000</v>
      </c>
    </row>
    <row r="586" spans="1:17">
      <c r="A586" s="123">
        <v>41</v>
      </c>
      <c r="B586" s="978" t="s">
        <v>24</v>
      </c>
      <c r="C586" s="122">
        <v>45572</v>
      </c>
      <c r="D586" s="3" t="s">
        <v>21</v>
      </c>
      <c r="E586" s="4" t="s">
        <v>14</v>
      </c>
      <c r="F586" s="3" t="s">
        <v>1787</v>
      </c>
      <c r="G586" s="3" t="s">
        <v>2498</v>
      </c>
      <c r="H586" s="3" t="s">
        <v>102</v>
      </c>
      <c r="I586" s="5" t="s">
        <v>2506</v>
      </c>
      <c r="J586" s="13" t="s">
        <v>90</v>
      </c>
      <c r="K586" s="208" t="s">
        <v>2514</v>
      </c>
      <c r="L586" s="84" t="s">
        <v>15</v>
      </c>
      <c r="M586" s="96">
        <v>250000</v>
      </c>
      <c r="N586" s="18" t="s">
        <v>1332</v>
      </c>
      <c r="Q586" s="109"/>
    </row>
    <row r="587" spans="1:17">
      <c r="A587" s="123">
        <v>41</v>
      </c>
      <c r="B587" s="979"/>
      <c r="C587" s="122">
        <v>45573</v>
      </c>
      <c r="D587" s="4" t="s">
        <v>21</v>
      </c>
      <c r="E587" s="4" t="s">
        <v>14</v>
      </c>
      <c r="F587" s="3" t="s">
        <v>107</v>
      </c>
      <c r="G587" s="16" t="s">
        <v>961</v>
      </c>
      <c r="H587" s="3" t="s">
        <v>145</v>
      </c>
      <c r="I587" s="9" t="s">
        <v>2520</v>
      </c>
      <c r="J587" s="13"/>
      <c r="K587" s="9" t="s">
        <v>2500</v>
      </c>
      <c r="L587" s="125" t="s">
        <v>15</v>
      </c>
      <c r="M587" s="96">
        <v>600000</v>
      </c>
      <c r="N587" s="18" t="s">
        <v>1332</v>
      </c>
    </row>
    <row r="588" spans="1:17">
      <c r="A588" s="123">
        <v>41</v>
      </c>
      <c r="B588" s="979"/>
      <c r="C588" s="122">
        <v>45575</v>
      </c>
      <c r="D588" s="3" t="s">
        <v>21</v>
      </c>
      <c r="E588" s="4" t="s">
        <v>14</v>
      </c>
      <c r="F588" s="3" t="s">
        <v>1787</v>
      </c>
      <c r="G588" s="3" t="s">
        <v>1062</v>
      </c>
      <c r="H588" s="3" t="s">
        <v>102</v>
      </c>
      <c r="I588" s="5" t="s">
        <v>2512</v>
      </c>
      <c r="J588" s="13" t="s">
        <v>90</v>
      </c>
      <c r="K588" s="208" t="s">
        <v>686</v>
      </c>
      <c r="L588" s="125" t="s">
        <v>15</v>
      </c>
      <c r="M588" s="96">
        <v>250000</v>
      </c>
      <c r="N588" s="18" t="s">
        <v>1332</v>
      </c>
    </row>
    <row r="589" spans="1:17">
      <c r="A589" s="123">
        <v>41</v>
      </c>
      <c r="B589" s="980"/>
      <c r="C589" s="122">
        <v>45577</v>
      </c>
      <c r="D589" s="4" t="s">
        <v>21</v>
      </c>
      <c r="E589" s="4" t="s">
        <v>14</v>
      </c>
      <c r="F589" s="3" t="s">
        <v>107</v>
      </c>
      <c r="G589" s="16" t="s">
        <v>961</v>
      </c>
      <c r="H589" s="3" t="s">
        <v>145</v>
      </c>
      <c r="I589" s="9" t="s">
        <v>2508</v>
      </c>
      <c r="J589" s="13" t="s">
        <v>90</v>
      </c>
      <c r="K589" s="209" t="s">
        <v>794</v>
      </c>
      <c r="L589" s="125" t="s">
        <v>15</v>
      </c>
      <c r="M589" s="96">
        <v>500000</v>
      </c>
      <c r="N589" s="18" t="s">
        <v>2513</v>
      </c>
    </row>
    <row r="590" spans="1:17">
      <c r="A590" s="123">
        <v>42</v>
      </c>
      <c r="B590" s="978" t="s">
        <v>20</v>
      </c>
      <c r="C590" s="92">
        <v>45579</v>
      </c>
      <c r="D590" s="125" t="s">
        <v>306</v>
      </c>
      <c r="E590" s="125" t="s">
        <v>322</v>
      </c>
      <c r="F590" s="125" t="s">
        <v>307</v>
      </c>
      <c r="G590" s="193" t="s">
        <v>2509</v>
      </c>
      <c r="H590" s="125" t="s">
        <v>23</v>
      </c>
      <c r="I590" s="193" t="s">
        <v>1837</v>
      </c>
      <c r="J590" s="125" t="s">
        <v>168</v>
      </c>
      <c r="K590" s="312" t="s">
        <v>1833</v>
      </c>
      <c r="L590" s="125" t="s">
        <v>209</v>
      </c>
      <c r="M590" s="96">
        <v>250000</v>
      </c>
      <c r="N590" s="202" t="s">
        <v>121</v>
      </c>
    </row>
    <row r="591" spans="1:17">
      <c r="A591" s="123">
        <v>42</v>
      </c>
      <c r="B591" s="979"/>
      <c r="C591" s="92">
        <v>45580</v>
      </c>
      <c r="D591" s="125" t="s">
        <v>306</v>
      </c>
      <c r="E591" s="125" t="s">
        <v>322</v>
      </c>
      <c r="F591" s="125" t="s">
        <v>307</v>
      </c>
      <c r="G591" s="193" t="s">
        <v>2330</v>
      </c>
      <c r="H591" s="125" t="s">
        <v>264</v>
      </c>
      <c r="I591" s="193" t="s">
        <v>2472</v>
      </c>
      <c r="J591" s="125" t="s">
        <v>168</v>
      </c>
      <c r="K591" s="312" t="s">
        <v>1833</v>
      </c>
      <c r="L591" s="125"/>
      <c r="M591" s="96">
        <v>250000</v>
      </c>
      <c r="N591" s="202" t="s">
        <v>121</v>
      </c>
    </row>
    <row r="592" spans="1:17" ht="27">
      <c r="A592" s="123">
        <v>42</v>
      </c>
      <c r="B592" s="979"/>
      <c r="C592" s="122" t="s">
        <v>2521</v>
      </c>
      <c r="D592" s="125" t="s">
        <v>306</v>
      </c>
      <c r="E592" s="125" t="s">
        <v>322</v>
      </c>
      <c r="F592" s="125" t="s">
        <v>307</v>
      </c>
      <c r="G592" s="193" t="s">
        <v>1949</v>
      </c>
      <c r="H592" s="125" t="s">
        <v>37</v>
      </c>
      <c r="I592" s="193" t="s">
        <v>1122</v>
      </c>
      <c r="J592" s="125" t="s">
        <v>168</v>
      </c>
      <c r="K592" s="312" t="s">
        <v>1869</v>
      </c>
      <c r="L592" s="125"/>
      <c r="M592" s="96">
        <v>750000</v>
      </c>
      <c r="N592" s="202" t="s">
        <v>247</v>
      </c>
    </row>
    <row r="593" spans="1:14">
      <c r="A593" s="123">
        <v>42</v>
      </c>
      <c r="B593" s="979"/>
      <c r="C593" s="92">
        <v>45579</v>
      </c>
      <c r="D593" s="125" t="s">
        <v>306</v>
      </c>
      <c r="E593" s="125" t="s">
        <v>322</v>
      </c>
      <c r="F593" s="125" t="s">
        <v>307</v>
      </c>
      <c r="G593" s="193">
        <v>3307</v>
      </c>
      <c r="H593" s="125" t="s">
        <v>908</v>
      </c>
      <c r="I593" s="193" t="s">
        <v>2527</v>
      </c>
      <c r="J593" s="125" t="s">
        <v>94</v>
      </c>
      <c r="K593" s="208" t="s">
        <v>794</v>
      </c>
      <c r="L593" s="125"/>
      <c r="M593" s="96">
        <v>500000</v>
      </c>
      <c r="N593" s="202" t="s">
        <v>247</v>
      </c>
    </row>
    <row r="594" spans="1:14">
      <c r="A594" s="123">
        <v>42</v>
      </c>
      <c r="B594" s="979"/>
      <c r="C594" s="92">
        <v>45579</v>
      </c>
      <c r="D594" s="125" t="s">
        <v>306</v>
      </c>
      <c r="E594" s="125" t="s">
        <v>322</v>
      </c>
      <c r="F594" s="125" t="s">
        <v>307</v>
      </c>
      <c r="G594" s="193" t="s">
        <v>2464</v>
      </c>
      <c r="H594" s="125" t="s">
        <v>264</v>
      </c>
      <c r="I594" s="193" t="s">
        <v>2524</v>
      </c>
      <c r="J594" s="125" t="s">
        <v>94</v>
      </c>
      <c r="K594" s="268" t="s">
        <v>1617</v>
      </c>
      <c r="L594" s="125"/>
      <c r="M594" s="96">
        <v>500000</v>
      </c>
      <c r="N594" s="202" t="s">
        <v>247</v>
      </c>
    </row>
    <row r="595" spans="1:14">
      <c r="A595" s="123">
        <v>42</v>
      </c>
      <c r="B595" s="980"/>
      <c r="C595" s="92">
        <v>45583</v>
      </c>
      <c r="D595" s="125" t="s">
        <v>306</v>
      </c>
      <c r="E595" s="125" t="s">
        <v>322</v>
      </c>
      <c r="F595" s="125" t="s">
        <v>307</v>
      </c>
      <c r="G595" s="193" t="s">
        <v>2330</v>
      </c>
      <c r="H595" s="125" t="s">
        <v>2525</v>
      </c>
      <c r="I595" s="193" t="s">
        <v>2524</v>
      </c>
      <c r="J595" s="125" t="s">
        <v>94</v>
      </c>
      <c r="K595" s="268" t="s">
        <v>1617</v>
      </c>
      <c r="L595" s="125"/>
      <c r="M595" s="96">
        <v>500000</v>
      </c>
      <c r="N595" s="202" t="s">
        <v>247</v>
      </c>
    </row>
    <row r="596" spans="1:14">
      <c r="A596" s="123">
        <v>42</v>
      </c>
      <c r="B596" s="978" t="s">
        <v>2549</v>
      </c>
      <c r="C596" s="122">
        <v>45573</v>
      </c>
      <c r="D596" s="3" t="s">
        <v>21</v>
      </c>
      <c r="E596" s="4" t="s">
        <v>14</v>
      </c>
      <c r="F596" s="4" t="s">
        <v>1893</v>
      </c>
      <c r="G596" s="16" t="s">
        <v>1323</v>
      </c>
      <c r="H596" s="3" t="s">
        <v>1840</v>
      </c>
      <c r="I596" s="9" t="s">
        <v>2499</v>
      </c>
      <c r="J596" s="13" t="s">
        <v>1669</v>
      </c>
      <c r="K596" s="9" t="s">
        <v>999</v>
      </c>
      <c r="L596" s="6" t="s">
        <v>15</v>
      </c>
      <c r="M596" s="96">
        <v>300000</v>
      </c>
      <c r="N596" s="18" t="s">
        <v>128</v>
      </c>
    </row>
    <row r="597" spans="1:14" ht="27">
      <c r="A597" s="123">
        <v>42</v>
      </c>
      <c r="B597" s="979"/>
      <c r="C597" s="122">
        <v>45577</v>
      </c>
      <c r="D597" s="3" t="s">
        <v>21</v>
      </c>
      <c r="E597" s="4" t="s">
        <v>14</v>
      </c>
      <c r="F597" s="125" t="s">
        <v>307</v>
      </c>
      <c r="G597" s="3" t="s">
        <v>961</v>
      </c>
      <c r="H597" s="3" t="s">
        <v>143</v>
      </c>
      <c r="I597" s="9" t="s">
        <v>2523</v>
      </c>
      <c r="J597" s="13" t="s">
        <v>90</v>
      </c>
      <c r="K597" s="209" t="s">
        <v>777</v>
      </c>
      <c r="L597" s="6" t="s">
        <v>15</v>
      </c>
      <c r="M597" s="96">
        <v>250000</v>
      </c>
      <c r="N597" s="18" t="s">
        <v>2522</v>
      </c>
    </row>
    <row r="598" spans="1:14">
      <c r="A598" s="123">
        <v>42</v>
      </c>
      <c r="B598" s="980"/>
      <c r="C598" s="122">
        <v>45579</v>
      </c>
      <c r="D598" s="3" t="s">
        <v>21</v>
      </c>
      <c r="E598" s="4" t="s">
        <v>14</v>
      </c>
      <c r="F598" s="3" t="s">
        <v>277</v>
      </c>
      <c r="G598" s="3">
        <v>4267</v>
      </c>
      <c r="H598" s="3" t="s">
        <v>382</v>
      </c>
      <c r="I598" s="9" t="s">
        <v>2526</v>
      </c>
      <c r="J598" s="13"/>
      <c r="K598" s="209" t="s">
        <v>777</v>
      </c>
      <c r="L598" s="6" t="s">
        <v>15</v>
      </c>
      <c r="M598" s="96">
        <v>250000</v>
      </c>
      <c r="N598" s="18" t="s">
        <v>1878</v>
      </c>
    </row>
    <row r="599" spans="1:14" ht="27">
      <c r="A599" s="123">
        <v>43</v>
      </c>
      <c r="B599" s="978" t="s">
        <v>2550</v>
      </c>
      <c r="C599" s="92" t="s">
        <v>2529</v>
      </c>
      <c r="D599" s="125" t="s">
        <v>306</v>
      </c>
      <c r="E599" s="125" t="s">
        <v>322</v>
      </c>
      <c r="F599" s="125" t="s">
        <v>307</v>
      </c>
      <c r="G599" s="193" t="s">
        <v>1949</v>
      </c>
      <c r="H599" s="125" t="s">
        <v>37</v>
      </c>
      <c r="I599" s="193" t="s">
        <v>1122</v>
      </c>
      <c r="J599" s="125" t="s">
        <v>220</v>
      </c>
      <c r="K599" s="312" t="s">
        <v>2474</v>
      </c>
      <c r="L599" s="125" t="s">
        <v>209</v>
      </c>
      <c r="M599" s="96">
        <v>1000000</v>
      </c>
      <c r="N599" s="202" t="s">
        <v>121</v>
      </c>
    </row>
    <row r="600" spans="1:14">
      <c r="A600" s="123">
        <v>43</v>
      </c>
      <c r="B600" s="979"/>
      <c r="C600" s="92">
        <v>45590</v>
      </c>
      <c r="D600" s="125" t="s">
        <v>306</v>
      </c>
      <c r="E600" s="125" t="s">
        <v>322</v>
      </c>
      <c r="F600" s="125" t="s">
        <v>307</v>
      </c>
      <c r="G600" s="193" t="s">
        <v>2528</v>
      </c>
      <c r="H600" s="125" t="s">
        <v>115</v>
      </c>
      <c r="I600" s="193" t="s">
        <v>1122</v>
      </c>
      <c r="J600" s="125" t="s">
        <v>168</v>
      </c>
      <c r="K600" s="312" t="s">
        <v>1956</v>
      </c>
      <c r="L600" s="125"/>
      <c r="M600" s="96">
        <v>250000</v>
      </c>
      <c r="N600" s="202" t="s">
        <v>121</v>
      </c>
    </row>
    <row r="601" spans="1:14" ht="27">
      <c r="A601" s="123">
        <v>43</v>
      </c>
      <c r="B601" s="980"/>
      <c r="C601" s="92" t="s">
        <v>2532</v>
      </c>
      <c r="D601" s="125" t="s">
        <v>306</v>
      </c>
      <c r="E601" s="125" t="s">
        <v>322</v>
      </c>
      <c r="F601" s="125" t="s">
        <v>307</v>
      </c>
      <c r="G601" s="193" t="s">
        <v>2509</v>
      </c>
      <c r="H601" s="125" t="s">
        <v>2531</v>
      </c>
      <c r="I601" s="193" t="s">
        <v>2524</v>
      </c>
      <c r="J601" s="125" t="s">
        <v>94</v>
      </c>
      <c r="K601" s="268" t="s">
        <v>2519</v>
      </c>
      <c r="L601" s="125"/>
      <c r="M601" s="96">
        <v>1000000</v>
      </c>
      <c r="N601" s="202" t="s">
        <v>247</v>
      </c>
    </row>
    <row r="602" spans="1:14">
      <c r="A602" s="123">
        <v>43</v>
      </c>
      <c r="B602" s="978" t="s">
        <v>24</v>
      </c>
      <c r="C602" s="92">
        <v>45586</v>
      </c>
      <c r="D602" s="4" t="s">
        <v>21</v>
      </c>
      <c r="E602" s="4" t="s">
        <v>14</v>
      </c>
      <c r="F602" s="3" t="s">
        <v>107</v>
      </c>
      <c r="G602" s="16" t="s">
        <v>961</v>
      </c>
      <c r="H602" s="3" t="s">
        <v>145</v>
      </c>
      <c r="I602" s="9" t="s">
        <v>230</v>
      </c>
      <c r="J602" s="13" t="s">
        <v>90</v>
      </c>
      <c r="K602" s="209" t="s">
        <v>641</v>
      </c>
      <c r="L602" s="125" t="s">
        <v>15</v>
      </c>
      <c r="M602" s="96">
        <v>500000</v>
      </c>
      <c r="N602" s="18" t="s">
        <v>1207</v>
      </c>
    </row>
    <row r="603" spans="1:14">
      <c r="A603" s="123">
        <v>43</v>
      </c>
      <c r="B603" s="979"/>
      <c r="C603" s="92">
        <v>45587</v>
      </c>
      <c r="D603" s="4" t="s">
        <v>21</v>
      </c>
      <c r="E603" s="4" t="s">
        <v>14</v>
      </c>
      <c r="F603" s="3" t="s">
        <v>107</v>
      </c>
      <c r="G603" s="16" t="s">
        <v>961</v>
      </c>
      <c r="H603" s="3" t="s">
        <v>145</v>
      </c>
      <c r="I603" s="9" t="s">
        <v>303</v>
      </c>
      <c r="J603" s="13" t="s">
        <v>90</v>
      </c>
      <c r="K603" s="209" t="s">
        <v>641</v>
      </c>
      <c r="L603" s="125" t="s">
        <v>15</v>
      </c>
      <c r="M603" s="96">
        <v>500000</v>
      </c>
      <c r="N603" s="18" t="s">
        <v>128</v>
      </c>
    </row>
    <row r="604" spans="1:14" ht="27">
      <c r="A604" s="123">
        <v>43</v>
      </c>
      <c r="B604" s="979"/>
      <c r="C604" s="92">
        <v>45588</v>
      </c>
      <c r="D604" s="4" t="s">
        <v>21</v>
      </c>
      <c r="E604" s="4" t="s">
        <v>14</v>
      </c>
      <c r="F604" s="3" t="s">
        <v>107</v>
      </c>
      <c r="G604" s="16" t="s">
        <v>961</v>
      </c>
      <c r="H604" s="3" t="s">
        <v>143</v>
      </c>
      <c r="I604" s="9" t="s">
        <v>2534</v>
      </c>
      <c r="J604" s="13" t="s">
        <v>120</v>
      </c>
      <c r="K604" s="209" t="s">
        <v>2564</v>
      </c>
      <c r="L604" s="125" t="s">
        <v>15</v>
      </c>
      <c r="M604" s="96">
        <v>250000</v>
      </c>
      <c r="N604" s="18" t="s">
        <v>2530</v>
      </c>
    </row>
    <row r="605" spans="1:14">
      <c r="A605" s="123">
        <v>43</v>
      </c>
      <c r="B605" s="980"/>
      <c r="C605" s="92">
        <v>45590</v>
      </c>
      <c r="D605" s="4" t="s">
        <v>21</v>
      </c>
      <c r="E605" s="4" t="s">
        <v>14</v>
      </c>
      <c r="F605" s="3" t="s">
        <v>107</v>
      </c>
      <c r="G605" s="16" t="s">
        <v>961</v>
      </c>
      <c r="H605" s="3" t="s">
        <v>143</v>
      </c>
      <c r="I605" s="9" t="s">
        <v>2533</v>
      </c>
      <c r="J605" s="13" t="s">
        <v>120</v>
      </c>
      <c r="K605" s="9" t="s">
        <v>822</v>
      </c>
      <c r="L605" s="125" t="s">
        <v>15</v>
      </c>
      <c r="M605" s="96">
        <v>250000</v>
      </c>
      <c r="N605" s="18" t="s">
        <v>128</v>
      </c>
    </row>
    <row r="606" spans="1:14" ht="27">
      <c r="A606" s="123">
        <v>44</v>
      </c>
      <c r="B606" s="978" t="s">
        <v>2551</v>
      </c>
      <c r="C606" s="92" t="s">
        <v>2537</v>
      </c>
      <c r="D606" s="125" t="s">
        <v>306</v>
      </c>
      <c r="E606" s="125" t="s">
        <v>322</v>
      </c>
      <c r="F606" s="125" t="s">
        <v>307</v>
      </c>
      <c r="G606" s="193" t="s">
        <v>1949</v>
      </c>
      <c r="H606" s="125" t="s">
        <v>37</v>
      </c>
      <c r="I606" s="193" t="s">
        <v>2535</v>
      </c>
      <c r="J606" s="125" t="s">
        <v>2481</v>
      </c>
      <c r="K606" s="312" t="s">
        <v>2536</v>
      </c>
      <c r="L606" s="125" t="s">
        <v>209</v>
      </c>
      <c r="M606" s="96">
        <v>500000</v>
      </c>
      <c r="N606" s="125" t="s">
        <v>121</v>
      </c>
    </row>
    <row r="607" spans="1:14" ht="27">
      <c r="A607" s="123">
        <v>44</v>
      </c>
      <c r="B607" s="980"/>
      <c r="C607" s="92" t="s">
        <v>2540</v>
      </c>
      <c r="D607" s="125" t="s">
        <v>306</v>
      </c>
      <c r="E607" s="125" t="s">
        <v>322</v>
      </c>
      <c r="F607" s="125" t="s">
        <v>307</v>
      </c>
      <c r="G607" s="193" t="s">
        <v>2528</v>
      </c>
      <c r="H607" s="125" t="s">
        <v>115</v>
      </c>
      <c r="I607" s="193" t="s">
        <v>2538</v>
      </c>
      <c r="J607" s="125" t="s">
        <v>168</v>
      </c>
      <c r="K607" s="312" t="s">
        <v>2539</v>
      </c>
      <c r="L607" s="318"/>
      <c r="M607" s="96">
        <v>750000</v>
      </c>
      <c r="N607" s="125" t="s">
        <v>121</v>
      </c>
    </row>
    <row r="608" spans="1:14" ht="40.5">
      <c r="A608" s="123">
        <v>44</v>
      </c>
      <c r="B608" s="55" t="s">
        <v>24</v>
      </c>
      <c r="C608" s="92" t="s">
        <v>2542</v>
      </c>
      <c r="D608" s="4" t="s">
        <v>21</v>
      </c>
      <c r="E608" s="4" t="s">
        <v>14</v>
      </c>
      <c r="F608" s="3" t="s">
        <v>107</v>
      </c>
      <c r="G608" s="3" t="s">
        <v>270</v>
      </c>
      <c r="H608" s="3" t="s">
        <v>2439</v>
      </c>
      <c r="I608" s="193" t="s">
        <v>2541</v>
      </c>
      <c r="J608" s="13" t="s">
        <v>90</v>
      </c>
      <c r="K608" s="31" t="s">
        <v>2543</v>
      </c>
      <c r="L608" s="125"/>
      <c r="M608" s="96">
        <v>750000</v>
      </c>
      <c r="N608" s="18" t="s">
        <v>2544</v>
      </c>
    </row>
    <row r="609" spans="1:14">
      <c r="A609" s="123">
        <v>45</v>
      </c>
      <c r="B609" s="981" t="s">
        <v>2587</v>
      </c>
      <c r="C609" s="92">
        <v>45598</v>
      </c>
      <c r="D609" s="125" t="s">
        <v>306</v>
      </c>
      <c r="E609" s="125" t="s">
        <v>322</v>
      </c>
      <c r="F609" s="125" t="s">
        <v>307</v>
      </c>
      <c r="G609" s="193" t="s">
        <v>1971</v>
      </c>
      <c r="H609" s="125" t="s">
        <v>143</v>
      </c>
      <c r="I609" s="193" t="s">
        <v>2562</v>
      </c>
      <c r="J609" s="125" t="s">
        <v>90</v>
      </c>
      <c r="K609" s="290" t="s">
        <v>686</v>
      </c>
      <c r="L609" s="125"/>
      <c r="M609" s="96">
        <v>250000</v>
      </c>
      <c r="N609" s="202" t="s">
        <v>121</v>
      </c>
    </row>
    <row r="610" spans="1:14" ht="27">
      <c r="A610" s="123">
        <v>45</v>
      </c>
      <c r="B610" s="982"/>
      <c r="C610" s="92" t="s">
        <v>2559</v>
      </c>
      <c r="D610" s="125" t="s">
        <v>306</v>
      </c>
      <c r="E610" s="125" t="s">
        <v>322</v>
      </c>
      <c r="F610" s="125" t="s">
        <v>307</v>
      </c>
      <c r="G610" s="193" t="s">
        <v>2557</v>
      </c>
      <c r="H610" s="125" t="s">
        <v>148</v>
      </c>
      <c r="I610" s="193" t="s">
        <v>1122</v>
      </c>
      <c r="J610" s="125" t="s">
        <v>90</v>
      </c>
      <c r="K610" s="268" t="s">
        <v>2560</v>
      </c>
      <c r="L610" s="125"/>
      <c r="M610" s="96">
        <v>1250000</v>
      </c>
      <c r="N610" s="202" t="s">
        <v>121</v>
      </c>
    </row>
    <row r="611" spans="1:14" ht="27">
      <c r="A611" s="123">
        <v>45</v>
      </c>
      <c r="B611" s="983"/>
      <c r="C611" s="92" t="s">
        <v>2561</v>
      </c>
      <c r="D611" s="125" t="s">
        <v>306</v>
      </c>
      <c r="E611" s="125" t="s">
        <v>322</v>
      </c>
      <c r="F611" s="125" t="s">
        <v>307</v>
      </c>
      <c r="G611" s="193">
        <v>1006</v>
      </c>
      <c r="H611" s="125" t="s">
        <v>102</v>
      </c>
      <c r="I611" s="193" t="s">
        <v>2524</v>
      </c>
      <c r="J611" s="125" t="s">
        <v>94</v>
      </c>
      <c r="K611" s="183" t="s">
        <v>1745</v>
      </c>
      <c r="L611" s="239"/>
      <c r="M611" s="207">
        <v>1000000</v>
      </c>
      <c r="N611" s="202" t="s">
        <v>247</v>
      </c>
    </row>
    <row r="612" spans="1:14" ht="27">
      <c r="A612" s="123">
        <v>45</v>
      </c>
      <c r="B612" s="978" t="s">
        <v>24</v>
      </c>
      <c r="C612" s="92">
        <v>45601</v>
      </c>
      <c r="D612" s="4" t="s">
        <v>21</v>
      </c>
      <c r="E612" s="4" t="s">
        <v>14</v>
      </c>
      <c r="F612" s="3" t="s">
        <v>107</v>
      </c>
      <c r="G612" s="16" t="s">
        <v>961</v>
      </c>
      <c r="H612" s="3" t="s">
        <v>143</v>
      </c>
      <c r="I612" s="9" t="s">
        <v>2563</v>
      </c>
      <c r="J612" s="13" t="s">
        <v>90</v>
      </c>
      <c r="K612" s="9" t="s">
        <v>686</v>
      </c>
      <c r="L612" s="125" t="s">
        <v>15</v>
      </c>
      <c r="M612" s="96">
        <v>250000</v>
      </c>
      <c r="N612" s="18" t="s">
        <v>1878</v>
      </c>
    </row>
    <row r="613" spans="1:14">
      <c r="A613" s="123">
        <v>45</v>
      </c>
      <c r="B613" s="979"/>
      <c r="C613" s="92">
        <v>45602</v>
      </c>
      <c r="D613" s="4" t="s">
        <v>21</v>
      </c>
      <c r="E613" s="4" t="s">
        <v>14</v>
      </c>
      <c r="F613" s="31" t="s">
        <v>78</v>
      </c>
      <c r="G613" s="16" t="s">
        <v>2552</v>
      </c>
      <c r="H613" s="3" t="s">
        <v>1382</v>
      </c>
      <c r="I613" s="193" t="s">
        <v>2553</v>
      </c>
      <c r="J613" s="31" t="s">
        <v>90</v>
      </c>
      <c r="K613" s="317" t="s">
        <v>999</v>
      </c>
      <c r="L613" s="125" t="s">
        <v>15</v>
      </c>
      <c r="M613" s="96">
        <v>300000</v>
      </c>
      <c r="N613" s="18" t="s">
        <v>2556</v>
      </c>
    </row>
    <row r="614" spans="1:14" ht="27">
      <c r="A614" s="123">
        <v>45</v>
      </c>
      <c r="B614" s="979"/>
      <c r="C614" s="92">
        <v>45602</v>
      </c>
      <c r="D614" s="4" t="s">
        <v>21</v>
      </c>
      <c r="E614" s="4" t="s">
        <v>17</v>
      </c>
      <c r="F614" s="4" t="s">
        <v>1384</v>
      </c>
      <c r="G614" s="4" t="s">
        <v>2129</v>
      </c>
      <c r="H614" s="3" t="s">
        <v>23</v>
      </c>
      <c r="I614" s="99" t="s">
        <v>2555</v>
      </c>
      <c r="J614" s="13"/>
      <c r="K614" s="4" t="s">
        <v>68</v>
      </c>
      <c r="L614" s="6" t="s">
        <v>15</v>
      </c>
      <c r="M614" s="96">
        <v>300000</v>
      </c>
      <c r="N614" s="18" t="s">
        <v>2556</v>
      </c>
    </row>
    <row r="615" spans="1:14" ht="24">
      <c r="A615" s="123">
        <v>45</v>
      </c>
      <c r="B615" s="980"/>
      <c r="C615" s="92">
        <v>45603</v>
      </c>
      <c r="D615" s="4" t="s">
        <v>21</v>
      </c>
      <c r="E615" s="4" t="s">
        <v>17</v>
      </c>
      <c r="F615" s="3" t="s">
        <v>1893</v>
      </c>
      <c r="G615" s="31" t="s">
        <v>362</v>
      </c>
      <c r="H615" s="31" t="s">
        <v>148</v>
      </c>
      <c r="I615" s="314" t="s">
        <v>2558</v>
      </c>
      <c r="J615" s="13"/>
      <c r="K615" s="31" t="s">
        <v>595</v>
      </c>
      <c r="L615" s="6" t="s">
        <v>15</v>
      </c>
      <c r="M615" s="96">
        <v>600000</v>
      </c>
      <c r="N615" s="18" t="s">
        <v>2556</v>
      </c>
    </row>
    <row r="616" spans="1:14" ht="27">
      <c r="A616" s="123">
        <v>46</v>
      </c>
      <c r="B616" s="978" t="s">
        <v>2604</v>
      </c>
      <c r="C616" s="92" t="s">
        <v>2572</v>
      </c>
      <c r="D616" s="125" t="s">
        <v>306</v>
      </c>
      <c r="E616" s="125" t="s">
        <v>322</v>
      </c>
      <c r="F616" s="125" t="s">
        <v>307</v>
      </c>
      <c r="G616" s="193" t="s">
        <v>2557</v>
      </c>
      <c r="H616" s="125" t="s">
        <v>148</v>
      </c>
      <c r="I616" s="193" t="s">
        <v>1122</v>
      </c>
      <c r="J616" s="125" t="s">
        <v>168</v>
      </c>
      <c r="K616" s="268" t="s">
        <v>2560</v>
      </c>
      <c r="L616" s="125"/>
      <c r="M616" s="96">
        <v>1250000</v>
      </c>
      <c r="N616" s="202" t="s">
        <v>121</v>
      </c>
    </row>
    <row r="617" spans="1:14" ht="27">
      <c r="A617" s="123">
        <v>46</v>
      </c>
      <c r="B617" s="980"/>
      <c r="C617" s="92" t="s">
        <v>2573</v>
      </c>
      <c r="D617" s="125" t="s">
        <v>306</v>
      </c>
      <c r="E617" s="125" t="s">
        <v>322</v>
      </c>
      <c r="F617" s="125" t="s">
        <v>307</v>
      </c>
      <c r="G617" s="193">
        <v>3001</v>
      </c>
      <c r="H617" s="125" t="s">
        <v>37</v>
      </c>
      <c r="I617" s="193" t="s">
        <v>2524</v>
      </c>
      <c r="J617" s="125" t="s">
        <v>94</v>
      </c>
      <c r="K617" s="183" t="s">
        <v>1745</v>
      </c>
      <c r="L617" s="239"/>
      <c r="M617" s="207">
        <v>1000000</v>
      </c>
      <c r="N617" s="202" t="s">
        <v>247</v>
      </c>
    </row>
    <row r="618" spans="1:14">
      <c r="A618" s="123">
        <v>46</v>
      </c>
      <c r="B618" s="978" t="s">
        <v>2605</v>
      </c>
      <c r="C618" s="92">
        <v>45608</v>
      </c>
      <c r="D618" s="4" t="s">
        <v>21</v>
      </c>
      <c r="E618" s="4" t="s">
        <v>14</v>
      </c>
      <c r="F618" s="31" t="s">
        <v>107</v>
      </c>
      <c r="G618" s="16" t="s">
        <v>1968</v>
      </c>
      <c r="H618" s="3" t="s">
        <v>376</v>
      </c>
      <c r="I618" s="193" t="s">
        <v>2568</v>
      </c>
      <c r="J618" s="31" t="s">
        <v>90</v>
      </c>
      <c r="K618" s="31" t="s">
        <v>686</v>
      </c>
      <c r="L618" s="125" t="s">
        <v>15</v>
      </c>
      <c r="M618" s="96">
        <v>250000</v>
      </c>
      <c r="N618" s="18" t="s">
        <v>2569</v>
      </c>
    </row>
    <row r="619" spans="1:14">
      <c r="A619" s="123">
        <v>46</v>
      </c>
      <c r="B619" s="979"/>
      <c r="C619" s="92">
        <v>45608</v>
      </c>
      <c r="D619" s="4" t="s">
        <v>21</v>
      </c>
      <c r="E619" s="4" t="s">
        <v>17</v>
      </c>
      <c r="F619" s="3" t="s">
        <v>1893</v>
      </c>
      <c r="G619" s="31" t="s">
        <v>362</v>
      </c>
      <c r="H619" s="31" t="s">
        <v>148</v>
      </c>
      <c r="I619" s="193" t="s">
        <v>2567</v>
      </c>
      <c r="J619" s="13"/>
      <c r="K619" s="319" t="s">
        <v>41</v>
      </c>
      <c r="L619" s="125" t="s">
        <v>15</v>
      </c>
      <c r="M619" s="96">
        <v>250000</v>
      </c>
      <c r="N619" s="18" t="s">
        <v>1876</v>
      </c>
    </row>
    <row r="620" spans="1:14">
      <c r="A620" s="123">
        <v>46</v>
      </c>
      <c r="B620" s="979"/>
      <c r="C620" s="92">
        <v>45609</v>
      </c>
      <c r="D620" s="4" t="s">
        <v>21</v>
      </c>
      <c r="E620" s="4" t="s">
        <v>17</v>
      </c>
      <c r="F620" s="31" t="s">
        <v>78</v>
      </c>
      <c r="G620" s="4">
        <v>7060</v>
      </c>
      <c r="H620" s="3" t="s">
        <v>37</v>
      </c>
      <c r="I620" s="99" t="s">
        <v>2571</v>
      </c>
      <c r="J620" s="31" t="s">
        <v>90</v>
      </c>
      <c r="K620" s="317" t="s">
        <v>999</v>
      </c>
      <c r="L620" s="6" t="s">
        <v>15</v>
      </c>
      <c r="M620" s="96">
        <v>300000</v>
      </c>
      <c r="N620" s="18" t="s">
        <v>1876</v>
      </c>
    </row>
    <row r="621" spans="1:14" ht="27">
      <c r="A621" s="123">
        <v>46</v>
      </c>
      <c r="B621" s="980"/>
      <c r="C621" s="92">
        <v>45610</v>
      </c>
      <c r="D621" s="4" t="s">
        <v>21</v>
      </c>
      <c r="E621" s="4" t="s">
        <v>14</v>
      </c>
      <c r="F621" s="31" t="s">
        <v>1893</v>
      </c>
      <c r="G621" s="16" t="s">
        <v>1323</v>
      </c>
      <c r="H621" s="3" t="s">
        <v>1391</v>
      </c>
      <c r="I621" s="193" t="s">
        <v>2565</v>
      </c>
      <c r="J621" s="31"/>
      <c r="K621" s="317" t="s">
        <v>999</v>
      </c>
      <c r="L621" s="125" t="s">
        <v>15</v>
      </c>
      <c r="M621" s="96">
        <v>300000</v>
      </c>
      <c r="N621" s="18" t="s">
        <v>2570</v>
      </c>
    </row>
    <row r="622" spans="1:14" ht="24">
      <c r="A622" s="123">
        <v>47</v>
      </c>
      <c r="B622" s="1094" t="s">
        <v>2606</v>
      </c>
      <c r="C622" s="92">
        <v>45610</v>
      </c>
      <c r="D622" s="125" t="s">
        <v>306</v>
      </c>
      <c r="E622" s="125" t="s">
        <v>322</v>
      </c>
      <c r="F622" s="125" t="s">
        <v>307</v>
      </c>
      <c r="G622" s="193" t="s">
        <v>2578</v>
      </c>
      <c r="H622" s="125" t="s">
        <v>23</v>
      </c>
      <c r="I622" s="193" t="s">
        <v>2579</v>
      </c>
      <c r="J622" s="125" t="s">
        <v>1074</v>
      </c>
      <c r="K622" s="4" t="s">
        <v>410</v>
      </c>
      <c r="L622" s="125"/>
      <c r="M622" s="96">
        <v>300000</v>
      </c>
      <c r="N622" s="315" t="s">
        <v>2580</v>
      </c>
    </row>
    <row r="623" spans="1:14">
      <c r="A623" s="123">
        <v>47</v>
      </c>
      <c r="B623" s="1095"/>
      <c r="C623" s="92">
        <v>45614</v>
      </c>
      <c r="D623" s="125" t="s">
        <v>306</v>
      </c>
      <c r="E623" s="125" t="s">
        <v>322</v>
      </c>
      <c r="F623" s="125" t="s">
        <v>307</v>
      </c>
      <c r="G623" s="193" t="s">
        <v>2566</v>
      </c>
      <c r="H623" s="125" t="s">
        <v>376</v>
      </c>
      <c r="I623" s="193" t="s">
        <v>1122</v>
      </c>
      <c r="J623" s="125" t="s">
        <v>168</v>
      </c>
      <c r="K623" s="268" t="s">
        <v>1833</v>
      </c>
      <c r="L623" s="125"/>
      <c r="M623" s="96">
        <v>250000</v>
      </c>
      <c r="N623" s="202" t="s">
        <v>121</v>
      </c>
    </row>
    <row r="624" spans="1:14" ht="27">
      <c r="A624" s="123">
        <v>47</v>
      </c>
      <c r="B624" s="1095"/>
      <c r="C624" s="92" t="s">
        <v>2575</v>
      </c>
      <c r="D624" s="125" t="s">
        <v>306</v>
      </c>
      <c r="E624" s="125" t="s">
        <v>322</v>
      </c>
      <c r="F624" s="125" t="s">
        <v>307</v>
      </c>
      <c r="G624" s="193" t="s">
        <v>2576</v>
      </c>
      <c r="H624" s="125" t="s">
        <v>143</v>
      </c>
      <c r="I624" s="193" t="s">
        <v>1867</v>
      </c>
      <c r="J624" s="125" t="s">
        <v>168</v>
      </c>
      <c r="K624" s="268" t="s">
        <v>2479</v>
      </c>
      <c r="L624" s="125"/>
      <c r="M624" s="96">
        <v>500000</v>
      </c>
      <c r="N624" s="202" t="s">
        <v>121</v>
      </c>
    </row>
    <row r="625" spans="1:14" ht="27">
      <c r="A625" s="123">
        <v>47</v>
      </c>
      <c r="B625" s="1095"/>
      <c r="C625" s="92" t="s">
        <v>2577</v>
      </c>
      <c r="D625" s="125" t="s">
        <v>306</v>
      </c>
      <c r="E625" s="125" t="s">
        <v>322</v>
      </c>
      <c r="F625" s="125" t="s">
        <v>307</v>
      </c>
      <c r="G625" s="193" t="s">
        <v>2557</v>
      </c>
      <c r="H625" s="125" t="s">
        <v>148</v>
      </c>
      <c r="I625" s="193" t="s">
        <v>2581</v>
      </c>
      <c r="J625" s="125" t="s">
        <v>168</v>
      </c>
      <c r="K625" s="268" t="s">
        <v>2479</v>
      </c>
      <c r="L625" s="125"/>
      <c r="M625" s="96">
        <v>500000</v>
      </c>
      <c r="N625" s="202" t="s">
        <v>121</v>
      </c>
    </row>
    <row r="626" spans="1:14" ht="27">
      <c r="A626" s="123">
        <v>47</v>
      </c>
      <c r="B626" s="1096"/>
      <c r="C626" s="92" t="s">
        <v>2583</v>
      </c>
      <c r="D626" s="125" t="s">
        <v>306</v>
      </c>
      <c r="E626" s="125" t="s">
        <v>322</v>
      </c>
      <c r="F626" s="125" t="s">
        <v>307</v>
      </c>
      <c r="G626" s="193">
        <v>3307</v>
      </c>
      <c r="H626" s="125" t="s">
        <v>811</v>
      </c>
      <c r="I626" s="193" t="s">
        <v>2584</v>
      </c>
      <c r="J626" s="125" t="s">
        <v>94</v>
      </c>
      <c r="K626" s="183" t="s">
        <v>2585</v>
      </c>
      <c r="L626" s="239"/>
      <c r="M626" s="207">
        <v>2250000</v>
      </c>
      <c r="N626" s="202" t="s">
        <v>247</v>
      </c>
    </row>
    <row r="627" spans="1:14" ht="27">
      <c r="A627" s="123">
        <v>47</v>
      </c>
      <c r="B627" s="55" t="s">
        <v>21</v>
      </c>
      <c r="C627" s="122">
        <v>45617</v>
      </c>
      <c r="D627" s="4" t="s">
        <v>21</v>
      </c>
      <c r="E627" s="4" t="s">
        <v>17</v>
      </c>
      <c r="F627" s="193" t="s">
        <v>2574</v>
      </c>
      <c r="G627" s="16">
        <v>4266</v>
      </c>
      <c r="H627" s="3" t="s">
        <v>18</v>
      </c>
      <c r="I627" s="193" t="s">
        <v>2582</v>
      </c>
      <c r="J627" s="31"/>
      <c r="K627" s="31" t="s">
        <v>999</v>
      </c>
      <c r="L627" s="125" t="s">
        <v>15</v>
      </c>
      <c r="M627" s="96">
        <v>300000</v>
      </c>
      <c r="N627" s="18" t="s">
        <v>1876</v>
      </c>
    </row>
    <row r="628" spans="1:14" ht="27">
      <c r="A628" s="123">
        <v>48</v>
      </c>
      <c r="B628" s="978" t="s">
        <v>20</v>
      </c>
      <c r="C628" s="92" t="s">
        <v>2590</v>
      </c>
      <c r="D628" s="125" t="s">
        <v>306</v>
      </c>
      <c r="E628" s="125" t="s">
        <v>322</v>
      </c>
      <c r="F628" s="125" t="s">
        <v>307</v>
      </c>
      <c r="G628" s="193" t="s">
        <v>2591</v>
      </c>
      <c r="H628" s="125" t="s">
        <v>2592</v>
      </c>
      <c r="I628" s="193" t="s">
        <v>2594</v>
      </c>
      <c r="J628" s="125" t="s">
        <v>94</v>
      </c>
      <c r="K628" s="183" t="s">
        <v>2593</v>
      </c>
      <c r="L628" s="239"/>
      <c r="M628" s="207">
        <v>750000</v>
      </c>
      <c r="N628" s="202" t="s">
        <v>2598</v>
      </c>
    </row>
    <row r="629" spans="1:14" ht="27">
      <c r="A629" s="123">
        <v>48</v>
      </c>
      <c r="B629" s="979"/>
      <c r="C629" s="92" t="s">
        <v>2588</v>
      </c>
      <c r="D629" s="125" t="s">
        <v>306</v>
      </c>
      <c r="E629" s="125" t="s">
        <v>322</v>
      </c>
      <c r="F629" s="125" t="s">
        <v>307</v>
      </c>
      <c r="G629" s="193" t="s">
        <v>2557</v>
      </c>
      <c r="H629" s="125" t="s">
        <v>148</v>
      </c>
      <c r="I629" s="193" t="s">
        <v>2589</v>
      </c>
      <c r="J629" s="125" t="s">
        <v>168</v>
      </c>
      <c r="K629" s="268" t="s">
        <v>2560</v>
      </c>
      <c r="L629" s="125"/>
      <c r="M629" s="96">
        <v>1250000</v>
      </c>
      <c r="N629" s="202" t="s">
        <v>121</v>
      </c>
    </row>
    <row r="630" spans="1:14" ht="27">
      <c r="A630" s="123">
        <v>48</v>
      </c>
      <c r="B630" s="980"/>
      <c r="C630" s="92" t="s">
        <v>2595</v>
      </c>
      <c r="D630" s="125" t="s">
        <v>306</v>
      </c>
      <c r="E630" s="125" t="s">
        <v>322</v>
      </c>
      <c r="F630" s="125" t="s">
        <v>307</v>
      </c>
      <c r="G630" s="193">
        <v>3307</v>
      </c>
      <c r="H630" s="125" t="s">
        <v>811</v>
      </c>
      <c r="I630" s="193" t="s">
        <v>2599</v>
      </c>
      <c r="J630" s="125" t="s">
        <v>94</v>
      </c>
      <c r="K630" s="183" t="s">
        <v>2596</v>
      </c>
      <c r="L630" s="239"/>
      <c r="M630" s="207">
        <v>1500000</v>
      </c>
      <c r="N630" s="202" t="s">
        <v>2597</v>
      </c>
    </row>
    <row r="631" spans="1:14" ht="27">
      <c r="A631" s="123">
        <v>48</v>
      </c>
      <c r="B631" s="55" t="s">
        <v>21</v>
      </c>
      <c r="C631" s="92">
        <v>45621</v>
      </c>
      <c r="D631" s="4" t="s">
        <v>21</v>
      </c>
      <c r="E631" s="4" t="s">
        <v>14</v>
      </c>
      <c r="F631" s="3" t="s">
        <v>107</v>
      </c>
      <c r="G631" s="16" t="s">
        <v>961</v>
      </c>
      <c r="H631" s="3" t="s">
        <v>2554</v>
      </c>
      <c r="I631" s="9" t="s">
        <v>2586</v>
      </c>
      <c r="J631" s="13" t="s">
        <v>90</v>
      </c>
      <c r="K631" s="201" t="s">
        <v>686</v>
      </c>
      <c r="L631" s="125" t="s">
        <v>15</v>
      </c>
      <c r="M631" s="96">
        <v>250000</v>
      </c>
      <c r="N631" s="18" t="s">
        <v>2600</v>
      </c>
    </row>
    <row r="632" spans="1:14" ht="27">
      <c r="A632" s="123">
        <v>49</v>
      </c>
      <c r="B632" s="978" t="s">
        <v>2635</v>
      </c>
      <c r="C632" s="92" t="s">
        <v>2609</v>
      </c>
      <c r="D632" s="125" t="s">
        <v>306</v>
      </c>
      <c r="E632" s="125" t="s">
        <v>322</v>
      </c>
      <c r="F632" s="125" t="s">
        <v>307</v>
      </c>
      <c r="G632" s="193" t="s">
        <v>2557</v>
      </c>
      <c r="H632" s="125" t="s">
        <v>148</v>
      </c>
      <c r="I632" s="193" t="s">
        <v>2610</v>
      </c>
      <c r="J632" s="125" t="s">
        <v>168</v>
      </c>
      <c r="K632" s="4" t="s">
        <v>2560</v>
      </c>
      <c r="L632" s="125"/>
      <c r="M632" s="96">
        <v>1250000</v>
      </c>
      <c r="N632" s="202" t="s">
        <v>121</v>
      </c>
    </row>
    <row r="633" spans="1:14">
      <c r="A633" s="123">
        <v>49</v>
      </c>
      <c r="B633" s="979"/>
      <c r="C633" s="92">
        <v>45631</v>
      </c>
      <c r="D633" s="125" t="s">
        <v>306</v>
      </c>
      <c r="E633" s="125" t="s">
        <v>322</v>
      </c>
      <c r="F633" s="125" t="s">
        <v>307</v>
      </c>
      <c r="G633" s="193">
        <v>3307</v>
      </c>
      <c r="H633" s="125" t="s">
        <v>811</v>
      </c>
      <c r="I633" s="193" t="s">
        <v>2599</v>
      </c>
      <c r="J633" s="125" t="s">
        <v>94</v>
      </c>
      <c r="K633" s="183" t="s">
        <v>2615</v>
      </c>
      <c r="L633" s="239"/>
      <c r="M633" s="207">
        <v>750000</v>
      </c>
      <c r="N633" s="202" t="s">
        <v>247</v>
      </c>
    </row>
    <row r="634" spans="1:14" ht="27">
      <c r="A634" s="123">
        <v>49</v>
      </c>
      <c r="B634" s="980"/>
      <c r="C634" s="92" t="s">
        <v>2614</v>
      </c>
      <c r="D634" s="125" t="s">
        <v>306</v>
      </c>
      <c r="E634" s="125" t="s">
        <v>322</v>
      </c>
      <c r="F634" s="125" t="s">
        <v>307</v>
      </c>
      <c r="G634" s="193" t="s">
        <v>2608</v>
      </c>
      <c r="H634" s="125" t="s">
        <v>37</v>
      </c>
      <c r="I634" s="193" t="s">
        <v>2611</v>
      </c>
      <c r="J634" s="125" t="s">
        <v>94</v>
      </c>
      <c r="K634" s="183" t="s">
        <v>2593</v>
      </c>
      <c r="L634" s="239"/>
      <c r="M634" s="207">
        <v>750000</v>
      </c>
      <c r="N634" s="202" t="s">
        <v>247</v>
      </c>
    </row>
    <row r="635" spans="1:14" ht="27">
      <c r="A635" s="123">
        <v>49</v>
      </c>
      <c r="B635" s="978" t="s">
        <v>2636</v>
      </c>
      <c r="C635" s="92" t="s">
        <v>2613</v>
      </c>
      <c r="D635" s="4" t="s">
        <v>138</v>
      </c>
      <c r="E635" s="4" t="s">
        <v>17</v>
      </c>
      <c r="F635" s="4" t="s">
        <v>1384</v>
      </c>
      <c r="G635" s="4" t="s">
        <v>2607</v>
      </c>
      <c r="H635" s="3" t="s">
        <v>23</v>
      </c>
      <c r="I635" s="269" t="s">
        <v>2612</v>
      </c>
      <c r="J635" s="13" t="s">
        <v>90</v>
      </c>
      <c r="K635" s="204" t="s">
        <v>647</v>
      </c>
      <c r="L635" s="335" t="s">
        <v>15</v>
      </c>
      <c r="M635" s="334">
        <v>1000000</v>
      </c>
      <c r="N635" s="8" t="s">
        <v>2143</v>
      </c>
    </row>
    <row r="636" spans="1:14">
      <c r="A636" s="123">
        <v>49</v>
      </c>
      <c r="B636" s="979"/>
      <c r="C636" s="92">
        <v>45629</v>
      </c>
      <c r="D636" s="4" t="s">
        <v>311</v>
      </c>
      <c r="E636" s="4" t="s">
        <v>320</v>
      </c>
      <c r="F636" s="3" t="s">
        <v>2601</v>
      </c>
      <c r="G636" s="16" t="s">
        <v>1412</v>
      </c>
      <c r="H636" s="3" t="s">
        <v>2603</v>
      </c>
      <c r="I636" s="9" t="s">
        <v>2602</v>
      </c>
      <c r="J636" s="13" t="s">
        <v>1669</v>
      </c>
      <c r="K636" s="303" t="s">
        <v>999</v>
      </c>
      <c r="L636" s="125" t="s">
        <v>309</v>
      </c>
      <c r="M636" s="96">
        <v>300000</v>
      </c>
      <c r="N636" s="8" t="s">
        <v>128</v>
      </c>
    </row>
    <row r="637" spans="1:14">
      <c r="A637" s="123">
        <v>49</v>
      </c>
      <c r="B637" s="980"/>
      <c r="C637" s="92">
        <v>45632</v>
      </c>
      <c r="D637" s="4" t="s">
        <v>311</v>
      </c>
      <c r="E637" s="4" t="s">
        <v>320</v>
      </c>
      <c r="F637" s="3" t="s">
        <v>2601</v>
      </c>
      <c r="G637" s="16" t="s">
        <v>1412</v>
      </c>
      <c r="H637" s="3" t="s">
        <v>1879</v>
      </c>
      <c r="I637" s="9" t="s">
        <v>2602</v>
      </c>
      <c r="J637" s="13"/>
      <c r="K637" s="303" t="s">
        <v>999</v>
      </c>
      <c r="L637" s="125" t="s">
        <v>309</v>
      </c>
      <c r="M637" s="96">
        <v>300000</v>
      </c>
      <c r="N637" s="8" t="s">
        <v>128</v>
      </c>
    </row>
    <row r="638" spans="1:14">
      <c r="A638" s="123">
        <v>50</v>
      </c>
      <c r="B638" s="978" t="s">
        <v>2669</v>
      </c>
      <c r="C638" s="92">
        <v>45626</v>
      </c>
      <c r="D638" s="125" t="s">
        <v>306</v>
      </c>
      <c r="E638" s="125" t="s">
        <v>322</v>
      </c>
      <c r="F638" s="125" t="s">
        <v>307</v>
      </c>
      <c r="G638" s="3" t="s">
        <v>2557</v>
      </c>
      <c r="H638" s="3" t="s">
        <v>406</v>
      </c>
      <c r="I638" s="9" t="s">
        <v>2619</v>
      </c>
      <c r="J638" s="13" t="s">
        <v>73</v>
      </c>
      <c r="K638" s="287" t="s">
        <v>641</v>
      </c>
      <c r="L638" s="125"/>
      <c r="M638" s="96">
        <v>500000</v>
      </c>
      <c r="N638" s="202" t="s">
        <v>2627</v>
      </c>
    </row>
    <row r="639" spans="1:14" ht="27">
      <c r="A639" s="123">
        <v>50</v>
      </c>
      <c r="B639" s="980"/>
      <c r="C639" s="92" t="s">
        <v>2622</v>
      </c>
      <c r="D639" s="125" t="s">
        <v>306</v>
      </c>
      <c r="E639" s="125" t="s">
        <v>322</v>
      </c>
      <c r="F639" s="125" t="s">
        <v>307</v>
      </c>
      <c r="G639" s="193" t="s">
        <v>2620</v>
      </c>
      <c r="H639" s="125" t="s">
        <v>18</v>
      </c>
      <c r="I639" s="193" t="s">
        <v>2621</v>
      </c>
      <c r="J639" s="125" t="s">
        <v>168</v>
      </c>
      <c r="K639" s="4" t="s">
        <v>2560</v>
      </c>
      <c r="L639" s="125"/>
      <c r="M639" s="96">
        <v>1250000</v>
      </c>
      <c r="N639" s="202" t="s">
        <v>121</v>
      </c>
    </row>
    <row r="640" spans="1:14" ht="81">
      <c r="A640" s="123">
        <v>50</v>
      </c>
      <c r="B640" s="978" t="s">
        <v>2670</v>
      </c>
      <c r="C640" s="92" t="s">
        <v>2625</v>
      </c>
      <c r="D640" s="4" t="s">
        <v>138</v>
      </c>
      <c r="E640" s="4" t="s">
        <v>17</v>
      </c>
      <c r="F640" s="4" t="s">
        <v>2616</v>
      </c>
      <c r="G640" s="4" t="s">
        <v>2607</v>
      </c>
      <c r="H640" s="3" t="s">
        <v>23</v>
      </c>
      <c r="I640" s="269" t="s">
        <v>2626</v>
      </c>
      <c r="J640" s="13"/>
      <c r="K640" s="345" t="s">
        <v>2630</v>
      </c>
      <c r="L640" s="346" t="s">
        <v>15</v>
      </c>
      <c r="M640" s="347">
        <v>1500000</v>
      </c>
      <c r="N640" s="8" t="s">
        <v>2631</v>
      </c>
    </row>
    <row r="641" spans="1:14" ht="27">
      <c r="A641" s="123">
        <v>50</v>
      </c>
      <c r="B641" s="979"/>
      <c r="C641" s="92">
        <v>45636</v>
      </c>
      <c r="D641" s="4" t="s">
        <v>21</v>
      </c>
      <c r="E641" s="4" t="s">
        <v>14</v>
      </c>
      <c r="F641" s="3" t="s">
        <v>107</v>
      </c>
      <c r="G641" s="3" t="s">
        <v>270</v>
      </c>
      <c r="H641" s="3" t="s">
        <v>1558</v>
      </c>
      <c r="I641" s="193" t="s">
        <v>2632</v>
      </c>
      <c r="J641" s="13"/>
      <c r="K641" s="330" t="s">
        <v>999</v>
      </c>
      <c r="L641" s="329" t="s">
        <v>15</v>
      </c>
      <c r="M641" s="339">
        <v>250000</v>
      </c>
      <c r="N641" s="8" t="s">
        <v>1979</v>
      </c>
    </row>
    <row r="642" spans="1:14" ht="27">
      <c r="A642" s="123">
        <v>50</v>
      </c>
      <c r="B642" s="980"/>
      <c r="C642" s="92">
        <v>45639</v>
      </c>
      <c r="D642" s="4" t="s">
        <v>21</v>
      </c>
      <c r="E642" s="4" t="s">
        <v>14</v>
      </c>
      <c r="F642" s="31" t="s">
        <v>1582</v>
      </c>
      <c r="G642" s="16" t="s">
        <v>2617</v>
      </c>
      <c r="H642" s="3" t="s">
        <v>2618</v>
      </c>
      <c r="I642" s="193" t="s">
        <v>2628</v>
      </c>
      <c r="J642" s="31"/>
      <c r="K642" s="350" t="s">
        <v>641</v>
      </c>
      <c r="L642" s="351" t="s">
        <v>15</v>
      </c>
      <c r="M642" s="352">
        <v>500000</v>
      </c>
      <c r="N642" s="8" t="s">
        <v>2629</v>
      </c>
    </row>
    <row r="643" spans="1:14" ht="27">
      <c r="A643" s="123">
        <v>51</v>
      </c>
      <c r="B643" s="978" t="s">
        <v>20</v>
      </c>
      <c r="C643" s="92" t="s">
        <v>2638</v>
      </c>
      <c r="D643" s="125" t="s">
        <v>306</v>
      </c>
      <c r="E643" s="125" t="s">
        <v>322</v>
      </c>
      <c r="F643" s="125" t="s">
        <v>307</v>
      </c>
      <c r="G643" s="193" t="s">
        <v>2557</v>
      </c>
      <c r="H643" s="125" t="s">
        <v>148</v>
      </c>
      <c r="I643" s="193" t="s">
        <v>2639</v>
      </c>
      <c r="J643" s="125" t="s">
        <v>168</v>
      </c>
      <c r="K643" s="4" t="s">
        <v>1655</v>
      </c>
      <c r="L643" s="125"/>
      <c r="M643" s="96">
        <v>500000</v>
      </c>
      <c r="N643" s="202" t="s">
        <v>2650</v>
      </c>
    </row>
    <row r="644" spans="1:14" ht="27">
      <c r="A644" s="123">
        <v>51</v>
      </c>
      <c r="B644" s="979"/>
      <c r="C644" s="92" t="s">
        <v>2640</v>
      </c>
      <c r="D644" s="125" t="s">
        <v>306</v>
      </c>
      <c r="E644" s="125" t="s">
        <v>322</v>
      </c>
      <c r="F644" s="125" t="s">
        <v>307</v>
      </c>
      <c r="G644" s="193" t="s">
        <v>2620</v>
      </c>
      <c r="H644" s="125" t="s">
        <v>361</v>
      </c>
      <c r="I644" s="193" t="s">
        <v>378</v>
      </c>
      <c r="J644" s="125" t="s">
        <v>168</v>
      </c>
      <c r="K644" s="4" t="s">
        <v>1869</v>
      </c>
      <c r="L644" s="125"/>
      <c r="M644" s="96">
        <v>750000</v>
      </c>
      <c r="N644" s="202" t="s">
        <v>121</v>
      </c>
    </row>
    <row r="645" spans="1:14" ht="27">
      <c r="A645" s="123">
        <v>51</v>
      </c>
      <c r="B645" s="979" t="s">
        <v>21</v>
      </c>
      <c r="C645" s="122">
        <v>45636</v>
      </c>
      <c r="D645" s="4" t="s">
        <v>311</v>
      </c>
      <c r="E645" s="4" t="s">
        <v>320</v>
      </c>
      <c r="F645" s="3" t="s">
        <v>211</v>
      </c>
      <c r="G645" s="16" t="s">
        <v>1504</v>
      </c>
      <c r="H645" s="3" t="s">
        <v>2633</v>
      </c>
      <c r="I645" s="9" t="s">
        <v>2634</v>
      </c>
      <c r="J645" s="13" t="s">
        <v>202</v>
      </c>
      <c r="K645" s="341" t="s">
        <v>999</v>
      </c>
      <c r="L645" s="342" t="s">
        <v>15</v>
      </c>
      <c r="M645" s="343">
        <v>300000</v>
      </c>
      <c r="N645" s="8" t="s">
        <v>2642</v>
      </c>
    </row>
    <row r="646" spans="1:14">
      <c r="A646" s="123">
        <v>51</v>
      </c>
      <c r="B646" s="979"/>
      <c r="C646" s="122">
        <v>45638</v>
      </c>
      <c r="D646" s="4" t="s">
        <v>311</v>
      </c>
      <c r="E646" s="4" t="s">
        <v>320</v>
      </c>
      <c r="F646" s="31" t="s">
        <v>2637</v>
      </c>
      <c r="G646" s="16" t="s">
        <v>1379</v>
      </c>
      <c r="H646" s="3" t="s">
        <v>102</v>
      </c>
      <c r="I646" s="193" t="s">
        <v>2641</v>
      </c>
      <c r="J646" s="13" t="s">
        <v>90</v>
      </c>
      <c r="K646" s="341" t="s">
        <v>999</v>
      </c>
      <c r="L646" s="342" t="s">
        <v>15</v>
      </c>
      <c r="M646" s="343">
        <v>300000</v>
      </c>
      <c r="N646" s="8" t="s">
        <v>2648</v>
      </c>
    </row>
    <row r="647" spans="1:14" ht="27">
      <c r="A647" s="123">
        <v>51</v>
      </c>
      <c r="B647" s="979"/>
      <c r="C647" s="122">
        <v>45639</v>
      </c>
      <c r="D647" s="4" t="s">
        <v>21</v>
      </c>
      <c r="E647" s="4" t="s">
        <v>14</v>
      </c>
      <c r="F647" s="4" t="s">
        <v>107</v>
      </c>
      <c r="G647" s="4" t="s">
        <v>270</v>
      </c>
      <c r="H647" s="4" t="s">
        <v>1391</v>
      </c>
      <c r="I647" s="193" t="s">
        <v>2647</v>
      </c>
      <c r="J647" s="13"/>
      <c r="K647" s="329" t="s">
        <v>686</v>
      </c>
      <c r="L647" s="340" t="s">
        <v>15</v>
      </c>
      <c r="M647" s="339">
        <v>250000</v>
      </c>
      <c r="N647" s="8" t="s">
        <v>2642</v>
      </c>
    </row>
    <row r="648" spans="1:14" ht="27">
      <c r="A648" s="123">
        <v>51</v>
      </c>
      <c r="B648" s="979"/>
      <c r="C648" s="344">
        <v>45639</v>
      </c>
      <c r="D648" s="4" t="s">
        <v>21</v>
      </c>
      <c r="E648" s="4" t="s">
        <v>14</v>
      </c>
      <c r="F648" s="31" t="s">
        <v>211</v>
      </c>
      <c r="G648" s="16" t="s">
        <v>1504</v>
      </c>
      <c r="H648" s="3" t="s">
        <v>18</v>
      </c>
      <c r="I648" s="193" t="s">
        <v>2643</v>
      </c>
      <c r="J648" s="31"/>
      <c r="K648" s="329" t="s">
        <v>686</v>
      </c>
      <c r="L648" s="340" t="s">
        <v>15</v>
      </c>
      <c r="M648" s="339">
        <v>250000</v>
      </c>
      <c r="N648" s="8" t="s">
        <v>2644</v>
      </c>
    </row>
    <row r="649" spans="1:14">
      <c r="A649" s="123">
        <v>51</v>
      </c>
      <c r="B649" s="979"/>
      <c r="C649" s="122">
        <v>45642</v>
      </c>
      <c r="D649" s="4" t="s">
        <v>21</v>
      </c>
      <c r="E649" s="4" t="s">
        <v>14</v>
      </c>
      <c r="F649" s="31" t="s">
        <v>1893</v>
      </c>
      <c r="G649" s="16" t="s">
        <v>1324</v>
      </c>
      <c r="H649" s="3" t="s">
        <v>83</v>
      </c>
      <c r="I649" s="193" t="s">
        <v>2645</v>
      </c>
      <c r="J649" s="31" t="s">
        <v>202</v>
      </c>
      <c r="K649" s="317" t="s">
        <v>2646</v>
      </c>
      <c r="L649" s="333" t="s">
        <v>15</v>
      </c>
      <c r="M649" s="334">
        <v>600000</v>
      </c>
      <c r="N649" s="8" t="s">
        <v>2649</v>
      </c>
    </row>
    <row r="650" spans="1:14" ht="27">
      <c r="A650" s="123">
        <v>52</v>
      </c>
      <c r="B650" s="979" t="s">
        <v>2671</v>
      </c>
      <c r="C650" s="92" t="s">
        <v>2651</v>
      </c>
      <c r="D650" s="125" t="s">
        <v>306</v>
      </c>
      <c r="E650" s="125" t="s">
        <v>322</v>
      </c>
      <c r="F650" s="125" t="s">
        <v>307</v>
      </c>
      <c r="G650" s="193" t="s">
        <v>1968</v>
      </c>
      <c r="H650" s="125" t="s">
        <v>143</v>
      </c>
      <c r="I650" s="193" t="s">
        <v>378</v>
      </c>
      <c r="J650" s="125" t="s">
        <v>168</v>
      </c>
      <c r="K650" s="4" t="s">
        <v>1655</v>
      </c>
      <c r="L650" s="125"/>
      <c r="M650" s="96">
        <v>500000</v>
      </c>
      <c r="N650" s="202" t="s">
        <v>121</v>
      </c>
    </row>
    <row r="651" spans="1:14" ht="27">
      <c r="A651" s="123">
        <v>52</v>
      </c>
      <c r="B651" s="979"/>
      <c r="C651" s="92" t="s">
        <v>2652</v>
      </c>
      <c r="D651" s="125" t="s">
        <v>306</v>
      </c>
      <c r="E651" s="125" t="s">
        <v>322</v>
      </c>
      <c r="F651" s="125" t="s">
        <v>307</v>
      </c>
      <c r="G651" s="193" t="s">
        <v>2653</v>
      </c>
      <c r="H651" s="125" t="s">
        <v>102</v>
      </c>
      <c r="I651" s="193" t="s">
        <v>378</v>
      </c>
      <c r="J651" s="125" t="s">
        <v>168</v>
      </c>
      <c r="K651" s="4" t="s">
        <v>1655</v>
      </c>
      <c r="L651" s="125"/>
      <c r="M651" s="96">
        <v>500000</v>
      </c>
      <c r="N651" s="202" t="s">
        <v>121</v>
      </c>
    </row>
    <row r="652" spans="1:14" ht="27">
      <c r="A652" s="123">
        <v>52</v>
      </c>
      <c r="B652" s="979"/>
      <c r="C652" s="92" t="s">
        <v>2657</v>
      </c>
      <c r="D652" s="125" t="s">
        <v>306</v>
      </c>
      <c r="E652" s="125" t="s">
        <v>322</v>
      </c>
      <c r="F652" s="125" t="s">
        <v>307</v>
      </c>
      <c r="G652" s="193" t="s">
        <v>2654</v>
      </c>
      <c r="H652" s="125" t="s">
        <v>102</v>
      </c>
      <c r="I652" s="193" t="s">
        <v>2321</v>
      </c>
      <c r="J652" s="125" t="s">
        <v>94</v>
      </c>
      <c r="K652" s="336" t="s">
        <v>1745</v>
      </c>
      <c r="L652" s="337"/>
      <c r="M652" s="338">
        <v>1000000</v>
      </c>
      <c r="N652" s="202" t="s">
        <v>247</v>
      </c>
    </row>
    <row r="653" spans="1:14" ht="27">
      <c r="A653" s="123">
        <v>52</v>
      </c>
      <c r="B653" s="321" t="s">
        <v>2672</v>
      </c>
      <c r="C653" s="122">
        <v>45652</v>
      </c>
      <c r="D653" s="4" t="s">
        <v>21</v>
      </c>
      <c r="E653" s="4" t="s">
        <v>14</v>
      </c>
      <c r="F653" s="4" t="s">
        <v>211</v>
      </c>
      <c r="G653" s="4" t="s">
        <v>1504</v>
      </c>
      <c r="H653" s="4" t="s">
        <v>2655</v>
      </c>
      <c r="I653" s="5" t="s">
        <v>2656</v>
      </c>
      <c r="J653" s="31" t="s">
        <v>90</v>
      </c>
      <c r="K653" s="330" t="s">
        <v>686</v>
      </c>
      <c r="L653" s="329" t="s">
        <v>15</v>
      </c>
      <c r="M653" s="339">
        <v>250000</v>
      </c>
      <c r="N653" s="125" t="s">
        <v>1878</v>
      </c>
    </row>
    <row r="654" spans="1:14">
      <c r="A654" s="123">
        <v>1</v>
      </c>
      <c r="B654" s="979" t="s">
        <v>2691</v>
      </c>
      <c r="C654" s="92">
        <v>45654</v>
      </c>
      <c r="D654" s="125" t="s">
        <v>306</v>
      </c>
      <c r="E654" s="125" t="s">
        <v>322</v>
      </c>
      <c r="F654" s="125" t="s">
        <v>307</v>
      </c>
      <c r="G654" s="193" t="s">
        <v>1968</v>
      </c>
      <c r="H654" s="125" t="s">
        <v>376</v>
      </c>
      <c r="I654" s="193" t="s">
        <v>2661</v>
      </c>
      <c r="J654" s="125" t="s">
        <v>90</v>
      </c>
      <c r="K654" s="348" t="s">
        <v>487</v>
      </c>
      <c r="L654" s="349"/>
      <c r="M654" s="347">
        <v>500000</v>
      </c>
      <c r="N654" s="202" t="s">
        <v>2662</v>
      </c>
    </row>
    <row r="655" spans="1:14" ht="27">
      <c r="A655" s="123">
        <v>1</v>
      </c>
      <c r="B655" s="979"/>
      <c r="C655" s="92" t="s">
        <v>2659</v>
      </c>
      <c r="D655" s="125" t="s">
        <v>306</v>
      </c>
      <c r="E655" s="125" t="s">
        <v>322</v>
      </c>
      <c r="F655" s="125" t="s">
        <v>307</v>
      </c>
      <c r="G655" s="193" t="s">
        <v>2653</v>
      </c>
      <c r="H655" s="125" t="s">
        <v>102</v>
      </c>
      <c r="I655" s="193" t="s">
        <v>378</v>
      </c>
      <c r="J655" s="125" t="s">
        <v>168</v>
      </c>
      <c r="K655" s="4" t="s">
        <v>2660</v>
      </c>
      <c r="L655" s="125"/>
      <c r="M655" s="96">
        <v>1000000</v>
      </c>
      <c r="N655" s="202" t="s">
        <v>121</v>
      </c>
    </row>
    <row r="656" spans="1:14">
      <c r="A656" s="123">
        <v>1</v>
      </c>
      <c r="B656" s="979" t="s">
        <v>2692</v>
      </c>
      <c r="C656" s="122">
        <v>45656</v>
      </c>
      <c r="D656" s="4" t="s">
        <v>21</v>
      </c>
      <c r="E656" s="4" t="s">
        <v>14</v>
      </c>
      <c r="F656" s="31" t="s">
        <v>1893</v>
      </c>
      <c r="G656" s="16" t="s">
        <v>1324</v>
      </c>
      <c r="H656" s="4" t="s">
        <v>1382</v>
      </c>
      <c r="I656" s="193" t="s">
        <v>2658</v>
      </c>
      <c r="J656" s="31"/>
      <c r="K656" s="330" t="s">
        <v>641</v>
      </c>
      <c r="L656" s="340" t="s">
        <v>15</v>
      </c>
      <c r="M656" s="339">
        <v>500000</v>
      </c>
      <c r="N656" s="125" t="s">
        <v>128</v>
      </c>
    </row>
    <row r="657" spans="1:14">
      <c r="A657" s="123">
        <v>1</v>
      </c>
      <c r="B657" s="979"/>
      <c r="C657" s="122">
        <v>45657</v>
      </c>
      <c r="D657" s="4" t="s">
        <v>21</v>
      </c>
      <c r="E657" s="4" t="s">
        <v>14</v>
      </c>
      <c r="F657" s="4" t="s">
        <v>211</v>
      </c>
      <c r="G657" s="4" t="s">
        <v>1504</v>
      </c>
      <c r="H657" s="4" t="s">
        <v>2655</v>
      </c>
      <c r="I657" s="5" t="s">
        <v>2663</v>
      </c>
      <c r="J657" s="31" t="s">
        <v>90</v>
      </c>
      <c r="K657" s="330" t="s">
        <v>641</v>
      </c>
      <c r="L657" s="329" t="s">
        <v>15</v>
      </c>
      <c r="M657" s="339">
        <v>500000</v>
      </c>
      <c r="N657" s="125" t="s">
        <v>1878</v>
      </c>
    </row>
    <row r="658" spans="1:14">
      <c r="A658" s="123">
        <v>2</v>
      </c>
      <c r="B658" s="979" t="s">
        <v>20</v>
      </c>
      <c r="C658" s="92" t="s">
        <v>2665</v>
      </c>
      <c r="D658" s="125" t="s">
        <v>306</v>
      </c>
      <c r="E658" s="125" t="s">
        <v>322</v>
      </c>
      <c r="F658" s="125" t="s">
        <v>307</v>
      </c>
      <c r="G658" s="193" t="s">
        <v>2654</v>
      </c>
      <c r="H658" s="125" t="s">
        <v>23</v>
      </c>
      <c r="I658" s="193" t="s">
        <v>2666</v>
      </c>
      <c r="J658" s="125" t="s">
        <v>168</v>
      </c>
      <c r="K658" s="4" t="s">
        <v>1833</v>
      </c>
      <c r="L658" s="125"/>
      <c r="M658" s="96">
        <v>250000</v>
      </c>
      <c r="N658" s="202" t="s">
        <v>121</v>
      </c>
    </row>
    <row r="659" spans="1:14">
      <c r="A659" s="123">
        <v>2</v>
      </c>
      <c r="B659" s="979"/>
      <c r="C659" s="92" t="s">
        <v>2667</v>
      </c>
      <c r="D659" s="125" t="s">
        <v>306</v>
      </c>
      <c r="E659" s="125" t="s">
        <v>322</v>
      </c>
      <c r="F659" s="125" t="s">
        <v>307</v>
      </c>
      <c r="G659" s="193" t="s">
        <v>1968</v>
      </c>
      <c r="H659" s="125" t="s">
        <v>143</v>
      </c>
      <c r="I659" s="193" t="s">
        <v>614</v>
      </c>
      <c r="J659" s="125" t="s">
        <v>168</v>
      </c>
      <c r="K659" s="4" t="s">
        <v>1833</v>
      </c>
      <c r="L659" s="125"/>
      <c r="M659" s="96">
        <v>250000</v>
      </c>
      <c r="N659" s="202" t="s">
        <v>121</v>
      </c>
    </row>
    <row r="660" spans="1:14" ht="27">
      <c r="A660" s="123">
        <v>2</v>
      </c>
      <c r="B660" s="979"/>
      <c r="C660" s="92" t="s">
        <v>2668</v>
      </c>
      <c r="D660" s="125" t="s">
        <v>306</v>
      </c>
      <c r="E660" s="125" t="s">
        <v>322</v>
      </c>
      <c r="F660" s="125" t="s">
        <v>307</v>
      </c>
      <c r="G660" s="193" t="s">
        <v>2557</v>
      </c>
      <c r="H660" s="125" t="s">
        <v>148</v>
      </c>
      <c r="I660" s="193" t="s">
        <v>2674</v>
      </c>
      <c r="J660" s="125" t="s">
        <v>168</v>
      </c>
      <c r="K660" s="4" t="s">
        <v>1869</v>
      </c>
      <c r="L660" s="125"/>
      <c r="M660" s="96">
        <v>750000</v>
      </c>
      <c r="N660" s="202" t="s">
        <v>121</v>
      </c>
    </row>
    <row r="661" spans="1:14" ht="27">
      <c r="A661" s="123">
        <v>2</v>
      </c>
      <c r="B661" s="979"/>
      <c r="C661" s="92" t="s">
        <v>2675</v>
      </c>
      <c r="D661" s="125" t="s">
        <v>306</v>
      </c>
      <c r="E661" s="125" t="s">
        <v>322</v>
      </c>
      <c r="F661" s="125" t="s">
        <v>307</v>
      </c>
      <c r="G661" s="193" t="s">
        <v>2654</v>
      </c>
      <c r="H661" s="125" t="s">
        <v>23</v>
      </c>
      <c r="I661" s="193" t="s">
        <v>2673</v>
      </c>
      <c r="J661" s="125" t="s">
        <v>94</v>
      </c>
      <c r="K661" s="336" t="s">
        <v>1745</v>
      </c>
      <c r="L661" s="337"/>
      <c r="M661" s="338">
        <v>1000000</v>
      </c>
      <c r="N661" s="202" t="s">
        <v>657</v>
      </c>
    </row>
    <row r="662" spans="1:14">
      <c r="A662" s="123">
        <v>2</v>
      </c>
      <c r="B662" s="222" t="s">
        <v>2693</v>
      </c>
      <c r="C662" s="122">
        <v>45665</v>
      </c>
      <c r="D662" s="4" t="s">
        <v>21</v>
      </c>
      <c r="E662" s="4" t="s">
        <v>14</v>
      </c>
      <c r="F662" s="31" t="s">
        <v>107</v>
      </c>
      <c r="G662" s="16" t="s">
        <v>1968</v>
      </c>
      <c r="H662" s="4" t="s">
        <v>142</v>
      </c>
      <c r="I662" s="193" t="s">
        <v>2664</v>
      </c>
      <c r="J662" s="31"/>
      <c r="K662" s="330" t="s">
        <v>2148</v>
      </c>
      <c r="L662" s="340" t="s">
        <v>15</v>
      </c>
      <c r="M662" s="339">
        <v>500000</v>
      </c>
      <c r="N662" s="125" t="s">
        <v>2676</v>
      </c>
    </row>
    <row r="663" spans="1:14" ht="27">
      <c r="A663" s="123">
        <v>3</v>
      </c>
      <c r="B663" s="979" t="s">
        <v>20</v>
      </c>
      <c r="C663" s="92" t="s">
        <v>2678</v>
      </c>
      <c r="D663" s="125" t="s">
        <v>306</v>
      </c>
      <c r="E663" s="125" t="s">
        <v>322</v>
      </c>
      <c r="F663" s="125" t="s">
        <v>307</v>
      </c>
      <c r="G663" s="193" t="s">
        <v>2620</v>
      </c>
      <c r="H663" s="125" t="s">
        <v>18</v>
      </c>
      <c r="I663" s="193" t="s">
        <v>2679</v>
      </c>
      <c r="J663" s="125" t="s">
        <v>168</v>
      </c>
      <c r="K663" s="4" t="s">
        <v>1655</v>
      </c>
      <c r="L663" s="125"/>
      <c r="M663" s="96">
        <v>500000</v>
      </c>
      <c r="N663" s="202" t="s">
        <v>121</v>
      </c>
    </row>
    <row r="664" spans="1:14" ht="27">
      <c r="A664" s="123">
        <v>3</v>
      </c>
      <c r="B664" s="979"/>
      <c r="C664" s="92" t="s">
        <v>2680</v>
      </c>
      <c r="D664" s="125" t="s">
        <v>306</v>
      </c>
      <c r="E664" s="125" t="s">
        <v>322</v>
      </c>
      <c r="F664" s="125" t="s">
        <v>307</v>
      </c>
      <c r="G664" s="193">
        <v>593</v>
      </c>
      <c r="H664" s="125" t="s">
        <v>264</v>
      </c>
      <c r="I664" s="193" t="s">
        <v>1962</v>
      </c>
      <c r="J664" s="125" t="s">
        <v>168</v>
      </c>
      <c r="K664" s="4" t="s">
        <v>1869</v>
      </c>
      <c r="L664" s="125"/>
      <c r="M664" s="96">
        <v>750000</v>
      </c>
      <c r="N664" s="202" t="s">
        <v>121</v>
      </c>
    </row>
    <row r="665" spans="1:14">
      <c r="A665" s="123">
        <v>3</v>
      </c>
      <c r="B665" s="979"/>
      <c r="C665" s="92">
        <v>45673</v>
      </c>
      <c r="D665" s="125" t="s">
        <v>306</v>
      </c>
      <c r="E665" s="125" t="s">
        <v>322</v>
      </c>
      <c r="F665" s="125" t="s">
        <v>307</v>
      </c>
      <c r="G665" s="193" t="s">
        <v>2557</v>
      </c>
      <c r="H665" s="125" t="s">
        <v>148</v>
      </c>
      <c r="I665" s="193" t="s">
        <v>2681</v>
      </c>
      <c r="J665" s="125" t="s">
        <v>168</v>
      </c>
      <c r="K665" s="332" t="s">
        <v>118</v>
      </c>
      <c r="L665" s="125"/>
      <c r="M665" s="96">
        <v>500000</v>
      </c>
      <c r="N665" s="202" t="s">
        <v>121</v>
      </c>
    </row>
    <row r="666" spans="1:14" ht="27">
      <c r="A666" s="123">
        <v>3</v>
      </c>
      <c r="B666" s="979"/>
      <c r="C666" s="92" t="s">
        <v>2682</v>
      </c>
      <c r="D666" s="125" t="s">
        <v>306</v>
      </c>
      <c r="E666" s="125" t="s">
        <v>322</v>
      </c>
      <c r="F666" s="125" t="s">
        <v>307</v>
      </c>
      <c r="G666" s="193" t="s">
        <v>2683</v>
      </c>
      <c r="H666" s="125" t="s">
        <v>148</v>
      </c>
      <c r="I666" s="193" t="s">
        <v>2684</v>
      </c>
      <c r="J666" s="125" t="s">
        <v>168</v>
      </c>
      <c r="K666" s="332" t="s">
        <v>1401</v>
      </c>
      <c r="L666" s="125"/>
      <c r="M666" s="96">
        <v>1500000</v>
      </c>
      <c r="N666" s="202" t="s">
        <v>121</v>
      </c>
    </row>
    <row r="667" spans="1:14" ht="67.5">
      <c r="A667" s="231">
        <v>3</v>
      </c>
      <c r="B667" s="222" t="s">
        <v>2695</v>
      </c>
      <c r="C667" s="122">
        <v>45666</v>
      </c>
      <c r="D667" s="10" t="s">
        <v>21</v>
      </c>
      <c r="E667" s="10" t="s">
        <v>14</v>
      </c>
      <c r="F667" s="331" t="s">
        <v>107</v>
      </c>
      <c r="G667" s="7" t="s">
        <v>1968</v>
      </c>
      <c r="H667" s="4" t="s">
        <v>142</v>
      </c>
      <c r="I667" s="193" t="s">
        <v>2677</v>
      </c>
      <c r="J667" s="31"/>
      <c r="K667" s="330" t="s">
        <v>2148</v>
      </c>
      <c r="L667" s="340" t="s">
        <v>15</v>
      </c>
      <c r="M667" s="339">
        <v>500000</v>
      </c>
      <c r="N667" s="125" t="s">
        <v>2685</v>
      </c>
    </row>
    <row r="668" spans="1:14" ht="27">
      <c r="A668" s="123">
        <v>4</v>
      </c>
      <c r="B668" s="978" t="s">
        <v>2694</v>
      </c>
      <c r="C668" s="92" t="s">
        <v>2687</v>
      </c>
      <c r="D668" s="125" t="s">
        <v>306</v>
      </c>
      <c r="E668" s="125" t="s">
        <v>322</v>
      </c>
      <c r="F668" s="125" t="s">
        <v>307</v>
      </c>
      <c r="G668" s="193" t="s">
        <v>2686</v>
      </c>
      <c r="H668" s="125" t="s">
        <v>18</v>
      </c>
      <c r="I668" s="193" t="s">
        <v>1962</v>
      </c>
      <c r="J668" s="125" t="s">
        <v>168</v>
      </c>
      <c r="K668" s="4" t="s">
        <v>1869</v>
      </c>
      <c r="L668" s="125"/>
      <c r="M668" s="96">
        <v>750000</v>
      </c>
      <c r="N668" s="125" t="s">
        <v>121</v>
      </c>
    </row>
    <row r="669" spans="1:14" ht="27">
      <c r="A669" s="123">
        <v>4</v>
      </c>
      <c r="B669" s="979"/>
      <c r="C669" s="92" t="s">
        <v>2688</v>
      </c>
      <c r="D669" s="125" t="s">
        <v>306</v>
      </c>
      <c r="E669" s="125" t="s">
        <v>322</v>
      </c>
      <c r="F669" s="125" t="s">
        <v>307</v>
      </c>
      <c r="G669" s="193" t="s">
        <v>2620</v>
      </c>
      <c r="H669" s="125" t="s">
        <v>264</v>
      </c>
      <c r="I669" s="193" t="s">
        <v>1962</v>
      </c>
      <c r="J669" s="125" t="s">
        <v>168</v>
      </c>
      <c r="K669" s="4" t="s">
        <v>1655</v>
      </c>
      <c r="L669" s="125"/>
      <c r="M669" s="96">
        <v>500000</v>
      </c>
      <c r="N669" s="125" t="s">
        <v>121</v>
      </c>
    </row>
    <row r="670" spans="1:14" ht="27">
      <c r="A670" s="123">
        <v>4</v>
      </c>
      <c r="B670" s="979"/>
      <c r="C670" s="92" t="s">
        <v>2687</v>
      </c>
      <c r="D670" s="125" t="s">
        <v>306</v>
      </c>
      <c r="E670" s="125" t="s">
        <v>322</v>
      </c>
      <c r="F670" s="125" t="s">
        <v>307</v>
      </c>
      <c r="G670" s="193" t="s">
        <v>2620</v>
      </c>
      <c r="H670" s="125" t="s">
        <v>18</v>
      </c>
      <c r="I670" s="193" t="s">
        <v>2321</v>
      </c>
      <c r="J670" s="125" t="s">
        <v>94</v>
      </c>
      <c r="K670" s="336" t="s">
        <v>1571</v>
      </c>
      <c r="L670" s="337"/>
      <c r="M670" s="338">
        <v>1500000</v>
      </c>
      <c r="N670" s="125" t="s">
        <v>657</v>
      </c>
    </row>
    <row r="671" spans="1:14" ht="27">
      <c r="A671" s="123">
        <v>4</v>
      </c>
      <c r="B671" s="980"/>
      <c r="C671" s="92" t="s">
        <v>2688</v>
      </c>
      <c r="D671" s="125" t="s">
        <v>306</v>
      </c>
      <c r="E671" s="125" t="s">
        <v>322</v>
      </c>
      <c r="F671" s="125" t="s">
        <v>307</v>
      </c>
      <c r="G671" s="193" t="s">
        <v>2653</v>
      </c>
      <c r="H671" s="125" t="s">
        <v>102</v>
      </c>
      <c r="I671" s="193" t="s">
        <v>2321</v>
      </c>
      <c r="J671" s="125" t="s">
        <v>94</v>
      </c>
      <c r="K671" s="336" t="s">
        <v>1745</v>
      </c>
      <c r="L671" s="337"/>
      <c r="M671" s="338">
        <v>1000000</v>
      </c>
      <c r="N671" s="125" t="s">
        <v>657</v>
      </c>
    </row>
    <row r="672" spans="1:14" ht="27.75" thickBot="1">
      <c r="A672" s="231">
        <v>4</v>
      </c>
      <c r="B672" s="132" t="s">
        <v>2696</v>
      </c>
      <c r="C672" s="122" t="s">
        <v>2689</v>
      </c>
      <c r="D672" s="10" t="s">
        <v>21</v>
      </c>
      <c r="E672" s="10" t="s">
        <v>14</v>
      </c>
      <c r="F672" s="331" t="s">
        <v>1893</v>
      </c>
      <c r="G672" s="7" t="s">
        <v>1349</v>
      </c>
      <c r="H672" s="10" t="s">
        <v>83</v>
      </c>
      <c r="I672" s="155" t="s">
        <v>1314</v>
      </c>
      <c r="J672" s="331"/>
      <c r="K672" s="331" t="s">
        <v>641</v>
      </c>
      <c r="L672" s="328" t="s">
        <v>15</v>
      </c>
      <c r="M672" s="470">
        <v>500000</v>
      </c>
      <c r="N672" s="328" t="s">
        <v>128</v>
      </c>
    </row>
    <row r="673" spans="1:14" ht="27.75" thickTop="1">
      <c r="A673" s="355">
        <v>6</v>
      </c>
      <c r="B673" s="1093" t="s">
        <v>2716</v>
      </c>
      <c r="C673" s="356" t="s">
        <v>2697</v>
      </c>
      <c r="D673" s="357" t="s">
        <v>306</v>
      </c>
      <c r="E673" s="357" t="s">
        <v>322</v>
      </c>
      <c r="F673" s="357" t="s">
        <v>307</v>
      </c>
      <c r="G673" s="358" t="s">
        <v>2686</v>
      </c>
      <c r="H673" s="357" t="s">
        <v>18</v>
      </c>
      <c r="I673" s="358" t="s">
        <v>2679</v>
      </c>
      <c r="J673" s="357" t="s">
        <v>168</v>
      </c>
      <c r="K673" s="359" t="s">
        <v>1959</v>
      </c>
      <c r="L673" s="357"/>
      <c r="M673" s="360">
        <v>500000</v>
      </c>
      <c r="N673" s="361" t="s">
        <v>121</v>
      </c>
    </row>
    <row r="674" spans="1:14" ht="27">
      <c r="A674" s="123">
        <v>6</v>
      </c>
      <c r="B674" s="979"/>
      <c r="C674" s="92" t="s">
        <v>2698</v>
      </c>
      <c r="D674" s="125" t="s">
        <v>306</v>
      </c>
      <c r="E674" s="125" t="s">
        <v>322</v>
      </c>
      <c r="F674" s="125" t="s">
        <v>307</v>
      </c>
      <c r="G674" s="193" t="s">
        <v>2620</v>
      </c>
      <c r="H674" s="125" t="s">
        <v>1064</v>
      </c>
      <c r="I674" s="193" t="s">
        <v>1962</v>
      </c>
      <c r="J674" s="125" t="s">
        <v>168</v>
      </c>
      <c r="K674" s="183" t="s">
        <v>1869</v>
      </c>
      <c r="L674" s="125"/>
      <c r="M674" s="96">
        <v>750000</v>
      </c>
      <c r="N674" s="202" t="s">
        <v>121</v>
      </c>
    </row>
    <row r="675" spans="1:14" ht="27">
      <c r="A675" s="123">
        <v>6</v>
      </c>
      <c r="B675" s="980"/>
      <c r="C675" s="92" t="s">
        <v>2699</v>
      </c>
      <c r="D675" s="125" t="s">
        <v>306</v>
      </c>
      <c r="E675" s="125" t="s">
        <v>322</v>
      </c>
      <c r="F675" s="125" t="s">
        <v>307</v>
      </c>
      <c r="G675" s="193">
        <v>593</v>
      </c>
      <c r="H675" s="125" t="s">
        <v>1064</v>
      </c>
      <c r="I675" s="193" t="s">
        <v>2321</v>
      </c>
      <c r="J675" s="125" t="s">
        <v>94</v>
      </c>
      <c r="K675" s="220" t="s">
        <v>1745</v>
      </c>
      <c r="L675" s="125"/>
      <c r="M675" s="96">
        <v>1000000</v>
      </c>
      <c r="N675" s="202" t="s">
        <v>657</v>
      </c>
    </row>
    <row r="676" spans="1:14">
      <c r="A676" s="123">
        <v>6</v>
      </c>
      <c r="B676" s="978" t="s">
        <v>2717</v>
      </c>
      <c r="C676" s="122">
        <v>45691</v>
      </c>
      <c r="D676" s="4" t="s">
        <v>21</v>
      </c>
      <c r="E676" s="4" t="s">
        <v>14</v>
      </c>
      <c r="F676" s="31" t="s">
        <v>1893</v>
      </c>
      <c r="G676" s="16" t="s">
        <v>1324</v>
      </c>
      <c r="H676" s="4" t="s">
        <v>83</v>
      </c>
      <c r="I676" s="193" t="s">
        <v>1314</v>
      </c>
      <c r="J676" s="31" t="s">
        <v>90</v>
      </c>
      <c r="K676" s="363" t="s">
        <v>999</v>
      </c>
      <c r="L676" s="125" t="s">
        <v>15</v>
      </c>
      <c r="M676" s="96">
        <v>300000</v>
      </c>
      <c r="N676" s="328" t="s">
        <v>1651</v>
      </c>
    </row>
    <row r="677" spans="1:14">
      <c r="A677" s="123">
        <v>6</v>
      </c>
      <c r="B677" s="980"/>
      <c r="C677" s="122">
        <v>45692</v>
      </c>
      <c r="D677" s="4" t="s">
        <v>21</v>
      </c>
      <c r="E677" s="4" t="s">
        <v>14</v>
      </c>
      <c r="F677" s="31" t="s">
        <v>211</v>
      </c>
      <c r="G677" s="16" t="s">
        <v>1504</v>
      </c>
      <c r="H677" s="9" t="s">
        <v>2655</v>
      </c>
      <c r="I677" s="193" t="s">
        <v>238</v>
      </c>
      <c r="J677" s="291"/>
      <c r="K677" s="362" t="s">
        <v>641</v>
      </c>
      <c r="L677" s="125" t="s">
        <v>15</v>
      </c>
      <c r="M677" s="96">
        <v>500000</v>
      </c>
      <c r="N677" s="328" t="s">
        <v>1651</v>
      </c>
    </row>
    <row r="678" spans="1:14" ht="27">
      <c r="A678" s="123">
        <v>7</v>
      </c>
      <c r="B678" s="978" t="s">
        <v>2733</v>
      </c>
      <c r="C678" s="92" t="s">
        <v>2707</v>
      </c>
      <c r="D678" s="125" t="s">
        <v>306</v>
      </c>
      <c r="E678" s="125" t="s">
        <v>322</v>
      </c>
      <c r="F678" s="125" t="s">
        <v>307</v>
      </c>
      <c r="G678" s="193" t="s">
        <v>2686</v>
      </c>
      <c r="H678" s="125" t="s">
        <v>18</v>
      </c>
      <c r="I678" s="193" t="s">
        <v>2706</v>
      </c>
      <c r="J678" s="125" t="s">
        <v>1948</v>
      </c>
      <c r="K678" s="183" t="s">
        <v>1655</v>
      </c>
      <c r="L678" s="125"/>
      <c r="M678" s="96">
        <v>500000</v>
      </c>
      <c r="N678" s="202" t="s">
        <v>121</v>
      </c>
    </row>
    <row r="679" spans="1:14" ht="27">
      <c r="A679" s="123">
        <v>7</v>
      </c>
      <c r="B679" s="979"/>
      <c r="C679" s="92" t="s">
        <v>2708</v>
      </c>
      <c r="D679" s="125" t="s">
        <v>306</v>
      </c>
      <c r="E679" s="125" t="s">
        <v>322</v>
      </c>
      <c r="F679" s="125" t="s">
        <v>307</v>
      </c>
      <c r="G679" s="193" t="s">
        <v>2620</v>
      </c>
      <c r="H679" s="125" t="s">
        <v>264</v>
      </c>
      <c r="I679" s="193" t="s">
        <v>1962</v>
      </c>
      <c r="J679" s="125" t="s">
        <v>168</v>
      </c>
      <c r="K679" s="183" t="s">
        <v>1869</v>
      </c>
      <c r="L679" s="125"/>
      <c r="M679" s="96">
        <v>750000</v>
      </c>
      <c r="N679" s="202" t="s">
        <v>121</v>
      </c>
    </row>
    <row r="680" spans="1:14">
      <c r="A680" s="123">
        <v>7</v>
      </c>
      <c r="B680" s="979"/>
      <c r="C680" s="92">
        <v>45698</v>
      </c>
      <c r="D680" s="125" t="s">
        <v>306</v>
      </c>
      <c r="E680" s="125" t="s">
        <v>322</v>
      </c>
      <c r="F680" s="125" t="s">
        <v>2709</v>
      </c>
      <c r="G680" s="193">
        <v>222003</v>
      </c>
      <c r="H680" s="125" t="s">
        <v>23</v>
      </c>
      <c r="I680" s="193" t="s">
        <v>2710</v>
      </c>
      <c r="J680" s="125" t="s">
        <v>2703</v>
      </c>
      <c r="K680" s="288" t="s">
        <v>111</v>
      </c>
      <c r="L680" s="125"/>
      <c r="M680" s="96">
        <v>250000</v>
      </c>
      <c r="N680" s="202" t="s">
        <v>2705</v>
      </c>
    </row>
    <row r="681" spans="1:14" ht="27">
      <c r="A681" s="123">
        <v>7</v>
      </c>
      <c r="B681" s="979"/>
      <c r="C681" s="92" t="s">
        <v>2707</v>
      </c>
      <c r="D681" s="125" t="s">
        <v>306</v>
      </c>
      <c r="E681" s="125" t="s">
        <v>322</v>
      </c>
      <c r="F681" s="125" t="s">
        <v>307</v>
      </c>
      <c r="G681" s="193" t="s">
        <v>2620</v>
      </c>
      <c r="H681" s="125" t="s">
        <v>361</v>
      </c>
      <c r="I681" s="193" t="s">
        <v>2524</v>
      </c>
      <c r="J681" s="125" t="s">
        <v>94</v>
      </c>
      <c r="K681" s="220" t="s">
        <v>1745</v>
      </c>
      <c r="L681" s="125"/>
      <c r="M681" s="96">
        <v>1000000</v>
      </c>
      <c r="N681" s="202" t="s">
        <v>247</v>
      </c>
    </row>
    <row r="682" spans="1:14">
      <c r="A682" s="123">
        <v>7</v>
      </c>
      <c r="B682" s="980"/>
      <c r="C682" s="92">
        <v>45703</v>
      </c>
      <c r="D682" s="125" t="s">
        <v>306</v>
      </c>
      <c r="E682" s="125" t="s">
        <v>322</v>
      </c>
      <c r="F682" s="125" t="s">
        <v>307</v>
      </c>
      <c r="G682" s="193" t="s">
        <v>2686</v>
      </c>
      <c r="H682" s="125" t="s">
        <v>18</v>
      </c>
      <c r="I682" s="193" t="s">
        <v>2524</v>
      </c>
      <c r="J682" s="125" t="s">
        <v>94</v>
      </c>
      <c r="K682" s="220" t="s">
        <v>1587</v>
      </c>
      <c r="L682" s="125"/>
      <c r="M682" s="96">
        <v>500000</v>
      </c>
      <c r="N682" s="202" t="s">
        <v>247</v>
      </c>
    </row>
    <row r="683" spans="1:14">
      <c r="A683" s="123">
        <v>7</v>
      </c>
      <c r="B683" s="978" t="s">
        <v>21</v>
      </c>
      <c r="C683" s="92">
        <v>45694</v>
      </c>
      <c r="D683" s="4" t="s">
        <v>21</v>
      </c>
      <c r="E683" s="4" t="s">
        <v>14</v>
      </c>
      <c r="F683" s="31" t="s">
        <v>107</v>
      </c>
      <c r="G683" s="16" t="s">
        <v>1968</v>
      </c>
      <c r="H683" s="9" t="s">
        <v>376</v>
      </c>
      <c r="I683" s="193" t="s">
        <v>2701</v>
      </c>
      <c r="J683" s="31" t="s">
        <v>2700</v>
      </c>
      <c r="K683" s="31" t="s">
        <v>41</v>
      </c>
      <c r="L683" s="125" t="s">
        <v>15</v>
      </c>
      <c r="M683" s="96">
        <v>250000</v>
      </c>
      <c r="N683" s="328" t="s">
        <v>2702</v>
      </c>
    </row>
    <row r="684" spans="1:14">
      <c r="A684" s="123">
        <v>7</v>
      </c>
      <c r="B684" s="980"/>
      <c r="C684" s="92">
        <v>45694</v>
      </c>
      <c r="D684" s="4" t="s">
        <v>21</v>
      </c>
      <c r="E684" s="4" t="s">
        <v>14</v>
      </c>
      <c r="F684" s="31" t="s">
        <v>1893</v>
      </c>
      <c r="G684" s="16" t="s">
        <v>1324</v>
      </c>
      <c r="H684" s="4" t="s">
        <v>83</v>
      </c>
      <c r="I684" s="193" t="s">
        <v>2704</v>
      </c>
      <c r="J684" s="31" t="s">
        <v>90</v>
      </c>
      <c r="K684" s="193" t="s">
        <v>60</v>
      </c>
      <c r="L684" s="125" t="s">
        <v>15</v>
      </c>
      <c r="M684" s="96">
        <v>300000</v>
      </c>
      <c r="N684" s="328" t="s">
        <v>128</v>
      </c>
    </row>
    <row r="685" spans="1:14">
      <c r="A685" s="123">
        <v>8</v>
      </c>
      <c r="B685" s="978" t="s">
        <v>2734</v>
      </c>
      <c r="C685" s="148" t="s">
        <v>2718</v>
      </c>
      <c r="D685" s="148" t="s">
        <v>306</v>
      </c>
      <c r="E685" s="148" t="s">
        <v>322</v>
      </c>
      <c r="F685" s="148" t="s">
        <v>307</v>
      </c>
      <c r="G685" s="149" t="s">
        <v>2719</v>
      </c>
      <c r="H685" s="148" t="s">
        <v>1047</v>
      </c>
      <c r="I685" s="130" t="s">
        <v>2720</v>
      </c>
      <c r="J685" s="129" t="s">
        <v>664</v>
      </c>
      <c r="K685" s="353" t="s">
        <v>2721</v>
      </c>
      <c r="L685" s="129"/>
      <c r="M685" s="483" t="s">
        <v>672</v>
      </c>
      <c r="N685" s="129" t="s">
        <v>2722</v>
      </c>
    </row>
    <row r="686" spans="1:14">
      <c r="A686" s="123">
        <v>8</v>
      </c>
      <c r="B686" s="979"/>
      <c r="C686" s="148" t="s">
        <v>2723</v>
      </c>
      <c r="D686" s="148" t="s">
        <v>306</v>
      </c>
      <c r="E686" s="148" t="s">
        <v>322</v>
      </c>
      <c r="F686" s="148" t="s">
        <v>307</v>
      </c>
      <c r="G686" s="149" t="s">
        <v>2724</v>
      </c>
      <c r="H686" s="148" t="s">
        <v>405</v>
      </c>
      <c r="I686" s="130" t="s">
        <v>2725</v>
      </c>
      <c r="J686" s="129" t="s">
        <v>664</v>
      </c>
      <c r="K686" s="353" t="s">
        <v>2721</v>
      </c>
      <c r="L686" s="129"/>
      <c r="M686" s="483" t="s">
        <v>672</v>
      </c>
      <c r="N686" s="129" t="s">
        <v>665</v>
      </c>
    </row>
    <row r="687" spans="1:14">
      <c r="A687" s="123">
        <v>8</v>
      </c>
      <c r="B687" s="979"/>
      <c r="C687" s="148" t="s">
        <v>2726</v>
      </c>
      <c r="D687" s="1003" t="s">
        <v>306</v>
      </c>
      <c r="E687" s="1003" t="s">
        <v>322</v>
      </c>
      <c r="F687" s="1003" t="s">
        <v>307</v>
      </c>
      <c r="G687" s="1008" t="s">
        <v>2719</v>
      </c>
      <c r="H687" s="1003" t="s">
        <v>1047</v>
      </c>
      <c r="I687" s="1008" t="s">
        <v>704</v>
      </c>
      <c r="J687" s="1003" t="s">
        <v>664</v>
      </c>
      <c r="K687" s="1097" t="s">
        <v>1763</v>
      </c>
      <c r="L687" s="1003"/>
      <c r="M687" s="1012" t="s">
        <v>458</v>
      </c>
      <c r="N687" s="1003" t="s">
        <v>665</v>
      </c>
    </row>
    <row r="688" spans="1:14">
      <c r="A688" s="123">
        <v>8</v>
      </c>
      <c r="B688" s="979"/>
      <c r="C688" s="148" t="s">
        <v>2727</v>
      </c>
      <c r="D688" s="1004"/>
      <c r="E688" s="1004"/>
      <c r="F688" s="1004"/>
      <c r="G688" s="1009"/>
      <c r="H688" s="1004"/>
      <c r="I688" s="1009"/>
      <c r="J688" s="1004"/>
      <c r="K688" s="1098"/>
      <c r="L688" s="1004"/>
      <c r="M688" s="1013"/>
      <c r="N688" s="1004"/>
    </row>
    <row r="689" spans="1:14">
      <c r="A689" s="123">
        <v>8</v>
      </c>
      <c r="B689" s="979"/>
      <c r="C689" s="148" t="s">
        <v>2728</v>
      </c>
      <c r="D689" s="148" t="s">
        <v>306</v>
      </c>
      <c r="E689" s="148" t="s">
        <v>322</v>
      </c>
      <c r="F689" s="148" t="s">
        <v>307</v>
      </c>
      <c r="G689" s="149" t="s">
        <v>2719</v>
      </c>
      <c r="H689" s="148" t="s">
        <v>1047</v>
      </c>
      <c r="I689" s="130" t="s">
        <v>2729</v>
      </c>
      <c r="J689" s="129" t="s">
        <v>664</v>
      </c>
      <c r="K689" s="353" t="s">
        <v>2721</v>
      </c>
      <c r="L689" s="129"/>
      <c r="M689" s="483" t="s">
        <v>672</v>
      </c>
      <c r="N689" s="129" t="s">
        <v>665</v>
      </c>
    </row>
    <row r="690" spans="1:14" ht="16.5" customHeight="1">
      <c r="A690" s="123">
        <v>8</v>
      </c>
      <c r="B690" s="979"/>
      <c r="C690" s="148" t="s">
        <v>2730</v>
      </c>
      <c r="D690" s="1003" t="s">
        <v>306</v>
      </c>
      <c r="E690" s="1003" t="s">
        <v>322</v>
      </c>
      <c r="F690" s="1003" t="s">
        <v>307</v>
      </c>
      <c r="G690" s="1008" t="s">
        <v>2731</v>
      </c>
      <c r="H690" s="1003" t="s">
        <v>640</v>
      </c>
      <c r="I690" s="1008" t="s">
        <v>668</v>
      </c>
      <c r="J690" s="1003" t="s">
        <v>349</v>
      </c>
      <c r="K690" s="1099" t="s">
        <v>2732</v>
      </c>
      <c r="L690" s="1003"/>
      <c r="M690" s="1012" t="s">
        <v>2769</v>
      </c>
      <c r="N690" s="1003" t="s">
        <v>425</v>
      </c>
    </row>
    <row r="691" spans="1:14">
      <c r="A691" s="123">
        <v>8</v>
      </c>
      <c r="B691" s="980"/>
      <c r="C691" s="148" t="s">
        <v>2723</v>
      </c>
      <c r="D691" s="1004"/>
      <c r="E691" s="1004"/>
      <c r="F691" s="1004"/>
      <c r="G691" s="1009"/>
      <c r="H691" s="1004"/>
      <c r="I691" s="1009"/>
      <c r="J691" s="1004"/>
      <c r="K691" s="1100"/>
      <c r="L691" s="1004"/>
      <c r="M691" s="1013"/>
      <c r="N691" s="1004"/>
    </row>
    <row r="692" spans="1:14">
      <c r="A692" s="123">
        <v>8</v>
      </c>
      <c r="B692" s="978" t="s">
        <v>21</v>
      </c>
      <c r="C692" s="148" t="s">
        <v>2735</v>
      </c>
      <c r="D692" s="148" t="s">
        <v>311</v>
      </c>
      <c r="E692" s="148" t="s">
        <v>320</v>
      </c>
      <c r="F692" s="149" t="s">
        <v>2601</v>
      </c>
      <c r="G692" s="149" t="s">
        <v>1415</v>
      </c>
      <c r="H692" s="149" t="s">
        <v>1416</v>
      </c>
      <c r="I692" s="130" t="s">
        <v>2736</v>
      </c>
      <c r="J692" s="130"/>
      <c r="K692" s="364" t="s">
        <v>1809</v>
      </c>
      <c r="L692" s="129" t="s">
        <v>309</v>
      </c>
      <c r="M692" s="483" t="s">
        <v>672</v>
      </c>
      <c r="N692" s="151" t="s">
        <v>2737</v>
      </c>
    </row>
    <row r="693" spans="1:14" ht="16.5" customHeight="1">
      <c r="A693" s="123">
        <v>8</v>
      </c>
      <c r="B693" s="979"/>
      <c r="C693" s="1003" t="s">
        <v>2768</v>
      </c>
      <c r="D693" s="1003" t="s">
        <v>311</v>
      </c>
      <c r="E693" s="1003" t="s">
        <v>675</v>
      </c>
      <c r="F693" s="149" t="s">
        <v>1806</v>
      </c>
      <c r="G693" s="1008" t="s">
        <v>689</v>
      </c>
      <c r="H693" s="1008" t="s">
        <v>662</v>
      </c>
      <c r="I693" s="1008" t="s">
        <v>2739</v>
      </c>
      <c r="J693" s="1008"/>
      <c r="K693" s="1008" t="s">
        <v>698</v>
      </c>
      <c r="L693" s="1003" t="s">
        <v>309</v>
      </c>
      <c r="M693" s="1012" t="s">
        <v>672</v>
      </c>
      <c r="N693" s="1003" t="s">
        <v>2740</v>
      </c>
    </row>
    <row r="694" spans="1:14">
      <c r="A694" s="123">
        <v>8</v>
      </c>
      <c r="B694" s="980"/>
      <c r="C694" s="1004"/>
      <c r="D694" s="1004"/>
      <c r="E694" s="1004"/>
      <c r="F694" s="149" t="s">
        <v>2738</v>
      </c>
      <c r="G694" s="1009"/>
      <c r="H694" s="1009"/>
      <c r="I694" s="1009"/>
      <c r="J694" s="1009"/>
      <c r="K694" s="1009"/>
      <c r="L694" s="1004"/>
      <c r="M694" s="1013"/>
      <c r="N694" s="1031"/>
    </row>
    <row r="695" spans="1:14">
      <c r="A695" s="123">
        <v>9</v>
      </c>
      <c r="B695" s="978" t="s">
        <v>2782</v>
      </c>
      <c r="C695" s="243" t="s">
        <v>2741</v>
      </c>
      <c r="D695" s="243" t="s">
        <v>306</v>
      </c>
      <c r="E695" s="243" t="s">
        <v>322</v>
      </c>
      <c r="F695" s="243" t="s">
        <v>307</v>
      </c>
      <c r="G695" s="275" t="s">
        <v>2719</v>
      </c>
      <c r="H695" s="243" t="s">
        <v>1047</v>
      </c>
      <c r="I695" s="242" t="s">
        <v>2742</v>
      </c>
      <c r="J695" s="241" t="s">
        <v>664</v>
      </c>
      <c r="K695" s="354" t="s">
        <v>2721</v>
      </c>
      <c r="L695" s="241"/>
      <c r="M695" s="488">
        <v>250000</v>
      </c>
      <c r="N695" s="241" t="s">
        <v>665</v>
      </c>
    </row>
    <row r="696" spans="1:14">
      <c r="A696" s="123">
        <v>9</v>
      </c>
      <c r="B696" s="979"/>
      <c r="C696" s="243" t="s">
        <v>2743</v>
      </c>
      <c r="D696" s="243" t="s">
        <v>306</v>
      </c>
      <c r="E696" s="243" t="s">
        <v>322</v>
      </c>
      <c r="F696" s="243" t="s">
        <v>307</v>
      </c>
      <c r="G696" s="275">
        <v>3307</v>
      </c>
      <c r="H696" s="243" t="s">
        <v>1153</v>
      </c>
      <c r="I696" s="242" t="s">
        <v>2744</v>
      </c>
      <c r="J696" s="241" t="s">
        <v>664</v>
      </c>
      <c r="K696" s="354" t="s">
        <v>2721</v>
      </c>
      <c r="L696" s="241"/>
      <c r="M696" s="488">
        <v>250000</v>
      </c>
      <c r="N696" s="241" t="s">
        <v>665</v>
      </c>
    </row>
    <row r="697" spans="1:14">
      <c r="A697" s="123">
        <v>9</v>
      </c>
      <c r="B697" s="979"/>
      <c r="C697" s="243" t="s">
        <v>2745</v>
      </c>
      <c r="D697" s="984" t="s">
        <v>306</v>
      </c>
      <c r="E697" s="984" t="s">
        <v>322</v>
      </c>
      <c r="F697" s="984" t="s">
        <v>307</v>
      </c>
      <c r="G697" s="988" t="s">
        <v>2746</v>
      </c>
      <c r="H697" s="984" t="s">
        <v>405</v>
      </c>
      <c r="I697" s="988" t="s">
        <v>2747</v>
      </c>
      <c r="J697" s="984" t="s">
        <v>664</v>
      </c>
      <c r="K697" s="1101" t="s">
        <v>1757</v>
      </c>
      <c r="L697" s="984"/>
      <c r="M697" s="990">
        <v>750000</v>
      </c>
      <c r="N697" s="984" t="s">
        <v>665</v>
      </c>
    </row>
    <row r="698" spans="1:14">
      <c r="A698" s="123">
        <v>9</v>
      </c>
      <c r="B698" s="979"/>
      <c r="C698" s="243" t="s">
        <v>2748</v>
      </c>
      <c r="D698" s="985"/>
      <c r="E698" s="985"/>
      <c r="F698" s="985"/>
      <c r="G698" s="989"/>
      <c r="H698" s="985"/>
      <c r="I698" s="989"/>
      <c r="J698" s="985"/>
      <c r="K698" s="1102"/>
      <c r="L698" s="985"/>
      <c r="M698" s="991"/>
      <c r="N698" s="985"/>
    </row>
    <row r="699" spans="1:14">
      <c r="A699" s="123">
        <v>9</v>
      </c>
      <c r="B699" s="979"/>
      <c r="C699" s="243" t="s">
        <v>2745</v>
      </c>
      <c r="D699" s="984" t="s">
        <v>306</v>
      </c>
      <c r="E699" s="984" t="s">
        <v>322</v>
      </c>
      <c r="F699" s="984" t="s">
        <v>307</v>
      </c>
      <c r="G699" s="988" t="s">
        <v>2749</v>
      </c>
      <c r="H699" s="984" t="s">
        <v>662</v>
      </c>
      <c r="I699" s="988" t="s">
        <v>668</v>
      </c>
      <c r="J699" s="984" t="s">
        <v>349</v>
      </c>
      <c r="K699" s="1103" t="s">
        <v>2732</v>
      </c>
      <c r="L699" s="984"/>
      <c r="M699" s="990">
        <v>1000000</v>
      </c>
      <c r="N699" s="984" t="s">
        <v>425</v>
      </c>
    </row>
    <row r="700" spans="1:14">
      <c r="A700" s="123">
        <v>9</v>
      </c>
      <c r="B700" s="979"/>
      <c r="C700" s="243" t="s">
        <v>2750</v>
      </c>
      <c r="D700" s="985"/>
      <c r="E700" s="985"/>
      <c r="F700" s="985"/>
      <c r="G700" s="989"/>
      <c r="H700" s="985"/>
      <c r="I700" s="989"/>
      <c r="J700" s="985"/>
      <c r="K700" s="1104"/>
      <c r="L700" s="985"/>
      <c r="M700" s="991"/>
      <c r="N700" s="985"/>
    </row>
    <row r="701" spans="1:14">
      <c r="A701" s="123">
        <v>9</v>
      </c>
      <c r="B701" s="980"/>
      <c r="C701" s="243" t="s">
        <v>2748</v>
      </c>
      <c r="D701" s="243" t="s">
        <v>306</v>
      </c>
      <c r="E701" s="243" t="s">
        <v>322</v>
      </c>
      <c r="F701" s="243" t="s">
        <v>307</v>
      </c>
      <c r="G701" s="275" t="s">
        <v>2719</v>
      </c>
      <c r="H701" s="243" t="s">
        <v>1047</v>
      </c>
      <c r="I701" s="242" t="s">
        <v>2751</v>
      </c>
      <c r="J701" s="241" t="s">
        <v>664</v>
      </c>
      <c r="K701" s="241" t="s">
        <v>692</v>
      </c>
      <c r="L701" s="241"/>
      <c r="M701" s="488">
        <v>500000</v>
      </c>
      <c r="N701" s="241" t="s">
        <v>665</v>
      </c>
    </row>
    <row r="702" spans="1:14">
      <c r="A702" s="123">
        <v>10</v>
      </c>
      <c r="B702" s="978" t="s">
        <v>2784</v>
      </c>
      <c r="C702" s="92">
        <v>45720</v>
      </c>
      <c r="D702" s="125" t="s">
        <v>306</v>
      </c>
      <c r="E702" s="125" t="s">
        <v>322</v>
      </c>
      <c r="F702" s="125" t="s">
        <v>307</v>
      </c>
      <c r="G702" s="193" t="s">
        <v>2557</v>
      </c>
      <c r="H702" s="125" t="s">
        <v>148</v>
      </c>
      <c r="I702" s="193" t="s">
        <v>2757</v>
      </c>
      <c r="J702" s="125" t="s">
        <v>168</v>
      </c>
      <c r="K702" s="4" t="s">
        <v>1833</v>
      </c>
      <c r="L702" s="125"/>
      <c r="M702" s="96">
        <v>250000</v>
      </c>
      <c r="N702" s="202" t="s">
        <v>121</v>
      </c>
    </row>
    <row r="703" spans="1:14" ht="27">
      <c r="A703" s="123">
        <v>10</v>
      </c>
      <c r="B703" s="979"/>
      <c r="C703" s="92" t="s">
        <v>2752</v>
      </c>
      <c r="D703" s="125" t="s">
        <v>306</v>
      </c>
      <c r="E703" s="125" t="s">
        <v>322</v>
      </c>
      <c r="F703" s="125" t="s">
        <v>307</v>
      </c>
      <c r="G703" s="193" t="s">
        <v>2686</v>
      </c>
      <c r="H703" s="125" t="s">
        <v>361</v>
      </c>
      <c r="I703" s="193" t="s">
        <v>2758</v>
      </c>
      <c r="J703" s="125" t="s">
        <v>168</v>
      </c>
      <c r="K703" s="4" t="s">
        <v>1869</v>
      </c>
      <c r="L703" s="125"/>
      <c r="M703" s="96">
        <v>750000</v>
      </c>
      <c r="N703" s="202" t="s">
        <v>121</v>
      </c>
    </row>
    <row r="704" spans="1:14" ht="27">
      <c r="A704" s="123">
        <v>10</v>
      </c>
      <c r="B704" s="980"/>
      <c r="C704" s="92" t="s">
        <v>2752</v>
      </c>
      <c r="D704" s="125" t="s">
        <v>306</v>
      </c>
      <c r="E704" s="125" t="s">
        <v>322</v>
      </c>
      <c r="F704" s="125" t="s">
        <v>307</v>
      </c>
      <c r="G704" s="193" t="s">
        <v>2753</v>
      </c>
      <c r="H704" s="125" t="s">
        <v>264</v>
      </c>
      <c r="I704" s="193" t="s">
        <v>2524</v>
      </c>
      <c r="J704" s="125" t="s">
        <v>94</v>
      </c>
      <c r="K704" s="159" t="s">
        <v>1571</v>
      </c>
      <c r="L704" s="125"/>
      <c r="M704" s="96">
        <v>1500000</v>
      </c>
      <c r="N704" s="202" t="s">
        <v>2754</v>
      </c>
    </row>
    <row r="705" spans="1:14" ht="27">
      <c r="A705" s="123">
        <v>10</v>
      </c>
      <c r="B705" s="55" t="s">
        <v>2785</v>
      </c>
      <c r="C705" s="92">
        <v>45720</v>
      </c>
      <c r="D705" s="4" t="s">
        <v>21</v>
      </c>
      <c r="E705" s="4" t="s">
        <v>14</v>
      </c>
      <c r="F705" s="31" t="s">
        <v>211</v>
      </c>
      <c r="G705" s="16" t="s">
        <v>2048</v>
      </c>
      <c r="H705" s="4" t="s">
        <v>18</v>
      </c>
      <c r="I705" s="193" t="s">
        <v>2755</v>
      </c>
      <c r="J705" s="193"/>
      <c r="K705" s="193" t="s">
        <v>686</v>
      </c>
      <c r="L705" s="125" t="s">
        <v>15</v>
      </c>
      <c r="M705" s="96">
        <v>250000</v>
      </c>
      <c r="N705" s="328" t="s">
        <v>2756</v>
      </c>
    </row>
    <row r="706" spans="1:14" ht="27">
      <c r="A706" s="123">
        <v>11</v>
      </c>
      <c r="B706" s="978" t="s">
        <v>2786</v>
      </c>
      <c r="C706" s="92" t="s">
        <v>2760</v>
      </c>
      <c r="D706" s="125" t="s">
        <v>306</v>
      </c>
      <c r="E706" s="125" t="s">
        <v>322</v>
      </c>
      <c r="F706" s="125" t="s">
        <v>307</v>
      </c>
      <c r="G706" s="193">
        <v>3307</v>
      </c>
      <c r="H706" s="125" t="s">
        <v>811</v>
      </c>
      <c r="I706" s="193" t="s">
        <v>2767</v>
      </c>
      <c r="J706" s="125" t="s">
        <v>168</v>
      </c>
      <c r="K706" s="4" t="s">
        <v>2762</v>
      </c>
      <c r="L706" s="125"/>
      <c r="M706" s="96">
        <v>500000</v>
      </c>
      <c r="N706" s="202" t="s">
        <v>121</v>
      </c>
    </row>
    <row r="707" spans="1:14" ht="27">
      <c r="A707" s="123">
        <v>11</v>
      </c>
      <c r="B707" s="979"/>
      <c r="C707" s="92" t="s">
        <v>2761</v>
      </c>
      <c r="D707" s="125" t="s">
        <v>306</v>
      </c>
      <c r="E707" s="125" t="s">
        <v>322</v>
      </c>
      <c r="F707" s="125" t="s">
        <v>307</v>
      </c>
      <c r="G707" s="193" t="s">
        <v>2557</v>
      </c>
      <c r="H707" s="125" t="s">
        <v>148</v>
      </c>
      <c r="I707" s="193" t="s">
        <v>2757</v>
      </c>
      <c r="J707" s="125" t="s">
        <v>168</v>
      </c>
      <c r="K707" s="4" t="s">
        <v>2762</v>
      </c>
      <c r="L707" s="125"/>
      <c r="M707" s="96">
        <v>500000</v>
      </c>
      <c r="N707" s="202" t="s">
        <v>121</v>
      </c>
    </row>
    <row r="708" spans="1:14" ht="27">
      <c r="A708" s="123">
        <v>11</v>
      </c>
      <c r="B708" s="980"/>
      <c r="C708" s="92" t="s">
        <v>2763</v>
      </c>
      <c r="D708" s="125" t="s">
        <v>306</v>
      </c>
      <c r="E708" s="125" t="s">
        <v>322</v>
      </c>
      <c r="F708" s="125" t="s">
        <v>307</v>
      </c>
      <c r="G708" s="193">
        <v>3307</v>
      </c>
      <c r="H708" s="125" t="s">
        <v>811</v>
      </c>
      <c r="I708" s="193" t="s">
        <v>2764</v>
      </c>
      <c r="J708" s="125" t="s">
        <v>94</v>
      </c>
      <c r="K708" s="159" t="s">
        <v>2809</v>
      </c>
      <c r="L708" s="125"/>
      <c r="M708" s="96">
        <v>2750000</v>
      </c>
      <c r="N708" s="202" t="s">
        <v>2754</v>
      </c>
    </row>
    <row r="709" spans="1:14" ht="27">
      <c r="A709" s="123">
        <v>11</v>
      </c>
      <c r="B709" s="55" t="s">
        <v>2810</v>
      </c>
      <c r="C709" s="92" t="s">
        <v>2765</v>
      </c>
      <c r="D709" s="4" t="s">
        <v>21</v>
      </c>
      <c r="E709" s="4" t="s">
        <v>14</v>
      </c>
      <c r="F709" s="31" t="s">
        <v>107</v>
      </c>
      <c r="G709" s="31" t="s">
        <v>1324</v>
      </c>
      <c r="H709" s="16" t="s">
        <v>83</v>
      </c>
      <c r="I709" s="193" t="s">
        <v>2715</v>
      </c>
      <c r="J709" s="31" t="s">
        <v>202</v>
      </c>
      <c r="K709" s="31" t="s">
        <v>440</v>
      </c>
      <c r="L709" s="125" t="s">
        <v>15</v>
      </c>
      <c r="M709" s="96">
        <v>1000000</v>
      </c>
      <c r="N709" s="328" t="s">
        <v>2766</v>
      </c>
    </row>
    <row r="710" spans="1:14" ht="27">
      <c r="A710" s="123">
        <v>12</v>
      </c>
      <c r="B710" s="978" t="s">
        <v>2783</v>
      </c>
      <c r="C710" s="92" t="s">
        <v>2770</v>
      </c>
      <c r="D710" s="125" t="s">
        <v>306</v>
      </c>
      <c r="E710" s="125" t="s">
        <v>322</v>
      </c>
      <c r="F710" s="125" t="s">
        <v>307</v>
      </c>
      <c r="G710" s="193" t="s">
        <v>2686</v>
      </c>
      <c r="H710" s="125" t="s">
        <v>264</v>
      </c>
      <c r="I710" s="193" t="s">
        <v>2771</v>
      </c>
      <c r="J710" s="125" t="s">
        <v>168</v>
      </c>
      <c r="K710" s="4" t="s">
        <v>2762</v>
      </c>
      <c r="L710" s="125"/>
      <c r="M710" s="96">
        <v>500000</v>
      </c>
      <c r="N710" s="202" t="s">
        <v>121</v>
      </c>
    </row>
    <row r="711" spans="1:14" ht="27">
      <c r="A711" s="123">
        <v>12</v>
      </c>
      <c r="B711" s="979"/>
      <c r="C711" s="92" t="s">
        <v>2774</v>
      </c>
      <c r="D711" s="125" t="s">
        <v>306</v>
      </c>
      <c r="E711" s="125" t="s">
        <v>322</v>
      </c>
      <c r="F711" s="125" t="s">
        <v>307</v>
      </c>
      <c r="G711" s="193" t="s">
        <v>2686</v>
      </c>
      <c r="H711" s="125" t="s">
        <v>264</v>
      </c>
      <c r="I711" s="193" t="s">
        <v>378</v>
      </c>
      <c r="J711" s="125" t="s">
        <v>168</v>
      </c>
      <c r="K711" s="4" t="s">
        <v>2773</v>
      </c>
      <c r="L711" s="125"/>
      <c r="M711" s="96">
        <v>750000</v>
      </c>
      <c r="N711" s="202" t="s">
        <v>121</v>
      </c>
    </row>
    <row r="712" spans="1:14" ht="27">
      <c r="A712" s="123">
        <v>12</v>
      </c>
      <c r="B712" s="979"/>
      <c r="C712" s="92" t="s">
        <v>2775</v>
      </c>
      <c r="D712" s="125" t="s">
        <v>306</v>
      </c>
      <c r="E712" s="125" t="s">
        <v>322</v>
      </c>
      <c r="F712" s="125" t="s">
        <v>307</v>
      </c>
      <c r="G712" s="193" t="s">
        <v>2713</v>
      </c>
      <c r="H712" s="125" t="s">
        <v>23</v>
      </c>
      <c r="I712" s="193" t="s">
        <v>2524</v>
      </c>
      <c r="J712" s="125" t="s">
        <v>94</v>
      </c>
      <c r="K712" s="159" t="s">
        <v>1571</v>
      </c>
      <c r="L712" s="125"/>
      <c r="M712" s="96">
        <v>1500000</v>
      </c>
      <c r="N712" s="202" t="s">
        <v>2754</v>
      </c>
    </row>
    <row r="713" spans="1:14" ht="27">
      <c r="A713" s="123">
        <v>12</v>
      </c>
      <c r="B713" s="980"/>
      <c r="C713" s="92" t="s">
        <v>2772</v>
      </c>
      <c r="D713" s="125" t="s">
        <v>306</v>
      </c>
      <c r="E713" s="125" t="s">
        <v>322</v>
      </c>
      <c r="F713" s="125" t="s">
        <v>307</v>
      </c>
      <c r="G713" s="193" t="s">
        <v>2686</v>
      </c>
      <c r="H713" s="125" t="s">
        <v>361</v>
      </c>
      <c r="I713" s="193" t="s">
        <v>2524</v>
      </c>
      <c r="J713" s="125" t="s">
        <v>94</v>
      </c>
      <c r="K713" s="159" t="s">
        <v>1587</v>
      </c>
      <c r="L713" s="125"/>
      <c r="M713" s="96">
        <v>500000</v>
      </c>
      <c r="N713" s="202" t="s">
        <v>2754</v>
      </c>
    </row>
    <row r="714" spans="1:14">
      <c r="A714" s="123">
        <v>13</v>
      </c>
      <c r="B714" s="978" t="s">
        <v>2826</v>
      </c>
      <c r="C714" s="92">
        <v>45740</v>
      </c>
      <c r="D714" s="125" t="s">
        <v>306</v>
      </c>
      <c r="E714" s="125" t="s">
        <v>322</v>
      </c>
      <c r="F714" s="125" t="s">
        <v>307</v>
      </c>
      <c r="G714" s="193" t="s">
        <v>2686</v>
      </c>
      <c r="H714" s="125" t="s">
        <v>264</v>
      </c>
      <c r="I714" s="193" t="s">
        <v>614</v>
      </c>
      <c r="J714" s="125" t="s">
        <v>168</v>
      </c>
      <c r="K714" s="4" t="s">
        <v>2778</v>
      </c>
      <c r="L714" s="125"/>
      <c r="M714" s="96">
        <v>250000</v>
      </c>
      <c r="N714" s="202" t="s">
        <v>121</v>
      </c>
    </row>
    <row r="715" spans="1:14" ht="27">
      <c r="A715" s="123">
        <v>13</v>
      </c>
      <c r="B715" s="980"/>
      <c r="C715" s="92" t="s">
        <v>2780</v>
      </c>
      <c r="D715" s="125" t="s">
        <v>306</v>
      </c>
      <c r="E715" s="125" t="s">
        <v>322</v>
      </c>
      <c r="F715" s="125" t="s">
        <v>307</v>
      </c>
      <c r="G715" s="193" t="s">
        <v>2557</v>
      </c>
      <c r="H715" s="125" t="s">
        <v>148</v>
      </c>
      <c r="I715" s="193" t="s">
        <v>2779</v>
      </c>
      <c r="J715" s="125" t="s">
        <v>168</v>
      </c>
      <c r="K715" s="4" t="s">
        <v>2773</v>
      </c>
      <c r="L715" s="125"/>
      <c r="M715" s="96">
        <v>750000</v>
      </c>
      <c r="N715" s="202" t="s">
        <v>121</v>
      </c>
    </row>
    <row r="716" spans="1:14" ht="27">
      <c r="A716" s="123">
        <v>13</v>
      </c>
      <c r="B716" s="978" t="s">
        <v>2827</v>
      </c>
      <c r="C716" s="92">
        <v>45734</v>
      </c>
      <c r="D716" s="4" t="s">
        <v>21</v>
      </c>
      <c r="E716" s="4" t="s">
        <v>14</v>
      </c>
      <c r="F716" s="31" t="s">
        <v>1893</v>
      </c>
      <c r="G716" s="16" t="s">
        <v>2713</v>
      </c>
      <c r="H716" s="4" t="s">
        <v>102</v>
      </c>
      <c r="I716" s="193" t="s">
        <v>2776</v>
      </c>
      <c r="J716" s="193"/>
      <c r="K716" s="125" t="s">
        <v>487</v>
      </c>
      <c r="L716" s="125" t="s">
        <v>15</v>
      </c>
      <c r="M716" s="96">
        <v>500000</v>
      </c>
      <c r="N716" s="8" t="s">
        <v>2787</v>
      </c>
    </row>
    <row r="717" spans="1:14" ht="27">
      <c r="A717" s="123">
        <v>13</v>
      </c>
      <c r="B717" s="980"/>
      <c r="C717" s="92">
        <v>45743</v>
      </c>
      <c r="D717" s="4" t="s">
        <v>21</v>
      </c>
      <c r="E717" s="4" t="s">
        <v>17</v>
      </c>
      <c r="F717" s="193" t="s">
        <v>1895</v>
      </c>
      <c r="G717" s="31">
        <v>7060</v>
      </c>
      <c r="H717" s="16" t="s">
        <v>2788</v>
      </c>
      <c r="I717" s="193" t="s">
        <v>2781</v>
      </c>
      <c r="J717" s="193"/>
      <c r="K717" s="125" t="s">
        <v>104</v>
      </c>
      <c r="L717" s="125" t="s">
        <v>15</v>
      </c>
      <c r="M717" s="96">
        <v>300000</v>
      </c>
      <c r="N717" s="8" t="s">
        <v>1876</v>
      </c>
    </row>
    <row r="718" spans="1:14" ht="27">
      <c r="A718" s="123">
        <v>14</v>
      </c>
      <c r="B718" s="978" t="s">
        <v>2865</v>
      </c>
      <c r="C718" s="92" t="s">
        <v>2799</v>
      </c>
      <c r="D718" s="125" t="s">
        <v>306</v>
      </c>
      <c r="E718" s="125" t="s">
        <v>322</v>
      </c>
      <c r="F718" s="125" t="s">
        <v>307</v>
      </c>
      <c r="G718" s="193" t="s">
        <v>2557</v>
      </c>
      <c r="H718" s="125" t="s">
        <v>148</v>
      </c>
      <c r="I718" s="193" t="s">
        <v>2793</v>
      </c>
      <c r="J718" s="125" t="s">
        <v>168</v>
      </c>
      <c r="K718" s="183" t="s">
        <v>2792</v>
      </c>
      <c r="L718" s="125"/>
      <c r="M718" s="96">
        <v>500000</v>
      </c>
      <c r="N718" s="202" t="s">
        <v>121</v>
      </c>
    </row>
    <row r="719" spans="1:14" ht="27">
      <c r="A719" s="123">
        <v>14</v>
      </c>
      <c r="B719" s="979"/>
      <c r="C719" s="92" t="s">
        <v>2796</v>
      </c>
      <c r="D719" s="125" t="s">
        <v>306</v>
      </c>
      <c r="E719" s="125" t="s">
        <v>322</v>
      </c>
      <c r="F719" s="125" t="s">
        <v>307</v>
      </c>
      <c r="G719" s="193" t="s">
        <v>2557</v>
      </c>
      <c r="H719" s="125" t="s">
        <v>148</v>
      </c>
      <c r="I719" s="193" t="s">
        <v>2794</v>
      </c>
      <c r="J719" s="125" t="s">
        <v>168</v>
      </c>
      <c r="K719" s="183" t="s">
        <v>2773</v>
      </c>
      <c r="L719" s="125"/>
      <c r="M719" s="96">
        <v>750000</v>
      </c>
      <c r="N719" s="202" t="s">
        <v>121</v>
      </c>
    </row>
    <row r="720" spans="1:14" ht="27">
      <c r="A720" s="123">
        <v>14</v>
      </c>
      <c r="B720" s="979"/>
      <c r="C720" s="92" t="s">
        <v>2799</v>
      </c>
      <c r="D720" s="125" t="s">
        <v>306</v>
      </c>
      <c r="E720" s="125" t="s">
        <v>322</v>
      </c>
      <c r="F720" s="125" t="s">
        <v>307</v>
      </c>
      <c r="G720" s="193" t="s">
        <v>2713</v>
      </c>
      <c r="H720" s="125" t="s">
        <v>23</v>
      </c>
      <c r="I720" s="193" t="s">
        <v>592</v>
      </c>
      <c r="J720" s="125" t="s">
        <v>2795</v>
      </c>
      <c r="K720" s="272" t="s">
        <v>641</v>
      </c>
      <c r="L720" s="125"/>
      <c r="M720" s="96">
        <v>500000</v>
      </c>
      <c r="N720" s="202" t="s">
        <v>2800</v>
      </c>
    </row>
    <row r="721" spans="1:14" ht="27">
      <c r="A721" s="123">
        <v>14</v>
      </c>
      <c r="B721" s="979"/>
      <c r="C721" s="92" t="s">
        <v>2796</v>
      </c>
      <c r="D721" s="125" t="s">
        <v>306</v>
      </c>
      <c r="E721" s="125" t="s">
        <v>322</v>
      </c>
      <c r="F721" s="125" t="s">
        <v>307</v>
      </c>
      <c r="G721" s="193" t="s">
        <v>2876</v>
      </c>
      <c r="H721" s="125" t="s">
        <v>264</v>
      </c>
      <c r="I721" s="193" t="s">
        <v>592</v>
      </c>
      <c r="J721" s="125" t="s">
        <v>2795</v>
      </c>
      <c r="K721" s="272" t="s">
        <v>2806</v>
      </c>
      <c r="L721" s="125"/>
      <c r="M721" s="96">
        <v>750000</v>
      </c>
      <c r="N721" s="202" t="s">
        <v>2800</v>
      </c>
    </row>
    <row r="722" spans="1:14" ht="27">
      <c r="A722" s="123">
        <v>14</v>
      </c>
      <c r="B722" s="980"/>
      <c r="C722" s="92" t="s">
        <v>2796</v>
      </c>
      <c r="D722" s="125" t="s">
        <v>306</v>
      </c>
      <c r="E722" s="125" t="s">
        <v>322</v>
      </c>
      <c r="F722" s="125" t="s">
        <v>307</v>
      </c>
      <c r="G722" s="193" t="s">
        <v>2620</v>
      </c>
      <c r="H722" s="125" t="s">
        <v>264</v>
      </c>
      <c r="I722" s="193" t="s">
        <v>2321</v>
      </c>
      <c r="J722" s="125" t="s">
        <v>2795</v>
      </c>
      <c r="K722" s="4" t="s">
        <v>2797</v>
      </c>
      <c r="L722" s="125"/>
      <c r="M722" s="96">
        <v>1500000</v>
      </c>
      <c r="N722" s="8" t="s">
        <v>425</v>
      </c>
    </row>
    <row r="723" spans="1:14" ht="27">
      <c r="A723" s="123">
        <v>14</v>
      </c>
      <c r="B723" s="978" t="s">
        <v>21</v>
      </c>
      <c r="C723" s="92">
        <v>45743</v>
      </c>
      <c r="D723" s="4" t="s">
        <v>21</v>
      </c>
      <c r="E723" s="4" t="s">
        <v>14</v>
      </c>
      <c r="F723" s="193" t="s">
        <v>211</v>
      </c>
      <c r="G723" s="31" t="s">
        <v>2048</v>
      </c>
      <c r="H723" s="16" t="s">
        <v>18</v>
      </c>
      <c r="I723" s="193" t="s">
        <v>2801</v>
      </c>
      <c r="J723" s="193"/>
      <c r="K723" s="238" t="s">
        <v>641</v>
      </c>
      <c r="L723" s="125" t="s">
        <v>15</v>
      </c>
      <c r="M723" s="96">
        <v>500000</v>
      </c>
      <c r="N723" s="8" t="s">
        <v>2798</v>
      </c>
    </row>
    <row r="724" spans="1:14" ht="27">
      <c r="A724" s="123">
        <v>14</v>
      </c>
      <c r="B724" s="979"/>
      <c r="C724" s="92">
        <v>45744</v>
      </c>
      <c r="D724" s="4" t="s">
        <v>21</v>
      </c>
      <c r="E724" s="4" t="s">
        <v>14</v>
      </c>
      <c r="F724" s="193" t="s">
        <v>211</v>
      </c>
      <c r="G724" s="31" t="s">
        <v>2048</v>
      </c>
      <c r="H724" s="16" t="s">
        <v>18</v>
      </c>
      <c r="I724" s="193" t="s">
        <v>2807</v>
      </c>
      <c r="J724" s="193"/>
      <c r="K724" s="238" t="s">
        <v>641</v>
      </c>
      <c r="L724" s="125" t="s">
        <v>15</v>
      </c>
      <c r="M724" s="96">
        <v>500000</v>
      </c>
      <c r="N724" s="8" t="s">
        <v>2804</v>
      </c>
    </row>
    <row r="725" spans="1:14" ht="40.5">
      <c r="A725" s="123">
        <v>14</v>
      </c>
      <c r="B725" s="979"/>
      <c r="C725" s="92" t="s">
        <v>2802</v>
      </c>
      <c r="D725" s="4" t="s">
        <v>21</v>
      </c>
      <c r="E725" s="4" t="s">
        <v>14</v>
      </c>
      <c r="F725" s="31" t="s">
        <v>919</v>
      </c>
      <c r="G725" s="16" t="s">
        <v>1107</v>
      </c>
      <c r="H725" s="4" t="s">
        <v>2690</v>
      </c>
      <c r="I725" s="193" t="s">
        <v>2805</v>
      </c>
      <c r="J725" s="193" t="s">
        <v>2790</v>
      </c>
      <c r="K725" s="238" t="s">
        <v>783</v>
      </c>
      <c r="L725" s="125" t="s">
        <v>15</v>
      </c>
      <c r="M725" s="96">
        <v>1500000</v>
      </c>
      <c r="N725" s="8" t="s">
        <v>2808</v>
      </c>
    </row>
    <row r="726" spans="1:14">
      <c r="A726" s="123">
        <v>14</v>
      </c>
      <c r="B726" s="980"/>
      <c r="C726" s="127">
        <v>45748</v>
      </c>
      <c r="D726" s="4" t="s">
        <v>21</v>
      </c>
      <c r="E726" s="4" t="s">
        <v>14</v>
      </c>
      <c r="F726" s="31" t="s">
        <v>107</v>
      </c>
      <c r="G726" s="31" t="s">
        <v>1971</v>
      </c>
      <c r="H726" s="16" t="s">
        <v>145</v>
      </c>
      <c r="I726" s="193" t="s">
        <v>2803</v>
      </c>
      <c r="J726" s="31" t="s">
        <v>90</v>
      </c>
      <c r="K726" s="370" t="s">
        <v>2791</v>
      </c>
      <c r="L726" s="125" t="s">
        <v>15</v>
      </c>
      <c r="M726" s="96">
        <v>800000</v>
      </c>
      <c r="N726" s="8" t="s">
        <v>807</v>
      </c>
    </row>
    <row r="727" spans="1:14" ht="27">
      <c r="A727" s="123">
        <v>15</v>
      </c>
      <c r="B727" s="978" t="s">
        <v>2866</v>
      </c>
      <c r="C727" s="92" t="s">
        <v>2818</v>
      </c>
      <c r="D727" s="125" t="s">
        <v>306</v>
      </c>
      <c r="E727" s="125" t="s">
        <v>322</v>
      </c>
      <c r="F727" s="125" t="s">
        <v>307</v>
      </c>
      <c r="G727" s="193" t="s">
        <v>2817</v>
      </c>
      <c r="H727" s="125" t="s">
        <v>23</v>
      </c>
      <c r="I727" s="193" t="s">
        <v>614</v>
      </c>
      <c r="J727" s="125" t="s">
        <v>168</v>
      </c>
      <c r="K727" s="183" t="s">
        <v>2762</v>
      </c>
      <c r="L727" s="125"/>
      <c r="M727" s="96">
        <v>500000</v>
      </c>
      <c r="N727" s="202" t="s">
        <v>121</v>
      </c>
    </row>
    <row r="728" spans="1:14" ht="27">
      <c r="A728" s="123">
        <v>15</v>
      </c>
      <c r="B728" s="979"/>
      <c r="C728" s="92" t="s">
        <v>2819</v>
      </c>
      <c r="D728" s="125" t="s">
        <v>306</v>
      </c>
      <c r="E728" s="125" t="s">
        <v>322</v>
      </c>
      <c r="F728" s="125" t="s">
        <v>307</v>
      </c>
      <c r="G728" s="193" t="s">
        <v>2557</v>
      </c>
      <c r="H728" s="125" t="s">
        <v>148</v>
      </c>
      <c r="I728" s="193" t="s">
        <v>2820</v>
      </c>
      <c r="J728" s="125" t="s">
        <v>168</v>
      </c>
      <c r="K728" s="183" t="s">
        <v>2773</v>
      </c>
      <c r="L728" s="125"/>
      <c r="M728" s="96">
        <v>750000</v>
      </c>
      <c r="N728" s="202" t="s">
        <v>121</v>
      </c>
    </row>
    <row r="729" spans="1:14" ht="27">
      <c r="A729" s="123">
        <v>15</v>
      </c>
      <c r="B729" s="979"/>
      <c r="C729" s="367" t="s">
        <v>2824</v>
      </c>
      <c r="D729" s="309" t="s">
        <v>306</v>
      </c>
      <c r="E729" s="309" t="s">
        <v>322</v>
      </c>
      <c r="F729" s="309" t="s">
        <v>307</v>
      </c>
      <c r="G729" s="310" t="s">
        <v>2557</v>
      </c>
      <c r="H729" s="309" t="s">
        <v>148</v>
      </c>
      <c r="I729" s="310" t="s">
        <v>2820</v>
      </c>
      <c r="J729" s="309" t="s">
        <v>168</v>
      </c>
      <c r="K729" s="59" t="s">
        <v>2825</v>
      </c>
      <c r="L729" s="309"/>
      <c r="M729" s="368">
        <v>2000000</v>
      </c>
      <c r="N729" s="202" t="s">
        <v>121</v>
      </c>
    </row>
    <row r="730" spans="1:14" ht="27">
      <c r="A730" s="123">
        <v>15</v>
      </c>
      <c r="B730" s="979"/>
      <c r="C730" s="92" t="s">
        <v>2877</v>
      </c>
      <c r="D730" s="125" t="s">
        <v>306</v>
      </c>
      <c r="E730" s="125" t="s">
        <v>322</v>
      </c>
      <c r="F730" s="125" t="s">
        <v>307</v>
      </c>
      <c r="G730" s="193">
        <v>593</v>
      </c>
      <c r="H730" s="125" t="s">
        <v>264</v>
      </c>
      <c r="I730" s="193" t="s">
        <v>592</v>
      </c>
      <c r="J730" s="125" t="s">
        <v>1259</v>
      </c>
      <c r="K730" s="272" t="s">
        <v>845</v>
      </c>
      <c r="L730" s="125"/>
      <c r="M730" s="96">
        <v>750000</v>
      </c>
      <c r="N730" s="202" t="s">
        <v>2823</v>
      </c>
    </row>
    <row r="731" spans="1:14" ht="27">
      <c r="A731" s="123">
        <v>15</v>
      </c>
      <c r="B731" s="979"/>
      <c r="C731" s="198">
        <v>45757</v>
      </c>
      <c r="D731" s="125" t="s">
        <v>306</v>
      </c>
      <c r="E731" s="125" t="s">
        <v>322</v>
      </c>
      <c r="F731" s="125" t="s">
        <v>307</v>
      </c>
      <c r="G731" s="193" t="s">
        <v>2686</v>
      </c>
      <c r="H731" s="125" t="s">
        <v>264</v>
      </c>
      <c r="I731" s="193" t="s">
        <v>592</v>
      </c>
      <c r="J731" s="125" t="s">
        <v>1259</v>
      </c>
      <c r="K731" s="272" t="s">
        <v>641</v>
      </c>
      <c r="L731" s="125"/>
      <c r="M731" s="96">
        <v>500000</v>
      </c>
      <c r="N731" s="202" t="s">
        <v>2823</v>
      </c>
    </row>
    <row r="732" spans="1:14">
      <c r="A732" s="123">
        <v>15</v>
      </c>
      <c r="B732" s="979" t="s">
        <v>2867</v>
      </c>
      <c r="C732" s="92">
        <v>45748</v>
      </c>
      <c r="D732" s="4" t="s">
        <v>21</v>
      </c>
      <c r="E732" s="4" t="s">
        <v>17</v>
      </c>
      <c r="F732" s="31" t="s">
        <v>1893</v>
      </c>
      <c r="G732" s="31" t="s">
        <v>362</v>
      </c>
      <c r="H732" s="16" t="s">
        <v>148</v>
      </c>
      <c r="I732" s="193" t="s">
        <v>2811</v>
      </c>
      <c r="J732" s="31"/>
      <c r="K732" s="31" t="s">
        <v>60</v>
      </c>
      <c r="L732" s="125" t="s">
        <v>15</v>
      </c>
      <c r="M732" s="96">
        <v>300000</v>
      </c>
      <c r="N732" s="78" t="s">
        <v>1793</v>
      </c>
    </row>
    <row r="733" spans="1:14" ht="27">
      <c r="A733" s="123">
        <v>15</v>
      </c>
      <c r="B733" s="979"/>
      <c r="C733" s="92">
        <v>45754</v>
      </c>
      <c r="D733" s="4" t="s">
        <v>21</v>
      </c>
      <c r="E733" s="4" t="s">
        <v>17</v>
      </c>
      <c r="F733" s="31" t="s">
        <v>1895</v>
      </c>
      <c r="G733" s="31">
        <v>7060</v>
      </c>
      <c r="H733" s="16" t="s">
        <v>37</v>
      </c>
      <c r="I733" s="193" t="s">
        <v>2812</v>
      </c>
      <c r="J733" s="31" t="s">
        <v>90</v>
      </c>
      <c r="K733" s="370" t="s">
        <v>2868</v>
      </c>
      <c r="L733" s="125" t="s">
        <v>15</v>
      </c>
      <c r="M733" s="96">
        <v>750000</v>
      </c>
      <c r="N733" s="1105" t="s">
        <v>2821</v>
      </c>
    </row>
    <row r="734" spans="1:14" ht="27">
      <c r="A734" s="123">
        <v>15</v>
      </c>
      <c r="B734" s="979"/>
      <c r="C734" s="92">
        <v>45756</v>
      </c>
      <c r="D734" s="4" t="s">
        <v>21</v>
      </c>
      <c r="E734" s="4" t="s">
        <v>17</v>
      </c>
      <c r="F734" s="31" t="s">
        <v>1895</v>
      </c>
      <c r="G734" s="31">
        <v>7060</v>
      </c>
      <c r="H734" s="16" t="s">
        <v>37</v>
      </c>
      <c r="I734" s="193" t="s">
        <v>2822</v>
      </c>
      <c r="J734" s="31" t="s">
        <v>90</v>
      </c>
      <c r="K734" s="370" t="s">
        <v>2814</v>
      </c>
      <c r="L734" s="125" t="s">
        <v>15</v>
      </c>
      <c r="M734" s="96">
        <v>750000</v>
      </c>
      <c r="N734" s="1106"/>
    </row>
    <row r="735" spans="1:14">
      <c r="A735" s="123">
        <v>15</v>
      </c>
      <c r="B735" s="979"/>
      <c r="C735" s="198">
        <v>45756</v>
      </c>
      <c r="D735" s="4" t="s">
        <v>21</v>
      </c>
      <c r="E735" s="4" t="s">
        <v>14</v>
      </c>
      <c r="F735" s="31" t="s">
        <v>107</v>
      </c>
      <c r="G735" s="16" t="s">
        <v>1971</v>
      </c>
      <c r="H735" s="4" t="s">
        <v>1952</v>
      </c>
      <c r="I735" s="365" t="s">
        <v>302</v>
      </c>
      <c r="J735" s="193" t="s">
        <v>2813</v>
      </c>
      <c r="K735" s="193" t="s">
        <v>255</v>
      </c>
      <c r="L735" s="125" t="s">
        <v>15</v>
      </c>
      <c r="M735" s="96">
        <v>300000</v>
      </c>
      <c r="N735" s="8" t="s">
        <v>128</v>
      </c>
    </row>
    <row r="736" spans="1:14">
      <c r="A736" s="123">
        <v>15</v>
      </c>
      <c r="B736" s="979"/>
      <c r="C736" s="198">
        <v>45759</v>
      </c>
      <c r="D736" s="4" t="s">
        <v>21</v>
      </c>
      <c r="E736" s="4" t="s">
        <v>14</v>
      </c>
      <c r="F736" s="31" t="s">
        <v>107</v>
      </c>
      <c r="G736" s="31" t="s">
        <v>1971</v>
      </c>
      <c r="H736" s="16" t="s">
        <v>145</v>
      </c>
      <c r="I736" s="193" t="s">
        <v>2816</v>
      </c>
      <c r="J736" s="31" t="s">
        <v>90</v>
      </c>
      <c r="K736" s="316" t="s">
        <v>133</v>
      </c>
      <c r="L736" s="125" t="s">
        <v>15</v>
      </c>
      <c r="M736" s="96">
        <v>500000</v>
      </c>
      <c r="N736" s="8" t="s">
        <v>128</v>
      </c>
    </row>
    <row r="737" spans="1:14">
      <c r="A737" s="123">
        <v>16</v>
      </c>
      <c r="B737" s="979" t="s">
        <v>307</v>
      </c>
      <c r="C737" s="92">
        <v>45761</v>
      </c>
      <c r="D737" s="125" t="s">
        <v>306</v>
      </c>
      <c r="E737" s="125" t="s">
        <v>322</v>
      </c>
      <c r="F737" s="125" t="s">
        <v>307</v>
      </c>
      <c r="G737" s="193" t="s">
        <v>2817</v>
      </c>
      <c r="H737" s="125" t="s">
        <v>1391</v>
      </c>
      <c r="I737" s="193" t="s">
        <v>1853</v>
      </c>
      <c r="J737" s="125" t="s">
        <v>168</v>
      </c>
      <c r="K737" s="183" t="s">
        <v>2778</v>
      </c>
      <c r="L737" s="125"/>
      <c r="M737" s="96">
        <v>250000</v>
      </c>
      <c r="N737" s="202" t="s">
        <v>121</v>
      </c>
    </row>
    <row r="738" spans="1:14">
      <c r="A738" s="123">
        <v>16</v>
      </c>
      <c r="B738" s="979"/>
      <c r="C738" s="92">
        <v>45762</v>
      </c>
      <c r="D738" s="125" t="s">
        <v>306</v>
      </c>
      <c r="E738" s="125" t="s">
        <v>322</v>
      </c>
      <c r="F738" s="125" t="s">
        <v>307</v>
      </c>
      <c r="G738" s="193" t="s">
        <v>2834</v>
      </c>
      <c r="H738" s="125" t="s">
        <v>23</v>
      </c>
      <c r="I738" s="193" t="s">
        <v>1853</v>
      </c>
      <c r="J738" s="125" t="s">
        <v>168</v>
      </c>
      <c r="K738" s="183" t="s">
        <v>2778</v>
      </c>
      <c r="L738" s="125"/>
      <c r="M738" s="96">
        <v>250000</v>
      </c>
      <c r="N738" s="202" t="s">
        <v>121</v>
      </c>
    </row>
    <row r="739" spans="1:14">
      <c r="A739" s="123">
        <v>16</v>
      </c>
      <c r="B739" s="979"/>
      <c r="C739" s="92">
        <v>45762</v>
      </c>
      <c r="D739" s="125" t="s">
        <v>306</v>
      </c>
      <c r="E739" s="125" t="s">
        <v>322</v>
      </c>
      <c r="F739" s="125" t="s">
        <v>307</v>
      </c>
      <c r="G739" s="193">
        <v>222003</v>
      </c>
      <c r="H739" s="125" t="s">
        <v>23</v>
      </c>
      <c r="I739" s="193" t="s">
        <v>2835</v>
      </c>
      <c r="J739" s="125" t="s">
        <v>168</v>
      </c>
      <c r="K739" s="183" t="s">
        <v>2773</v>
      </c>
      <c r="L739" s="125"/>
      <c r="M739" s="96">
        <v>750000</v>
      </c>
      <c r="N739" s="202" t="s">
        <v>121</v>
      </c>
    </row>
    <row r="740" spans="1:14" ht="27">
      <c r="A740" s="123">
        <v>16</v>
      </c>
      <c r="B740" s="979"/>
      <c r="C740" s="92" t="s">
        <v>2830</v>
      </c>
      <c r="D740" s="125" t="s">
        <v>306</v>
      </c>
      <c r="E740" s="125" t="s">
        <v>322</v>
      </c>
      <c r="F740" s="125" t="s">
        <v>307</v>
      </c>
      <c r="G740" s="193">
        <v>222003</v>
      </c>
      <c r="H740" s="125" t="s">
        <v>102</v>
      </c>
      <c r="I740" s="193" t="s">
        <v>592</v>
      </c>
      <c r="J740" s="125" t="s">
        <v>1259</v>
      </c>
      <c r="K740" s="272" t="s">
        <v>845</v>
      </c>
      <c r="L740" s="125"/>
      <c r="M740" s="96">
        <v>750000</v>
      </c>
      <c r="N740" s="202" t="s">
        <v>2836</v>
      </c>
    </row>
    <row r="741" spans="1:14" ht="27">
      <c r="A741" s="123">
        <v>16</v>
      </c>
      <c r="B741" s="979"/>
      <c r="C741" s="92" t="s">
        <v>2831</v>
      </c>
      <c r="D741" s="125" t="s">
        <v>306</v>
      </c>
      <c r="E741" s="125" t="s">
        <v>322</v>
      </c>
      <c r="F741" s="125" t="s">
        <v>307</v>
      </c>
      <c r="G741" s="193" t="s">
        <v>2817</v>
      </c>
      <c r="H741" s="125" t="s">
        <v>1391</v>
      </c>
      <c r="I741" s="193" t="s">
        <v>592</v>
      </c>
      <c r="J741" s="125" t="s">
        <v>1259</v>
      </c>
      <c r="K741" s="375" t="s">
        <v>2878</v>
      </c>
      <c r="L741" s="125"/>
      <c r="M741" s="96">
        <v>500000</v>
      </c>
      <c r="N741" s="202" t="s">
        <v>2837</v>
      </c>
    </row>
    <row r="742" spans="1:14" ht="27">
      <c r="A742" s="123">
        <v>16</v>
      </c>
      <c r="B742" s="979"/>
      <c r="C742" s="92" t="s">
        <v>2832</v>
      </c>
      <c r="D742" s="125" t="s">
        <v>306</v>
      </c>
      <c r="E742" s="125" t="s">
        <v>322</v>
      </c>
      <c r="F742" s="125" t="s">
        <v>307</v>
      </c>
      <c r="G742" s="193">
        <v>222003</v>
      </c>
      <c r="H742" s="125" t="s">
        <v>102</v>
      </c>
      <c r="I742" s="193" t="s">
        <v>2321</v>
      </c>
      <c r="J742" s="125" t="s">
        <v>1259</v>
      </c>
      <c r="K742" s="4" t="s">
        <v>1745</v>
      </c>
      <c r="L742" s="125"/>
      <c r="M742" s="96">
        <v>1000000</v>
      </c>
      <c r="N742" s="8" t="s">
        <v>425</v>
      </c>
    </row>
    <row r="743" spans="1:14" ht="27">
      <c r="A743" s="123">
        <v>16</v>
      </c>
      <c r="B743" s="979"/>
      <c r="C743" s="92" t="s">
        <v>2833</v>
      </c>
      <c r="D743" s="125" t="s">
        <v>306</v>
      </c>
      <c r="E743" s="125" t="s">
        <v>322</v>
      </c>
      <c r="F743" s="125" t="s">
        <v>307</v>
      </c>
      <c r="G743" s="193" t="s">
        <v>2817</v>
      </c>
      <c r="H743" s="125" t="s">
        <v>1391</v>
      </c>
      <c r="I743" s="193" t="s">
        <v>2321</v>
      </c>
      <c r="J743" s="125" t="s">
        <v>1259</v>
      </c>
      <c r="K743" s="4" t="s">
        <v>1745</v>
      </c>
      <c r="L743" s="125"/>
      <c r="M743" s="96">
        <v>1000000</v>
      </c>
      <c r="N743" s="8" t="s">
        <v>425</v>
      </c>
    </row>
    <row r="744" spans="1:14">
      <c r="A744" s="123">
        <v>16</v>
      </c>
      <c r="B744" s="979" t="s">
        <v>2867</v>
      </c>
      <c r="C744" s="198">
        <v>45761</v>
      </c>
      <c r="D744" s="4" t="s">
        <v>21</v>
      </c>
      <c r="E744" s="4" t="s">
        <v>14</v>
      </c>
      <c r="F744" s="31" t="s">
        <v>107</v>
      </c>
      <c r="G744" s="31" t="s">
        <v>1971</v>
      </c>
      <c r="H744" s="16" t="s">
        <v>145</v>
      </c>
      <c r="I744" s="193" t="s">
        <v>2789</v>
      </c>
      <c r="J744" s="31" t="s">
        <v>90</v>
      </c>
      <c r="K744" s="316" t="s">
        <v>641</v>
      </c>
      <c r="L744" s="125" t="s">
        <v>15</v>
      </c>
      <c r="M744" s="96">
        <v>500000</v>
      </c>
      <c r="N744" s="366" t="s">
        <v>128</v>
      </c>
    </row>
    <row r="745" spans="1:14" ht="27">
      <c r="A745" s="231">
        <v>16</v>
      </c>
      <c r="B745" s="980"/>
      <c r="C745" s="198">
        <v>45763</v>
      </c>
      <c r="D745" s="10" t="s">
        <v>21</v>
      </c>
      <c r="E745" s="10" t="s">
        <v>14</v>
      </c>
      <c r="F745" s="331" t="s">
        <v>107</v>
      </c>
      <c r="G745" s="331" t="s">
        <v>1971</v>
      </c>
      <c r="H745" s="7" t="s">
        <v>145</v>
      </c>
      <c r="I745" s="155" t="s">
        <v>213</v>
      </c>
      <c r="J745" s="155" t="s">
        <v>2829</v>
      </c>
      <c r="K745" s="155" t="s">
        <v>68</v>
      </c>
      <c r="L745" s="328" t="s">
        <v>15</v>
      </c>
      <c r="M745" s="470">
        <v>300000</v>
      </c>
      <c r="N745" s="366" t="s">
        <v>128</v>
      </c>
    </row>
    <row r="746" spans="1:14" ht="27">
      <c r="A746" s="123">
        <v>17</v>
      </c>
      <c r="B746" s="978" t="s">
        <v>2873</v>
      </c>
      <c r="C746" s="92" t="s">
        <v>2847</v>
      </c>
      <c r="D746" s="125" t="s">
        <v>306</v>
      </c>
      <c r="E746" s="125" t="s">
        <v>322</v>
      </c>
      <c r="F746" s="125" t="s">
        <v>307</v>
      </c>
      <c r="G746" s="193" t="s">
        <v>2557</v>
      </c>
      <c r="H746" s="125" t="s">
        <v>148</v>
      </c>
      <c r="I746" s="193" t="s">
        <v>2849</v>
      </c>
      <c r="J746" s="125" t="s">
        <v>168</v>
      </c>
      <c r="K746" s="183" t="s">
        <v>2773</v>
      </c>
      <c r="L746" s="125"/>
      <c r="M746" s="96">
        <v>750000</v>
      </c>
      <c r="N746" s="125" t="s">
        <v>121</v>
      </c>
    </row>
    <row r="747" spans="1:14" ht="27">
      <c r="A747" s="123">
        <v>17</v>
      </c>
      <c r="B747" s="979"/>
      <c r="C747" s="92" t="s">
        <v>2848</v>
      </c>
      <c r="D747" s="125" t="s">
        <v>306</v>
      </c>
      <c r="E747" s="125" t="s">
        <v>322</v>
      </c>
      <c r="F747" s="125" t="s">
        <v>307</v>
      </c>
      <c r="G747" s="193" t="s">
        <v>2557</v>
      </c>
      <c r="H747" s="125" t="s">
        <v>148</v>
      </c>
      <c r="I747" s="193" t="s">
        <v>2850</v>
      </c>
      <c r="J747" s="125" t="s">
        <v>168</v>
      </c>
      <c r="K747" s="183" t="s">
        <v>2762</v>
      </c>
      <c r="L747" s="125"/>
      <c r="M747" s="96">
        <v>500000</v>
      </c>
      <c r="N747" s="125" t="s">
        <v>121</v>
      </c>
    </row>
    <row r="748" spans="1:14" ht="27">
      <c r="A748" s="123">
        <v>17</v>
      </c>
      <c r="B748" s="979"/>
      <c r="C748" s="92" t="s">
        <v>2847</v>
      </c>
      <c r="D748" s="125" t="s">
        <v>306</v>
      </c>
      <c r="E748" s="125" t="s">
        <v>322</v>
      </c>
      <c r="F748" s="125" t="s">
        <v>307</v>
      </c>
      <c r="G748" s="193" t="s">
        <v>2834</v>
      </c>
      <c r="H748" s="125" t="s">
        <v>23</v>
      </c>
      <c r="I748" s="193" t="s">
        <v>592</v>
      </c>
      <c r="J748" s="125" t="s">
        <v>1259</v>
      </c>
      <c r="K748" s="272" t="s">
        <v>845</v>
      </c>
      <c r="L748" s="125"/>
      <c r="M748" s="96">
        <v>750000</v>
      </c>
      <c r="N748" s="125" t="s">
        <v>2836</v>
      </c>
    </row>
    <row r="749" spans="1:14" ht="27">
      <c r="A749" s="123">
        <v>17</v>
      </c>
      <c r="B749" s="979"/>
      <c r="C749" s="92" t="s">
        <v>2848</v>
      </c>
      <c r="D749" s="125" t="s">
        <v>306</v>
      </c>
      <c r="E749" s="125" t="s">
        <v>322</v>
      </c>
      <c r="F749" s="125" t="s">
        <v>307</v>
      </c>
      <c r="G749" s="193">
        <v>222003</v>
      </c>
      <c r="H749" s="125" t="s">
        <v>23</v>
      </c>
      <c r="I749" s="193" t="s">
        <v>592</v>
      </c>
      <c r="J749" s="125" t="s">
        <v>1259</v>
      </c>
      <c r="K749" s="272" t="s">
        <v>641</v>
      </c>
      <c r="L749" s="125"/>
      <c r="M749" s="96">
        <v>500000</v>
      </c>
      <c r="N749" s="125" t="s">
        <v>2837</v>
      </c>
    </row>
    <row r="750" spans="1:14" ht="27">
      <c r="A750" s="123">
        <v>17</v>
      </c>
      <c r="B750" s="980"/>
      <c r="C750" s="92" t="s">
        <v>2843</v>
      </c>
      <c r="D750" s="125" t="s">
        <v>306</v>
      </c>
      <c r="E750" s="125" t="s">
        <v>322</v>
      </c>
      <c r="F750" s="125" t="s">
        <v>307</v>
      </c>
      <c r="G750" s="193" t="s">
        <v>2834</v>
      </c>
      <c r="H750" s="125" t="s">
        <v>23</v>
      </c>
      <c r="I750" s="193" t="s">
        <v>2321</v>
      </c>
      <c r="J750" s="125" t="s">
        <v>1259</v>
      </c>
      <c r="K750" s="4" t="s">
        <v>1745</v>
      </c>
      <c r="L750" s="125"/>
      <c r="M750" s="96">
        <v>1000000</v>
      </c>
      <c r="N750" s="8" t="s">
        <v>425</v>
      </c>
    </row>
    <row r="751" spans="1:14" ht="27">
      <c r="A751" s="123">
        <v>17</v>
      </c>
      <c r="B751" s="978" t="s">
        <v>21</v>
      </c>
      <c r="C751" s="369">
        <v>45765</v>
      </c>
      <c r="D751" s="4" t="s">
        <v>21</v>
      </c>
      <c r="E751" s="4" t="s">
        <v>14</v>
      </c>
      <c r="F751" s="31" t="s">
        <v>2711</v>
      </c>
      <c r="G751" s="31" t="s">
        <v>2578</v>
      </c>
      <c r="H751" s="16" t="s">
        <v>23</v>
      </c>
      <c r="I751" s="193" t="s">
        <v>2851</v>
      </c>
      <c r="J751" s="31"/>
      <c r="K751" s="370" t="s">
        <v>487</v>
      </c>
      <c r="L751" s="125" t="s">
        <v>15</v>
      </c>
      <c r="M751" s="96">
        <v>500000</v>
      </c>
      <c r="N751" s="125" t="s">
        <v>128</v>
      </c>
    </row>
    <row r="752" spans="1:14" ht="27">
      <c r="A752" s="123">
        <v>17</v>
      </c>
      <c r="B752" s="979"/>
      <c r="C752" s="127">
        <v>45768</v>
      </c>
      <c r="D752" s="4" t="s">
        <v>21</v>
      </c>
      <c r="E752" s="4" t="s">
        <v>17</v>
      </c>
      <c r="F752" s="31" t="s">
        <v>78</v>
      </c>
      <c r="G752" s="31">
        <v>7060</v>
      </c>
      <c r="H752" s="16" t="s">
        <v>36</v>
      </c>
      <c r="I752" s="193" t="s">
        <v>2841</v>
      </c>
      <c r="J752" s="31" t="s">
        <v>90</v>
      </c>
      <c r="K752" s="370" t="s">
        <v>41</v>
      </c>
      <c r="L752" s="125" t="s">
        <v>15</v>
      </c>
      <c r="M752" s="96">
        <v>250000</v>
      </c>
      <c r="N752" s="8" t="s">
        <v>1793</v>
      </c>
    </row>
    <row r="753" spans="1:17" ht="27">
      <c r="A753" s="123">
        <v>17</v>
      </c>
      <c r="B753" s="979"/>
      <c r="C753" s="127" t="s">
        <v>2844</v>
      </c>
      <c r="D753" s="4" t="s">
        <v>21</v>
      </c>
      <c r="E753" s="4" t="s">
        <v>14</v>
      </c>
      <c r="F753" s="31" t="s">
        <v>2839</v>
      </c>
      <c r="G753" s="31" t="s">
        <v>1949</v>
      </c>
      <c r="H753" s="16" t="s">
        <v>2840</v>
      </c>
      <c r="I753" s="193" t="s">
        <v>2853</v>
      </c>
      <c r="J753" s="31"/>
      <c r="K753" s="31" t="s">
        <v>2845</v>
      </c>
      <c r="L753" s="125" t="s">
        <v>15</v>
      </c>
      <c r="M753" s="96">
        <v>1500000</v>
      </c>
      <c r="N753" s="8" t="s">
        <v>128</v>
      </c>
    </row>
    <row r="754" spans="1:17" ht="27">
      <c r="A754" s="123">
        <v>17</v>
      </c>
      <c r="B754" s="979"/>
      <c r="C754" s="127">
        <v>45769</v>
      </c>
      <c r="D754" s="4" t="s">
        <v>21</v>
      </c>
      <c r="E754" s="4" t="s">
        <v>14</v>
      </c>
      <c r="F754" s="31" t="s">
        <v>78</v>
      </c>
      <c r="G754" s="31">
        <v>7060</v>
      </c>
      <c r="H754" s="16" t="s">
        <v>37</v>
      </c>
      <c r="I754" s="193" t="s">
        <v>2846</v>
      </c>
      <c r="J754" s="193" t="s">
        <v>2777</v>
      </c>
      <c r="K754" s="193" t="s">
        <v>2838</v>
      </c>
      <c r="L754" s="125" t="s">
        <v>15</v>
      </c>
      <c r="M754" s="96">
        <v>500000</v>
      </c>
      <c r="N754" s="8" t="s">
        <v>2852</v>
      </c>
    </row>
    <row r="755" spans="1:17" ht="27">
      <c r="A755" s="123">
        <v>17</v>
      </c>
      <c r="B755" s="980"/>
      <c r="C755" s="127">
        <v>45770</v>
      </c>
      <c r="D755" s="4" t="s">
        <v>21</v>
      </c>
      <c r="E755" s="4" t="s">
        <v>14</v>
      </c>
      <c r="F755" s="31" t="s">
        <v>78</v>
      </c>
      <c r="G755" s="31">
        <v>7060</v>
      </c>
      <c r="H755" s="16" t="s">
        <v>71</v>
      </c>
      <c r="I755" s="193" t="s">
        <v>2842</v>
      </c>
      <c r="J755" s="193" t="s">
        <v>90</v>
      </c>
      <c r="K755" s="193" t="s">
        <v>60</v>
      </c>
      <c r="L755" s="125" t="s">
        <v>15</v>
      </c>
      <c r="M755" s="96">
        <v>300000</v>
      </c>
      <c r="N755" s="8" t="s">
        <v>1793</v>
      </c>
    </row>
    <row r="756" spans="1:17" ht="27">
      <c r="A756" s="123">
        <v>18</v>
      </c>
      <c r="B756" s="978" t="s">
        <v>2939</v>
      </c>
      <c r="C756" s="92" t="s">
        <v>2856</v>
      </c>
      <c r="D756" s="125" t="s">
        <v>306</v>
      </c>
      <c r="E756" s="125" t="s">
        <v>322</v>
      </c>
      <c r="F756" s="125" t="s">
        <v>307</v>
      </c>
      <c r="G756" s="193" t="s">
        <v>2557</v>
      </c>
      <c r="H756" s="125" t="s">
        <v>509</v>
      </c>
      <c r="I756" s="193" t="s">
        <v>2855</v>
      </c>
      <c r="J756" s="125" t="s">
        <v>168</v>
      </c>
      <c r="K756" s="183" t="s">
        <v>2859</v>
      </c>
      <c r="L756" s="125"/>
      <c r="M756" s="96">
        <v>500000</v>
      </c>
      <c r="N756" s="202" t="s">
        <v>121</v>
      </c>
    </row>
    <row r="757" spans="1:17" ht="27">
      <c r="A757" s="123">
        <v>18</v>
      </c>
      <c r="B757" s="979"/>
      <c r="C757" s="92" t="s">
        <v>2857</v>
      </c>
      <c r="D757" s="125" t="s">
        <v>306</v>
      </c>
      <c r="E757" s="125" t="s">
        <v>322</v>
      </c>
      <c r="F757" s="125" t="s">
        <v>307</v>
      </c>
      <c r="G757" s="193" t="s">
        <v>2557</v>
      </c>
      <c r="H757" s="125" t="s">
        <v>509</v>
      </c>
      <c r="I757" s="193" t="s">
        <v>2861</v>
      </c>
      <c r="J757" s="125" t="s">
        <v>168</v>
      </c>
      <c r="K757" s="332" t="s">
        <v>2859</v>
      </c>
      <c r="L757" s="125"/>
      <c r="M757" s="96">
        <v>500000</v>
      </c>
      <c r="N757" s="202" t="s">
        <v>121</v>
      </c>
    </row>
    <row r="758" spans="1:17" ht="27">
      <c r="A758" s="123">
        <v>18</v>
      </c>
      <c r="B758" s="979"/>
      <c r="C758" s="92" t="s">
        <v>2856</v>
      </c>
      <c r="D758" s="125" t="s">
        <v>306</v>
      </c>
      <c r="E758" s="125" t="s">
        <v>322</v>
      </c>
      <c r="F758" s="125" t="s">
        <v>307</v>
      </c>
      <c r="G758" s="193">
        <v>222003</v>
      </c>
      <c r="H758" s="125" t="s">
        <v>2858</v>
      </c>
      <c r="I758" s="193" t="s">
        <v>592</v>
      </c>
      <c r="J758" s="125" t="s">
        <v>1259</v>
      </c>
      <c r="K758" s="375" t="s">
        <v>2879</v>
      </c>
      <c r="L758" s="125"/>
      <c r="M758" s="96">
        <v>500000</v>
      </c>
      <c r="N758" s="202" t="s">
        <v>2836</v>
      </c>
    </row>
    <row r="759" spans="1:17" ht="27">
      <c r="A759" s="123">
        <v>18</v>
      </c>
      <c r="B759" s="980"/>
      <c r="C759" s="92" t="s">
        <v>2863</v>
      </c>
      <c r="D759" s="125" t="s">
        <v>306</v>
      </c>
      <c r="E759" s="125" t="s">
        <v>322</v>
      </c>
      <c r="F759" s="125" t="s">
        <v>307</v>
      </c>
      <c r="G759" s="193">
        <v>222003</v>
      </c>
      <c r="H759" s="125" t="s">
        <v>2858</v>
      </c>
      <c r="I759" s="193" t="s">
        <v>2860</v>
      </c>
      <c r="J759" s="125" t="s">
        <v>1259</v>
      </c>
      <c r="K759" s="4" t="s">
        <v>1946</v>
      </c>
      <c r="L759" s="125"/>
      <c r="M759" s="96">
        <v>1500000</v>
      </c>
      <c r="N759" s="8" t="s">
        <v>425</v>
      </c>
    </row>
    <row r="760" spans="1:17">
      <c r="A760" s="123">
        <v>18</v>
      </c>
      <c r="B760" s="55" t="s">
        <v>2941</v>
      </c>
      <c r="C760" s="127">
        <v>45776</v>
      </c>
      <c r="D760" s="4" t="s">
        <v>21</v>
      </c>
      <c r="E760" s="4" t="s">
        <v>14</v>
      </c>
      <c r="F760" s="31" t="s">
        <v>1895</v>
      </c>
      <c r="G760" s="31" t="s">
        <v>1968</v>
      </c>
      <c r="H760" s="16" t="s">
        <v>1895</v>
      </c>
      <c r="I760" s="193" t="s">
        <v>2864</v>
      </c>
      <c r="J760" s="193"/>
      <c r="K760" s="376" t="s">
        <v>487</v>
      </c>
      <c r="L760" s="125"/>
      <c r="M760" s="96">
        <v>500000</v>
      </c>
      <c r="N760" s="328" t="s">
        <v>1207</v>
      </c>
    </row>
    <row r="761" spans="1:17" ht="27">
      <c r="A761" s="123">
        <v>19</v>
      </c>
      <c r="B761" s="978" t="s">
        <v>20</v>
      </c>
      <c r="C761" s="92" t="s">
        <v>2872</v>
      </c>
      <c r="D761" s="125" t="s">
        <v>306</v>
      </c>
      <c r="E761" s="125" t="s">
        <v>322</v>
      </c>
      <c r="F761" s="125" t="s">
        <v>307</v>
      </c>
      <c r="G761" s="193" t="s">
        <v>2557</v>
      </c>
      <c r="H761" s="125" t="s">
        <v>148</v>
      </c>
      <c r="I761" s="193" t="s">
        <v>2861</v>
      </c>
      <c r="J761" s="125" t="s">
        <v>168</v>
      </c>
      <c r="K761" s="332" t="s">
        <v>2871</v>
      </c>
      <c r="L761" s="125"/>
      <c r="M761" s="96">
        <v>750000</v>
      </c>
      <c r="N761" s="202" t="s">
        <v>121</v>
      </c>
    </row>
    <row r="762" spans="1:17" ht="27">
      <c r="A762" s="123">
        <v>19</v>
      </c>
      <c r="B762" s="979"/>
      <c r="C762" s="92">
        <v>45779</v>
      </c>
      <c r="D762" s="125" t="s">
        <v>306</v>
      </c>
      <c r="E762" s="125" t="s">
        <v>322</v>
      </c>
      <c r="F762" s="125" t="s">
        <v>307</v>
      </c>
      <c r="G762" s="193">
        <v>593</v>
      </c>
      <c r="H762" s="125" t="s">
        <v>264</v>
      </c>
      <c r="I762" s="193" t="s">
        <v>2869</v>
      </c>
      <c r="J762" s="125" t="s">
        <v>1354</v>
      </c>
      <c r="K762" s="219" t="s">
        <v>686</v>
      </c>
      <c r="L762" s="380"/>
      <c r="M762" s="96">
        <v>250000</v>
      </c>
      <c r="N762" s="202" t="s">
        <v>2836</v>
      </c>
    </row>
    <row r="763" spans="1:17" ht="27">
      <c r="A763" s="123">
        <v>19</v>
      </c>
      <c r="B763" s="979"/>
      <c r="C763" s="92" t="s">
        <v>2870</v>
      </c>
      <c r="D763" s="125" t="s">
        <v>306</v>
      </c>
      <c r="E763" s="125" t="s">
        <v>322</v>
      </c>
      <c r="F763" s="125" t="s">
        <v>307</v>
      </c>
      <c r="G763" s="193">
        <v>222003</v>
      </c>
      <c r="H763" s="125" t="s">
        <v>23</v>
      </c>
      <c r="I763" s="193" t="s">
        <v>1105</v>
      </c>
      <c r="J763" s="125" t="s">
        <v>1354</v>
      </c>
      <c r="K763" s="219" t="s">
        <v>641</v>
      </c>
      <c r="L763" s="380"/>
      <c r="M763" s="96">
        <v>500000</v>
      </c>
      <c r="N763" s="202" t="s">
        <v>2836</v>
      </c>
    </row>
    <row r="764" spans="1:17" ht="27">
      <c r="A764" s="123">
        <v>20</v>
      </c>
      <c r="B764" s="979" t="s">
        <v>2942</v>
      </c>
      <c r="C764" s="92" t="s">
        <v>2880</v>
      </c>
      <c r="D764" s="125" t="s">
        <v>306</v>
      </c>
      <c r="E764" s="125" t="s">
        <v>322</v>
      </c>
      <c r="F764" s="125" t="s">
        <v>307</v>
      </c>
      <c r="G764" s="193" t="s">
        <v>2890</v>
      </c>
      <c r="H764" s="125" t="s">
        <v>83</v>
      </c>
      <c r="I764" s="193" t="s">
        <v>2883</v>
      </c>
      <c r="J764" s="125" t="s">
        <v>168</v>
      </c>
      <c r="K764" s="332" t="s">
        <v>2871</v>
      </c>
      <c r="L764" s="125"/>
      <c r="M764" s="96">
        <v>750000</v>
      </c>
      <c r="N764" s="202" t="s">
        <v>121</v>
      </c>
    </row>
    <row r="765" spans="1:17" ht="27">
      <c r="A765" s="123">
        <v>20</v>
      </c>
      <c r="B765" s="979"/>
      <c r="C765" s="92" t="s">
        <v>2881</v>
      </c>
      <c r="D765" s="125" t="s">
        <v>306</v>
      </c>
      <c r="E765" s="125" t="s">
        <v>322</v>
      </c>
      <c r="F765" s="125" t="s">
        <v>307</v>
      </c>
      <c r="G765" s="193" t="s">
        <v>2882</v>
      </c>
      <c r="H765" s="125" t="s">
        <v>34</v>
      </c>
      <c r="I765" s="193" t="s">
        <v>2883</v>
      </c>
      <c r="J765" s="125" t="s">
        <v>168</v>
      </c>
      <c r="K765" s="332" t="s">
        <v>2859</v>
      </c>
      <c r="L765" s="125"/>
      <c r="M765" s="96">
        <v>500000</v>
      </c>
      <c r="N765" s="202" t="s">
        <v>121</v>
      </c>
    </row>
    <row r="766" spans="1:17" ht="27">
      <c r="A766" s="123">
        <v>20</v>
      </c>
      <c r="B766" s="979"/>
      <c r="C766" s="92" t="s">
        <v>2884</v>
      </c>
      <c r="D766" s="125" t="s">
        <v>306</v>
      </c>
      <c r="E766" s="125" t="s">
        <v>322</v>
      </c>
      <c r="F766" s="125" t="s">
        <v>307</v>
      </c>
      <c r="G766" s="193">
        <v>222003</v>
      </c>
      <c r="H766" s="125" t="s">
        <v>23</v>
      </c>
      <c r="I766" s="193" t="s">
        <v>592</v>
      </c>
      <c r="J766" s="125" t="s">
        <v>1259</v>
      </c>
      <c r="K766" s="219" t="s">
        <v>133</v>
      </c>
      <c r="L766" s="380"/>
      <c r="M766" s="339">
        <v>500000</v>
      </c>
      <c r="N766" s="202" t="s">
        <v>2836</v>
      </c>
      <c r="P766">
        <v>1</v>
      </c>
      <c r="Q766" s="381"/>
    </row>
    <row r="767" spans="1:17" ht="27">
      <c r="A767" s="123">
        <v>20</v>
      </c>
      <c r="B767" s="979"/>
      <c r="C767" s="92" t="s">
        <v>2885</v>
      </c>
      <c r="D767" s="125" t="s">
        <v>306</v>
      </c>
      <c r="E767" s="125" t="s">
        <v>322</v>
      </c>
      <c r="F767" s="125" t="s">
        <v>307</v>
      </c>
      <c r="G767" s="193" t="s">
        <v>2557</v>
      </c>
      <c r="H767" s="125" t="s">
        <v>148</v>
      </c>
      <c r="I767" s="193" t="s">
        <v>2886</v>
      </c>
      <c r="J767" s="125" t="s">
        <v>1259</v>
      </c>
      <c r="K767" s="219" t="s">
        <v>204</v>
      </c>
      <c r="L767" s="380"/>
      <c r="M767" s="339">
        <v>750000</v>
      </c>
      <c r="N767" s="202" t="s">
        <v>2836</v>
      </c>
      <c r="P767">
        <v>2</v>
      </c>
    </row>
    <row r="768" spans="1:17">
      <c r="A768" s="123">
        <v>20</v>
      </c>
      <c r="B768" s="979" t="s">
        <v>2943</v>
      </c>
      <c r="C768" s="198">
        <v>45786</v>
      </c>
      <c r="D768" s="4" t="s">
        <v>21</v>
      </c>
      <c r="E768" s="4" t="s">
        <v>14</v>
      </c>
      <c r="F768" s="31" t="s">
        <v>140</v>
      </c>
      <c r="G768" s="31" t="s">
        <v>1968</v>
      </c>
      <c r="H768" s="16" t="s">
        <v>1895</v>
      </c>
      <c r="I768" s="193" t="s">
        <v>2862</v>
      </c>
      <c r="J768" s="31" t="s">
        <v>2874</v>
      </c>
      <c r="K768" s="376" t="s">
        <v>41</v>
      </c>
      <c r="L768" s="125" t="s">
        <v>15</v>
      </c>
      <c r="M768" s="96">
        <v>250000</v>
      </c>
      <c r="N768" s="328" t="s">
        <v>128</v>
      </c>
    </row>
    <row r="769" spans="1:17">
      <c r="A769" s="123">
        <v>20</v>
      </c>
      <c r="B769" s="979"/>
      <c r="C769" s="198">
        <v>45791</v>
      </c>
      <c r="D769" s="4" t="s">
        <v>21</v>
      </c>
      <c r="E769" s="4" t="s">
        <v>14</v>
      </c>
      <c r="F769" s="31" t="s">
        <v>211</v>
      </c>
      <c r="G769" s="31" t="s">
        <v>2048</v>
      </c>
      <c r="H769" s="16" t="s">
        <v>2655</v>
      </c>
      <c r="I769" s="193" t="s">
        <v>2887</v>
      </c>
      <c r="J769" s="31" t="s">
        <v>2875</v>
      </c>
      <c r="K769" s="379" t="s">
        <v>686</v>
      </c>
      <c r="L769" s="125" t="s">
        <v>15</v>
      </c>
      <c r="M769" s="96">
        <v>250000</v>
      </c>
      <c r="N769" s="328" t="s">
        <v>128</v>
      </c>
    </row>
    <row r="770" spans="1:17" ht="27">
      <c r="A770" s="231">
        <v>20</v>
      </c>
      <c r="B770" s="980"/>
      <c r="C770" s="198" t="s">
        <v>2881</v>
      </c>
      <c r="D770" s="10" t="s">
        <v>21</v>
      </c>
      <c r="E770" s="10" t="s">
        <v>14</v>
      </c>
      <c r="F770" s="331" t="s">
        <v>2839</v>
      </c>
      <c r="G770" s="331" t="s">
        <v>1949</v>
      </c>
      <c r="H770" s="7" t="s">
        <v>2840</v>
      </c>
      <c r="I770" s="155" t="s">
        <v>2888</v>
      </c>
      <c r="J770" s="331"/>
      <c r="K770" s="377" t="s">
        <v>440</v>
      </c>
      <c r="L770" s="328"/>
      <c r="M770" s="470">
        <v>1000000</v>
      </c>
      <c r="N770" s="328" t="s">
        <v>2889</v>
      </c>
    </row>
    <row r="771" spans="1:17" ht="27">
      <c r="A771" s="123">
        <v>21</v>
      </c>
      <c r="B771" s="978" t="s">
        <v>2944</v>
      </c>
      <c r="C771" s="92" t="s">
        <v>2896</v>
      </c>
      <c r="D771" s="125" t="s">
        <v>306</v>
      </c>
      <c r="E771" s="125" t="s">
        <v>322</v>
      </c>
      <c r="F771" s="125" t="s">
        <v>307</v>
      </c>
      <c r="G771" s="193" t="s">
        <v>2899</v>
      </c>
      <c r="H771" s="125" t="s">
        <v>143</v>
      </c>
      <c r="I771" s="193" t="s">
        <v>2883</v>
      </c>
      <c r="J771" s="125" t="s">
        <v>168</v>
      </c>
      <c r="K771" s="332" t="s">
        <v>2871</v>
      </c>
      <c r="L771" s="125"/>
      <c r="M771" s="96">
        <v>750000</v>
      </c>
      <c r="N771" s="125" t="s">
        <v>121</v>
      </c>
    </row>
    <row r="772" spans="1:17" ht="27">
      <c r="A772" s="123">
        <v>21</v>
      </c>
      <c r="B772" s="979"/>
      <c r="C772" s="92" t="s">
        <v>2898</v>
      </c>
      <c r="D772" s="125" t="s">
        <v>306</v>
      </c>
      <c r="E772" s="125" t="s">
        <v>322</v>
      </c>
      <c r="F772" s="125" t="s">
        <v>307</v>
      </c>
      <c r="G772" s="193">
        <v>1566</v>
      </c>
      <c r="H772" s="125" t="s">
        <v>482</v>
      </c>
      <c r="I772" s="193" t="s">
        <v>1962</v>
      </c>
      <c r="J772" s="125" t="s">
        <v>168</v>
      </c>
      <c r="K772" s="332" t="s">
        <v>2859</v>
      </c>
      <c r="L772" s="125"/>
      <c r="M772" s="96">
        <v>500000</v>
      </c>
      <c r="N772" s="125" t="s">
        <v>121</v>
      </c>
    </row>
    <row r="773" spans="1:17" ht="27">
      <c r="A773" s="123">
        <v>21</v>
      </c>
      <c r="B773" s="980"/>
      <c r="C773" s="92" t="s">
        <v>2897</v>
      </c>
      <c r="D773" s="125" t="s">
        <v>306</v>
      </c>
      <c r="E773" s="125" t="s">
        <v>322</v>
      </c>
      <c r="F773" s="125" t="s">
        <v>307</v>
      </c>
      <c r="G773" s="193" t="s">
        <v>2557</v>
      </c>
      <c r="H773" s="125" t="s">
        <v>148</v>
      </c>
      <c r="I773" s="193" t="s">
        <v>2886</v>
      </c>
      <c r="J773" s="125" t="s">
        <v>1259</v>
      </c>
      <c r="K773" s="219" t="s">
        <v>2895</v>
      </c>
      <c r="L773" s="380"/>
      <c r="M773" s="339">
        <v>1250000</v>
      </c>
      <c r="N773" s="125" t="s">
        <v>2836</v>
      </c>
      <c r="P773">
        <v>3</v>
      </c>
      <c r="Q773">
        <v>4</v>
      </c>
    </row>
    <row r="774" spans="1:17">
      <c r="A774" s="382">
        <v>21</v>
      </c>
      <c r="B774" s="978" t="s">
        <v>2941</v>
      </c>
      <c r="C774" s="127">
        <v>45791</v>
      </c>
      <c r="D774" s="4" t="s">
        <v>21</v>
      </c>
      <c r="E774" s="4" t="s">
        <v>14</v>
      </c>
      <c r="F774" s="31" t="s">
        <v>140</v>
      </c>
      <c r="G774" s="31" t="s">
        <v>1968</v>
      </c>
      <c r="H774" s="16" t="s">
        <v>1895</v>
      </c>
      <c r="I774" s="193" t="s">
        <v>2893</v>
      </c>
      <c r="J774" s="31" t="s">
        <v>90</v>
      </c>
      <c r="K774" s="376" t="s">
        <v>487</v>
      </c>
      <c r="L774" s="125" t="s">
        <v>15</v>
      </c>
      <c r="M774" s="96">
        <v>500000</v>
      </c>
      <c r="N774" s="125" t="s">
        <v>128</v>
      </c>
    </row>
    <row r="775" spans="1:17" ht="67.5">
      <c r="A775" s="382">
        <v>21</v>
      </c>
      <c r="B775" s="979"/>
      <c r="C775" s="127">
        <v>45793</v>
      </c>
      <c r="D775" s="4" t="s">
        <v>21</v>
      </c>
      <c r="E775" s="4" t="s">
        <v>14</v>
      </c>
      <c r="F775" s="31" t="s">
        <v>2839</v>
      </c>
      <c r="G775" s="31" t="s">
        <v>1949</v>
      </c>
      <c r="H775" s="16" t="s">
        <v>2840</v>
      </c>
      <c r="I775" s="193" t="s">
        <v>2894</v>
      </c>
      <c r="J775" s="31"/>
      <c r="K775" s="378" t="s">
        <v>487</v>
      </c>
      <c r="L775" s="125" t="s">
        <v>15</v>
      </c>
      <c r="M775" s="96">
        <v>500000</v>
      </c>
      <c r="N775" s="125" t="s">
        <v>2900</v>
      </c>
    </row>
    <row r="776" spans="1:17">
      <c r="A776" s="123">
        <v>21</v>
      </c>
      <c r="B776" s="980"/>
      <c r="C776" s="127">
        <v>45800</v>
      </c>
      <c r="D776" s="4" t="s">
        <v>21</v>
      </c>
      <c r="E776" s="4" t="s">
        <v>17</v>
      </c>
      <c r="F776" s="31" t="s">
        <v>78</v>
      </c>
      <c r="G776" s="31">
        <v>7060</v>
      </c>
      <c r="H776" s="16" t="s">
        <v>2854</v>
      </c>
      <c r="I776" s="193" t="s">
        <v>2892</v>
      </c>
      <c r="J776" s="31" t="s">
        <v>90</v>
      </c>
      <c r="K776" s="193" t="s">
        <v>60</v>
      </c>
      <c r="L776" s="125" t="s">
        <v>15</v>
      </c>
      <c r="M776" s="96">
        <v>300000</v>
      </c>
      <c r="N776" s="125" t="s">
        <v>128</v>
      </c>
    </row>
    <row r="777" spans="1:17" ht="27">
      <c r="A777" s="123">
        <v>22</v>
      </c>
      <c r="B777" s="978" t="s">
        <v>2940</v>
      </c>
      <c r="C777" s="92" t="s">
        <v>2903</v>
      </c>
      <c r="D777" s="125" t="s">
        <v>306</v>
      </c>
      <c r="E777" s="125" t="s">
        <v>322</v>
      </c>
      <c r="F777" s="125" t="s">
        <v>307</v>
      </c>
      <c r="G777" s="193">
        <v>1566</v>
      </c>
      <c r="H777" s="125" t="s">
        <v>482</v>
      </c>
      <c r="I777" s="193" t="s">
        <v>1962</v>
      </c>
      <c r="J777" s="125" t="s">
        <v>168</v>
      </c>
      <c r="K777" s="332" t="s">
        <v>2871</v>
      </c>
      <c r="L777" s="125"/>
      <c r="M777" s="96">
        <v>750000</v>
      </c>
      <c r="N777" s="125" t="s">
        <v>121</v>
      </c>
    </row>
    <row r="778" spans="1:17" ht="27">
      <c r="A778" s="123">
        <v>22</v>
      </c>
      <c r="B778" s="979"/>
      <c r="C778" s="92" t="s">
        <v>2904</v>
      </c>
      <c r="D778" s="125" t="s">
        <v>306</v>
      </c>
      <c r="E778" s="125" t="s">
        <v>322</v>
      </c>
      <c r="F778" s="125" t="s">
        <v>307</v>
      </c>
      <c r="G778" s="193" t="s">
        <v>2713</v>
      </c>
      <c r="H778" s="125" t="s">
        <v>23</v>
      </c>
      <c r="I778" s="193" t="s">
        <v>2905</v>
      </c>
      <c r="J778" s="125" t="s">
        <v>168</v>
      </c>
      <c r="K778" s="332" t="s">
        <v>2859</v>
      </c>
      <c r="L778" s="125"/>
      <c r="M778" s="96">
        <v>500000</v>
      </c>
      <c r="N778" s="125" t="s">
        <v>121</v>
      </c>
    </row>
    <row r="779" spans="1:17" ht="40.5">
      <c r="A779" s="123">
        <v>22</v>
      </c>
      <c r="B779" s="979"/>
      <c r="C779" s="92" t="s">
        <v>2906</v>
      </c>
      <c r="D779" s="125" t="s">
        <v>306</v>
      </c>
      <c r="E779" s="125" t="s">
        <v>322</v>
      </c>
      <c r="F779" s="125" t="s">
        <v>307</v>
      </c>
      <c r="G779" s="193" t="s">
        <v>2909</v>
      </c>
      <c r="H779" s="125" t="s">
        <v>2910</v>
      </c>
      <c r="I779" s="193" t="s">
        <v>2911</v>
      </c>
      <c r="J779" s="125" t="s">
        <v>1259</v>
      </c>
      <c r="K779" s="219" t="s">
        <v>2895</v>
      </c>
      <c r="L779" s="239"/>
      <c r="M779" s="96">
        <v>1250000</v>
      </c>
      <c r="N779" s="125" t="s">
        <v>2836</v>
      </c>
    </row>
    <row r="780" spans="1:17" ht="27">
      <c r="A780" s="123">
        <v>22</v>
      </c>
      <c r="B780" s="980"/>
      <c r="C780" s="92" t="s">
        <v>2908</v>
      </c>
      <c r="D780" s="125" t="s">
        <v>306</v>
      </c>
      <c r="E780" s="125" t="s">
        <v>322</v>
      </c>
      <c r="F780" s="125" t="s">
        <v>307</v>
      </c>
      <c r="G780" s="193" t="s">
        <v>2907</v>
      </c>
      <c r="H780" s="125" t="s">
        <v>23</v>
      </c>
      <c r="I780" s="193" t="s">
        <v>2524</v>
      </c>
      <c r="J780" s="125" t="s">
        <v>1259</v>
      </c>
      <c r="K780" s="4" t="s">
        <v>1745</v>
      </c>
      <c r="L780" s="125"/>
      <c r="M780" s="96">
        <v>1000000</v>
      </c>
      <c r="N780" s="8" t="s">
        <v>425</v>
      </c>
    </row>
    <row r="781" spans="1:17">
      <c r="A781" s="123">
        <v>22</v>
      </c>
      <c r="B781" s="55" t="s">
        <v>2945</v>
      </c>
      <c r="C781" s="127">
        <v>45806</v>
      </c>
      <c r="D781" s="4" t="s">
        <v>21</v>
      </c>
      <c r="E781" s="4" t="s">
        <v>17</v>
      </c>
      <c r="F781" s="31" t="s">
        <v>1787</v>
      </c>
      <c r="G781" s="31" t="s">
        <v>604</v>
      </c>
      <c r="H781" s="16" t="s">
        <v>263</v>
      </c>
      <c r="I781" s="193" t="s">
        <v>2902</v>
      </c>
      <c r="J781" s="31"/>
      <c r="K781" s="193" t="s">
        <v>686</v>
      </c>
      <c r="L781" s="125" t="s">
        <v>15</v>
      </c>
      <c r="M781" s="96">
        <v>250000</v>
      </c>
      <c r="N781" s="125" t="s">
        <v>2912</v>
      </c>
    </row>
    <row r="782" spans="1:17">
      <c r="A782" s="123">
        <v>23</v>
      </c>
      <c r="B782" s="978" t="s">
        <v>2938</v>
      </c>
      <c r="C782" s="92" t="s">
        <v>2920</v>
      </c>
      <c r="D782" s="125" t="s">
        <v>306</v>
      </c>
      <c r="E782" s="125" t="s">
        <v>322</v>
      </c>
      <c r="F782" s="125" t="s">
        <v>307</v>
      </c>
      <c r="G782" s="193">
        <v>1566</v>
      </c>
      <c r="H782" s="125" t="s">
        <v>482</v>
      </c>
      <c r="I782" s="193" t="s">
        <v>1962</v>
      </c>
      <c r="J782" s="125" t="s">
        <v>168</v>
      </c>
      <c r="K782" s="179" t="s">
        <v>3043</v>
      </c>
      <c r="L782" s="125"/>
      <c r="M782" s="96">
        <v>250000</v>
      </c>
      <c r="N782" s="125" t="s">
        <v>121</v>
      </c>
    </row>
    <row r="783" spans="1:17" ht="27">
      <c r="A783" s="123">
        <v>23</v>
      </c>
      <c r="B783" s="979"/>
      <c r="C783" s="92" t="s">
        <v>2919</v>
      </c>
      <c r="D783" s="125" t="s">
        <v>306</v>
      </c>
      <c r="E783" s="125" t="s">
        <v>322</v>
      </c>
      <c r="F783" s="125" t="s">
        <v>307</v>
      </c>
      <c r="G783" s="193" t="s">
        <v>2899</v>
      </c>
      <c r="H783" s="125" t="s">
        <v>143</v>
      </c>
      <c r="I783" s="193" t="s">
        <v>2922</v>
      </c>
      <c r="J783" s="125" t="s">
        <v>168</v>
      </c>
      <c r="K783" s="179" t="s">
        <v>2859</v>
      </c>
      <c r="L783" s="125"/>
      <c r="M783" s="96">
        <v>500000</v>
      </c>
      <c r="N783" s="125" t="s">
        <v>121</v>
      </c>
    </row>
    <row r="784" spans="1:17" ht="27">
      <c r="A784" s="123">
        <v>23</v>
      </c>
      <c r="B784" s="979"/>
      <c r="C784" s="92" t="s">
        <v>2924</v>
      </c>
      <c r="D784" s="125" t="s">
        <v>306</v>
      </c>
      <c r="E784" s="125" t="s">
        <v>322</v>
      </c>
      <c r="F784" s="125" t="s">
        <v>307</v>
      </c>
      <c r="G784" s="193" t="s">
        <v>2915</v>
      </c>
      <c r="H784" s="125" t="s">
        <v>2914</v>
      </c>
      <c r="I784" s="193" t="s">
        <v>2923</v>
      </c>
      <c r="J784" s="125" t="s">
        <v>1259</v>
      </c>
      <c r="K784" s="4" t="s">
        <v>204</v>
      </c>
      <c r="L784" s="239"/>
      <c r="M784" s="96">
        <v>750000</v>
      </c>
      <c r="N784" s="125" t="s">
        <v>2836</v>
      </c>
    </row>
    <row r="785" spans="1:14">
      <c r="A785" s="123">
        <v>23</v>
      </c>
      <c r="B785" s="980"/>
      <c r="C785" s="127">
        <v>45815</v>
      </c>
      <c r="D785" s="125" t="s">
        <v>306</v>
      </c>
      <c r="E785" s="125" t="s">
        <v>322</v>
      </c>
      <c r="F785" s="125" t="s">
        <v>307</v>
      </c>
      <c r="G785" s="31" t="s">
        <v>2916</v>
      </c>
      <c r="H785" s="16" t="s">
        <v>2917</v>
      </c>
      <c r="I785" s="193" t="s">
        <v>2918</v>
      </c>
      <c r="J785" s="193"/>
      <c r="K785" s="193" t="s">
        <v>440</v>
      </c>
      <c r="L785" s="125"/>
      <c r="M785" s="96">
        <v>1000000</v>
      </c>
      <c r="N785" s="125" t="s">
        <v>121</v>
      </c>
    </row>
    <row r="786" spans="1:14" ht="27">
      <c r="A786" s="123">
        <v>23</v>
      </c>
      <c r="B786" s="978" t="s">
        <v>311</v>
      </c>
      <c r="C786" s="127">
        <v>45808</v>
      </c>
      <c r="D786" s="4" t="s">
        <v>29</v>
      </c>
      <c r="E786" s="4" t="s">
        <v>17</v>
      </c>
      <c r="F786" s="193" t="s">
        <v>2891</v>
      </c>
      <c r="G786" s="31">
        <v>3011</v>
      </c>
      <c r="H786" s="16" t="s">
        <v>23</v>
      </c>
      <c r="I786" s="193" t="s">
        <v>2913</v>
      </c>
      <c r="J786" s="193" t="s">
        <v>202</v>
      </c>
      <c r="K786" s="384" t="s">
        <v>41</v>
      </c>
      <c r="L786" s="125" t="s">
        <v>15</v>
      </c>
      <c r="M786" s="96">
        <v>250000</v>
      </c>
      <c r="N786" s="125" t="s">
        <v>2925</v>
      </c>
    </row>
    <row r="787" spans="1:14" ht="40.5">
      <c r="A787" s="123">
        <v>23</v>
      </c>
      <c r="B787" s="980"/>
      <c r="C787" s="127" t="s">
        <v>2926</v>
      </c>
      <c r="D787" s="4" t="s">
        <v>21</v>
      </c>
      <c r="E787" s="4" t="s">
        <v>14</v>
      </c>
      <c r="F787" s="31" t="s">
        <v>2839</v>
      </c>
      <c r="G787" s="31" t="s">
        <v>1949</v>
      </c>
      <c r="H787" s="16" t="s">
        <v>2840</v>
      </c>
      <c r="I787" s="314" t="s">
        <v>2927</v>
      </c>
      <c r="J787" s="31" t="s">
        <v>2790</v>
      </c>
      <c r="K787" s="330" t="s">
        <v>2714</v>
      </c>
      <c r="L787" s="125" t="s">
        <v>15</v>
      </c>
      <c r="M787" s="96">
        <v>1100000</v>
      </c>
      <c r="N787" s="125" t="s">
        <v>2928</v>
      </c>
    </row>
    <row r="788" spans="1:14">
      <c r="A788" s="123">
        <v>24</v>
      </c>
      <c r="B788" s="978" t="s">
        <v>20</v>
      </c>
      <c r="C788" s="92">
        <v>45817</v>
      </c>
      <c r="D788" s="125" t="s">
        <v>306</v>
      </c>
      <c r="E788" s="125" t="s">
        <v>322</v>
      </c>
      <c r="F788" s="125" t="s">
        <v>307</v>
      </c>
      <c r="G788" s="193">
        <v>222003</v>
      </c>
      <c r="H788" s="125" t="s">
        <v>23</v>
      </c>
      <c r="I788" s="193" t="s">
        <v>2932</v>
      </c>
      <c r="J788" s="125" t="s">
        <v>168</v>
      </c>
      <c r="K788" s="179" t="s">
        <v>2921</v>
      </c>
      <c r="L788" s="125"/>
      <c r="M788" s="96">
        <v>250000</v>
      </c>
      <c r="N788" s="202" t="s">
        <v>121</v>
      </c>
    </row>
    <row r="789" spans="1:14" ht="47.25" customHeight="1">
      <c r="A789" s="123">
        <v>24</v>
      </c>
      <c r="B789" s="979"/>
      <c r="C789" s="92" t="s">
        <v>2931</v>
      </c>
      <c r="D789" s="125" t="s">
        <v>306</v>
      </c>
      <c r="E789" s="125" t="s">
        <v>322</v>
      </c>
      <c r="F789" s="125" t="s">
        <v>307</v>
      </c>
      <c r="G789" s="193" t="s">
        <v>2890</v>
      </c>
      <c r="H789" s="125" t="s">
        <v>83</v>
      </c>
      <c r="I789" s="193" t="s">
        <v>2922</v>
      </c>
      <c r="J789" s="125" t="s">
        <v>168</v>
      </c>
      <c r="K789" s="179" t="s">
        <v>2859</v>
      </c>
      <c r="L789" s="125"/>
      <c r="M789" s="96">
        <v>500000</v>
      </c>
      <c r="N789" s="202" t="s">
        <v>121</v>
      </c>
    </row>
    <row r="790" spans="1:14" ht="27">
      <c r="A790" s="123">
        <v>24</v>
      </c>
      <c r="B790" s="979"/>
      <c r="C790" s="92" t="s">
        <v>2933</v>
      </c>
      <c r="D790" s="125" t="s">
        <v>306</v>
      </c>
      <c r="E790" s="125" t="s">
        <v>322</v>
      </c>
      <c r="F790" s="125" t="s">
        <v>307</v>
      </c>
      <c r="G790" s="193">
        <v>1566</v>
      </c>
      <c r="H790" s="125" t="s">
        <v>482</v>
      </c>
      <c r="I790" s="193" t="s">
        <v>378</v>
      </c>
      <c r="J790" s="125" t="s">
        <v>168</v>
      </c>
      <c r="K790" s="179" t="s">
        <v>2859</v>
      </c>
      <c r="L790" s="125"/>
      <c r="M790" s="96">
        <v>500000</v>
      </c>
      <c r="N790" s="202" t="s">
        <v>121</v>
      </c>
    </row>
    <row r="791" spans="1:14" ht="27">
      <c r="A791" s="123">
        <v>24</v>
      </c>
      <c r="B791" s="980"/>
      <c r="C791" s="92" t="s">
        <v>2934</v>
      </c>
      <c r="D791" s="125" t="s">
        <v>306</v>
      </c>
      <c r="E791" s="125" t="s">
        <v>322</v>
      </c>
      <c r="F791" s="125" t="s">
        <v>307</v>
      </c>
      <c r="G791" s="291" t="s">
        <v>2935</v>
      </c>
      <c r="H791" s="125" t="s">
        <v>2936</v>
      </c>
      <c r="I791" s="193" t="s">
        <v>2937</v>
      </c>
      <c r="J791" s="125" t="s">
        <v>1259</v>
      </c>
      <c r="K791" s="4" t="s">
        <v>246</v>
      </c>
      <c r="L791" s="239"/>
      <c r="M791" s="96">
        <v>1000000</v>
      </c>
      <c r="N791" s="202" t="s">
        <v>2836</v>
      </c>
    </row>
    <row r="792" spans="1:14">
      <c r="A792" s="123">
        <v>24</v>
      </c>
      <c r="B792" s="978" t="s">
        <v>311</v>
      </c>
      <c r="C792" s="198">
        <v>45817</v>
      </c>
      <c r="D792" s="4" t="s">
        <v>21</v>
      </c>
      <c r="E792" s="4" t="s">
        <v>14</v>
      </c>
      <c r="F792" s="31" t="s">
        <v>1893</v>
      </c>
      <c r="G792" s="31" t="s">
        <v>2713</v>
      </c>
      <c r="H792" s="31" t="s">
        <v>23</v>
      </c>
      <c r="I792" s="193" t="s">
        <v>2929</v>
      </c>
      <c r="J792" s="31"/>
      <c r="K792" s="330" t="s">
        <v>487</v>
      </c>
      <c r="L792" s="125" t="s">
        <v>15</v>
      </c>
      <c r="M792" s="96">
        <v>500000</v>
      </c>
      <c r="N792" s="328" t="s">
        <v>978</v>
      </c>
    </row>
    <row r="793" spans="1:14" ht="27">
      <c r="A793" s="123">
        <v>24</v>
      </c>
      <c r="B793" s="980"/>
      <c r="C793" s="198">
        <v>45818</v>
      </c>
      <c r="D793" s="4" t="s">
        <v>21</v>
      </c>
      <c r="E793" s="4" t="s">
        <v>14</v>
      </c>
      <c r="F793" s="31" t="s">
        <v>107</v>
      </c>
      <c r="G793" s="31" t="s">
        <v>1968</v>
      </c>
      <c r="H793" s="16" t="s">
        <v>143</v>
      </c>
      <c r="I793" s="193" t="s">
        <v>2930</v>
      </c>
      <c r="J793" s="31" t="s">
        <v>2815</v>
      </c>
      <c r="K793" s="330" t="s">
        <v>41</v>
      </c>
      <c r="L793" s="125" t="s">
        <v>15</v>
      </c>
      <c r="M793" s="96">
        <v>250000</v>
      </c>
      <c r="N793" s="328" t="s">
        <v>1878</v>
      </c>
    </row>
    <row r="794" spans="1:14" ht="27">
      <c r="A794" s="123">
        <v>25</v>
      </c>
      <c r="B794" s="981" t="s">
        <v>307</v>
      </c>
      <c r="C794" s="92" t="s">
        <v>2949</v>
      </c>
      <c r="D794" s="125" t="s">
        <v>306</v>
      </c>
      <c r="E794" s="125" t="s">
        <v>322</v>
      </c>
      <c r="F794" s="125" t="s">
        <v>307</v>
      </c>
      <c r="G794" s="193" t="s">
        <v>2890</v>
      </c>
      <c r="H794" s="125" t="s">
        <v>83</v>
      </c>
      <c r="I794" s="193" t="s">
        <v>2956</v>
      </c>
      <c r="J794" s="125" t="s">
        <v>168</v>
      </c>
      <c r="K794" s="179" t="s">
        <v>2871</v>
      </c>
      <c r="L794" s="125"/>
      <c r="M794" s="96">
        <v>750000</v>
      </c>
      <c r="N794" s="202" t="s">
        <v>121</v>
      </c>
    </row>
    <row r="795" spans="1:14" ht="27">
      <c r="A795" s="123">
        <v>25</v>
      </c>
      <c r="B795" s="982"/>
      <c r="C795" s="92" t="s">
        <v>2950</v>
      </c>
      <c r="D795" s="125" t="s">
        <v>306</v>
      </c>
      <c r="E795" s="125" t="s">
        <v>322</v>
      </c>
      <c r="F795" s="125" t="s">
        <v>307</v>
      </c>
      <c r="G795" s="193" t="s">
        <v>2951</v>
      </c>
      <c r="H795" s="125" t="s">
        <v>34</v>
      </c>
      <c r="I795" s="193" t="s">
        <v>378</v>
      </c>
      <c r="J795" s="125" t="s">
        <v>168</v>
      </c>
      <c r="K795" s="179" t="s">
        <v>2859</v>
      </c>
      <c r="L795" s="125"/>
      <c r="M795" s="96">
        <v>500000</v>
      </c>
      <c r="N795" s="202" t="s">
        <v>121</v>
      </c>
    </row>
    <row r="796" spans="1:14" ht="27">
      <c r="A796" s="123">
        <v>25</v>
      </c>
      <c r="B796" s="983"/>
      <c r="C796" s="92" t="s">
        <v>2952</v>
      </c>
      <c r="D796" s="125" t="s">
        <v>306</v>
      </c>
      <c r="E796" s="125" t="s">
        <v>322</v>
      </c>
      <c r="F796" s="125" t="s">
        <v>307</v>
      </c>
      <c r="G796" s="193" t="s">
        <v>2557</v>
      </c>
      <c r="H796" s="125" t="s">
        <v>2948</v>
      </c>
      <c r="I796" s="193" t="s">
        <v>2947</v>
      </c>
      <c r="J796" s="125" t="s">
        <v>1259</v>
      </c>
      <c r="K796" s="4" t="s">
        <v>2953</v>
      </c>
      <c r="L796" s="239"/>
      <c r="M796" s="96">
        <v>1000000</v>
      </c>
      <c r="N796" s="202" t="s">
        <v>2836</v>
      </c>
    </row>
    <row r="797" spans="1:14" ht="40.5">
      <c r="A797" s="123">
        <v>25</v>
      </c>
      <c r="B797" s="55" t="s">
        <v>311</v>
      </c>
      <c r="C797" s="198">
        <v>45826</v>
      </c>
      <c r="D797" s="4" t="s">
        <v>21</v>
      </c>
      <c r="E797" s="4" t="s">
        <v>14</v>
      </c>
      <c r="F797" s="31" t="s">
        <v>140</v>
      </c>
      <c r="G797" s="31" t="s">
        <v>1968</v>
      </c>
      <c r="H797" s="16" t="s">
        <v>143</v>
      </c>
      <c r="I797" s="193" t="s">
        <v>2955</v>
      </c>
      <c r="J797" s="31" t="s">
        <v>90</v>
      </c>
      <c r="K797" s="31" t="s">
        <v>686</v>
      </c>
      <c r="L797" s="125" t="s">
        <v>15</v>
      </c>
      <c r="M797" s="96">
        <v>250000</v>
      </c>
      <c r="N797" s="328" t="s">
        <v>2954</v>
      </c>
    </row>
    <row r="798" spans="1:14">
      <c r="A798" s="123">
        <v>26</v>
      </c>
      <c r="B798" s="978" t="s">
        <v>3038</v>
      </c>
      <c r="C798" s="92">
        <v>45828</v>
      </c>
      <c r="D798" s="125" t="s">
        <v>306</v>
      </c>
      <c r="E798" s="125" t="s">
        <v>322</v>
      </c>
      <c r="F798" s="125" t="s">
        <v>307</v>
      </c>
      <c r="G798" s="193" t="s">
        <v>2916</v>
      </c>
      <c r="H798" s="125" t="s">
        <v>2965</v>
      </c>
      <c r="I798" s="193" t="s">
        <v>2966</v>
      </c>
      <c r="J798" s="125" t="s">
        <v>168</v>
      </c>
      <c r="K798" s="31" t="s">
        <v>686</v>
      </c>
      <c r="L798" s="125"/>
      <c r="M798" s="96">
        <v>250000</v>
      </c>
      <c r="N798" s="202" t="s">
        <v>121</v>
      </c>
    </row>
    <row r="799" spans="1:14" ht="27">
      <c r="A799" s="123">
        <v>26</v>
      </c>
      <c r="B799" s="979"/>
      <c r="C799" s="92" t="s">
        <v>2960</v>
      </c>
      <c r="D799" s="125" t="s">
        <v>306</v>
      </c>
      <c r="E799" s="125" t="s">
        <v>322</v>
      </c>
      <c r="F799" s="125" t="s">
        <v>307</v>
      </c>
      <c r="G799" s="193" t="s">
        <v>2959</v>
      </c>
      <c r="H799" s="125" t="s">
        <v>1895</v>
      </c>
      <c r="I799" s="193" t="s">
        <v>378</v>
      </c>
      <c r="J799" s="125" t="s">
        <v>168</v>
      </c>
      <c r="K799" s="4" t="s">
        <v>2871</v>
      </c>
      <c r="L799" s="125"/>
      <c r="M799" s="96">
        <v>750000</v>
      </c>
      <c r="N799" s="202" t="s">
        <v>121</v>
      </c>
    </row>
    <row r="800" spans="1:14" ht="27">
      <c r="A800" s="123">
        <v>26</v>
      </c>
      <c r="B800" s="979"/>
      <c r="C800" s="92" t="s">
        <v>2961</v>
      </c>
      <c r="D800" s="125" t="s">
        <v>306</v>
      </c>
      <c r="E800" s="125" t="s">
        <v>322</v>
      </c>
      <c r="F800" s="125" t="s">
        <v>307</v>
      </c>
      <c r="G800" s="193">
        <v>1566</v>
      </c>
      <c r="H800" s="125" t="s">
        <v>482</v>
      </c>
      <c r="I800" s="193" t="s">
        <v>2962</v>
      </c>
      <c r="J800" s="125" t="s">
        <v>168</v>
      </c>
      <c r="K800" s="4" t="s">
        <v>2859</v>
      </c>
      <c r="L800" s="125"/>
      <c r="M800" s="96">
        <v>500000</v>
      </c>
      <c r="N800" s="202" t="s">
        <v>121</v>
      </c>
    </row>
    <row r="801" spans="1:14" ht="27">
      <c r="A801" s="123">
        <v>26</v>
      </c>
      <c r="B801" s="979"/>
      <c r="C801" s="92" t="s">
        <v>2964</v>
      </c>
      <c r="D801" s="125" t="s">
        <v>306</v>
      </c>
      <c r="E801" s="125" t="s">
        <v>322</v>
      </c>
      <c r="F801" s="125" t="s">
        <v>307</v>
      </c>
      <c r="G801" s="193" t="s">
        <v>2916</v>
      </c>
      <c r="H801" s="125" t="s">
        <v>2965</v>
      </c>
      <c r="I801" s="193" t="s">
        <v>2967</v>
      </c>
      <c r="J801" s="125" t="s">
        <v>168</v>
      </c>
      <c r="K801" s="4" t="s">
        <v>204</v>
      </c>
      <c r="L801" s="125"/>
      <c r="M801" s="96">
        <v>750000</v>
      </c>
      <c r="N801" s="202" t="s">
        <v>121</v>
      </c>
    </row>
    <row r="802" spans="1:14" ht="27">
      <c r="A802" s="123">
        <v>26</v>
      </c>
      <c r="B802" s="980"/>
      <c r="C802" s="92" t="s">
        <v>2972</v>
      </c>
      <c r="D802" s="125" t="s">
        <v>306</v>
      </c>
      <c r="E802" s="125" t="s">
        <v>322</v>
      </c>
      <c r="F802" s="125" t="s">
        <v>2971</v>
      </c>
      <c r="G802" s="193" t="s">
        <v>2890</v>
      </c>
      <c r="H802" s="125" t="s">
        <v>2963</v>
      </c>
      <c r="I802" s="193" t="s">
        <v>2973</v>
      </c>
      <c r="J802" s="125" t="s">
        <v>1259</v>
      </c>
      <c r="K802" s="4" t="s">
        <v>204</v>
      </c>
      <c r="L802" s="125"/>
      <c r="M802" s="96">
        <v>750000</v>
      </c>
      <c r="N802" s="202" t="s">
        <v>2836</v>
      </c>
    </row>
    <row r="803" spans="1:14" ht="27">
      <c r="A803" s="123">
        <v>26</v>
      </c>
      <c r="B803" s="978" t="s">
        <v>3039</v>
      </c>
      <c r="C803" s="369">
        <v>45831</v>
      </c>
      <c r="D803" s="4" t="s">
        <v>21</v>
      </c>
      <c r="E803" s="4" t="s">
        <v>14</v>
      </c>
      <c r="F803" s="31" t="s">
        <v>107</v>
      </c>
      <c r="G803" s="31" t="s">
        <v>1968</v>
      </c>
      <c r="H803" s="16" t="s">
        <v>1895</v>
      </c>
      <c r="I803" s="193" t="s">
        <v>2957</v>
      </c>
      <c r="J803" s="31" t="s">
        <v>90</v>
      </c>
      <c r="K803" s="31" t="s">
        <v>686</v>
      </c>
      <c r="L803" s="125" t="s">
        <v>15</v>
      </c>
      <c r="M803" s="96">
        <v>250000</v>
      </c>
      <c r="N803" s="328" t="s">
        <v>128</v>
      </c>
    </row>
    <row r="804" spans="1:14">
      <c r="A804" s="123">
        <v>26</v>
      </c>
      <c r="B804" s="979"/>
      <c r="C804" s="369">
        <v>45832</v>
      </c>
      <c r="D804" s="4" t="s">
        <v>21</v>
      </c>
      <c r="E804" s="4" t="s">
        <v>14</v>
      </c>
      <c r="F804" s="31" t="s">
        <v>1787</v>
      </c>
      <c r="G804" s="31" t="s">
        <v>2135</v>
      </c>
      <c r="H804" s="16" t="s">
        <v>1391</v>
      </c>
      <c r="I804" s="193" t="s">
        <v>1385</v>
      </c>
      <c r="J804" s="31" t="s">
        <v>90</v>
      </c>
      <c r="K804" s="31" t="s">
        <v>410</v>
      </c>
      <c r="L804" s="125" t="s">
        <v>15</v>
      </c>
      <c r="M804" s="96" t="s">
        <v>2970</v>
      </c>
      <c r="N804" s="328" t="s">
        <v>2969</v>
      </c>
    </row>
    <row r="805" spans="1:14">
      <c r="A805" s="123">
        <v>26</v>
      </c>
      <c r="B805" s="979"/>
      <c r="C805" s="369">
        <v>45834</v>
      </c>
      <c r="D805" s="9" t="s">
        <v>21</v>
      </c>
      <c r="E805" s="9" t="s">
        <v>14</v>
      </c>
      <c r="F805" s="31" t="s">
        <v>107</v>
      </c>
      <c r="G805" s="31" t="s">
        <v>1968</v>
      </c>
      <c r="H805" s="16" t="s">
        <v>143</v>
      </c>
      <c r="I805" s="193" t="s">
        <v>2958</v>
      </c>
      <c r="J805" s="31" t="s">
        <v>90</v>
      </c>
      <c r="K805" s="31" t="s">
        <v>686</v>
      </c>
      <c r="L805" s="125" t="s">
        <v>15</v>
      </c>
      <c r="M805" s="96">
        <v>250000</v>
      </c>
      <c r="N805" s="328" t="s">
        <v>2968</v>
      </c>
    </row>
    <row r="806" spans="1:14">
      <c r="A806" s="123">
        <v>26</v>
      </c>
      <c r="B806" s="980"/>
      <c r="C806" s="369">
        <v>45835</v>
      </c>
      <c r="D806" s="9" t="s">
        <v>21</v>
      </c>
      <c r="E806" s="9" t="s">
        <v>14</v>
      </c>
      <c r="F806" s="31" t="s">
        <v>107</v>
      </c>
      <c r="G806" s="31" t="s">
        <v>1968</v>
      </c>
      <c r="H806" s="16" t="s">
        <v>143</v>
      </c>
      <c r="I806" s="193" t="s">
        <v>1385</v>
      </c>
      <c r="J806" s="31" t="s">
        <v>90</v>
      </c>
      <c r="K806" s="31" t="s">
        <v>686</v>
      </c>
      <c r="L806" s="125" t="s">
        <v>15</v>
      </c>
      <c r="M806" s="96" t="s">
        <v>2970</v>
      </c>
      <c r="N806" s="328" t="s">
        <v>128</v>
      </c>
    </row>
    <row r="807" spans="1:14" ht="45">
      <c r="A807" s="123">
        <v>27</v>
      </c>
      <c r="B807" s="978" t="s">
        <v>3038</v>
      </c>
      <c r="C807" s="256" t="s">
        <v>2995</v>
      </c>
      <c r="D807" s="125" t="s">
        <v>306</v>
      </c>
      <c r="E807" s="125" t="s">
        <v>322</v>
      </c>
      <c r="F807" s="125" t="s">
        <v>307</v>
      </c>
      <c r="G807" s="193" t="s">
        <v>2978</v>
      </c>
      <c r="H807" s="125" t="s">
        <v>1391</v>
      </c>
      <c r="I807" s="193" t="s">
        <v>2981</v>
      </c>
      <c r="J807" s="125" t="s">
        <v>168</v>
      </c>
      <c r="K807" s="179" t="s">
        <v>2980</v>
      </c>
      <c r="L807" s="125"/>
      <c r="M807" s="96">
        <v>1000000</v>
      </c>
      <c r="N807" s="125" t="s">
        <v>121</v>
      </c>
    </row>
    <row r="808" spans="1:14">
      <c r="A808" s="123">
        <v>27</v>
      </c>
      <c r="B808" s="979"/>
      <c r="C808" s="92">
        <v>45840</v>
      </c>
      <c r="D808" s="125" t="s">
        <v>306</v>
      </c>
      <c r="E808" s="125" t="s">
        <v>322</v>
      </c>
      <c r="F808" s="125" t="s">
        <v>307</v>
      </c>
      <c r="G808" s="193" t="s">
        <v>2890</v>
      </c>
      <c r="H808" s="125" t="s">
        <v>83</v>
      </c>
      <c r="I808" s="193" t="s">
        <v>2979</v>
      </c>
      <c r="J808" s="125" t="s">
        <v>168</v>
      </c>
      <c r="K808" s="4" t="s">
        <v>2921</v>
      </c>
      <c r="L808" s="125"/>
      <c r="M808" s="96">
        <v>250000</v>
      </c>
      <c r="N808" s="125" t="s">
        <v>121</v>
      </c>
    </row>
    <row r="809" spans="1:14" ht="27">
      <c r="A809" s="123">
        <v>27</v>
      </c>
      <c r="B809" s="980"/>
      <c r="C809" s="92" t="s">
        <v>2988</v>
      </c>
      <c r="D809" s="125" t="s">
        <v>306</v>
      </c>
      <c r="E809" s="125" t="s">
        <v>322</v>
      </c>
      <c r="F809" s="125" t="s">
        <v>3003</v>
      </c>
      <c r="G809" s="193" t="s">
        <v>2982</v>
      </c>
      <c r="H809" s="125" t="s">
        <v>2983</v>
      </c>
      <c r="I809" s="193" t="s">
        <v>3002</v>
      </c>
      <c r="J809" s="125" t="s">
        <v>1259</v>
      </c>
      <c r="K809" s="4" t="s">
        <v>135</v>
      </c>
      <c r="L809" s="125"/>
      <c r="M809" s="96">
        <v>1000000</v>
      </c>
      <c r="N809" s="125" t="s">
        <v>2836</v>
      </c>
    </row>
    <row r="810" spans="1:14" ht="27">
      <c r="A810" s="123">
        <v>27</v>
      </c>
      <c r="B810" s="978" t="s">
        <v>3041</v>
      </c>
      <c r="C810" s="127">
        <v>45832</v>
      </c>
      <c r="D810" s="4" t="s">
        <v>21</v>
      </c>
      <c r="E810" s="4" t="s">
        <v>14</v>
      </c>
      <c r="F810" s="31" t="s">
        <v>107</v>
      </c>
      <c r="G810" s="31" t="s">
        <v>1968</v>
      </c>
      <c r="H810" s="16" t="s">
        <v>1895</v>
      </c>
      <c r="I810" s="193" t="s">
        <v>2997</v>
      </c>
      <c r="J810" s="31"/>
      <c r="K810" s="330" t="s">
        <v>487</v>
      </c>
      <c r="L810" s="125" t="s">
        <v>15</v>
      </c>
      <c r="M810" s="96">
        <v>500000</v>
      </c>
      <c r="N810" s="125" t="s">
        <v>2999</v>
      </c>
    </row>
    <row r="811" spans="1:14" ht="27">
      <c r="A811" s="123">
        <v>27</v>
      </c>
      <c r="B811" s="979"/>
      <c r="C811" s="127">
        <v>45833</v>
      </c>
      <c r="D811" s="4" t="s">
        <v>21</v>
      </c>
      <c r="E811" s="4" t="s">
        <v>14</v>
      </c>
      <c r="F811" s="31" t="s">
        <v>107</v>
      </c>
      <c r="G811" s="31" t="s">
        <v>1968</v>
      </c>
      <c r="H811" s="16" t="s">
        <v>1895</v>
      </c>
      <c r="I811" s="193" t="s">
        <v>2998</v>
      </c>
      <c r="J811" s="31"/>
      <c r="K811" s="330" t="s">
        <v>487</v>
      </c>
      <c r="L811" s="125" t="s">
        <v>15</v>
      </c>
      <c r="M811" s="96">
        <v>500000</v>
      </c>
      <c r="N811" s="125" t="s">
        <v>2999</v>
      </c>
    </row>
    <row r="812" spans="1:14" ht="27">
      <c r="A812" s="123">
        <v>27</v>
      </c>
      <c r="B812" s="979"/>
      <c r="C812" s="127">
        <v>45835</v>
      </c>
      <c r="D812" s="9" t="s">
        <v>21</v>
      </c>
      <c r="E812" s="9" t="s">
        <v>14</v>
      </c>
      <c r="F812" s="31" t="s">
        <v>107</v>
      </c>
      <c r="G812" s="31" t="s">
        <v>1968</v>
      </c>
      <c r="H812" s="16" t="s">
        <v>143</v>
      </c>
      <c r="I812" s="193" t="s">
        <v>2993</v>
      </c>
      <c r="J812" s="31" t="s">
        <v>90</v>
      </c>
      <c r="K812" s="31" t="s">
        <v>2901</v>
      </c>
      <c r="L812" s="125" t="s">
        <v>15</v>
      </c>
      <c r="M812" s="96">
        <v>550000</v>
      </c>
      <c r="N812" s="125" t="s">
        <v>2996</v>
      </c>
    </row>
    <row r="813" spans="1:14">
      <c r="A813" s="123">
        <v>27</v>
      </c>
      <c r="B813" s="980"/>
      <c r="C813" s="127">
        <v>45835</v>
      </c>
      <c r="D813" s="4" t="s">
        <v>21</v>
      </c>
      <c r="E813" s="4" t="s">
        <v>17</v>
      </c>
      <c r="F813" s="31" t="s">
        <v>2977</v>
      </c>
      <c r="G813" s="31" t="s">
        <v>362</v>
      </c>
      <c r="H813" s="16" t="s">
        <v>148</v>
      </c>
      <c r="I813" s="193" t="s">
        <v>2991</v>
      </c>
      <c r="J813" s="31"/>
      <c r="K813" s="31" t="s">
        <v>595</v>
      </c>
      <c r="L813" s="125" t="s">
        <v>15</v>
      </c>
      <c r="M813" s="96">
        <v>600000</v>
      </c>
      <c r="N813" s="125" t="s">
        <v>128</v>
      </c>
    </row>
    <row r="814" spans="1:14">
      <c r="A814" s="123">
        <v>27</v>
      </c>
      <c r="B814" s="978" t="s">
        <v>3040</v>
      </c>
      <c r="C814" s="92">
        <v>45836</v>
      </c>
      <c r="D814" s="125" t="s">
        <v>306</v>
      </c>
      <c r="E814" s="125" t="s">
        <v>322</v>
      </c>
      <c r="F814" s="125" t="s">
        <v>2971</v>
      </c>
      <c r="G814" s="193" t="s">
        <v>2890</v>
      </c>
      <c r="H814" s="125" t="s">
        <v>83</v>
      </c>
      <c r="I814" s="193" t="s">
        <v>3001</v>
      </c>
      <c r="J814" s="125" t="s">
        <v>1259</v>
      </c>
      <c r="K814" s="4" t="s">
        <v>641</v>
      </c>
      <c r="L814" s="125"/>
      <c r="M814" s="96">
        <v>500000</v>
      </c>
      <c r="N814" s="125" t="s">
        <v>2994</v>
      </c>
    </row>
    <row r="815" spans="1:14">
      <c r="A815" s="123">
        <v>27</v>
      </c>
      <c r="B815" s="979"/>
      <c r="C815" s="92">
        <v>45836</v>
      </c>
      <c r="D815" s="125" t="s">
        <v>306</v>
      </c>
      <c r="E815" s="125" t="s">
        <v>322</v>
      </c>
      <c r="F815" s="125" t="s">
        <v>2971</v>
      </c>
      <c r="G815" s="193" t="s">
        <v>2984</v>
      </c>
      <c r="H815" s="125" t="s">
        <v>2985</v>
      </c>
      <c r="I815" s="193" t="s">
        <v>2986</v>
      </c>
      <c r="J815" s="125" t="s">
        <v>168</v>
      </c>
      <c r="K815" s="4" t="s">
        <v>2987</v>
      </c>
      <c r="L815" s="125"/>
      <c r="M815" s="96">
        <v>500000</v>
      </c>
      <c r="N815" s="125" t="s">
        <v>2992</v>
      </c>
    </row>
    <row r="816" spans="1:14">
      <c r="A816" s="123">
        <v>27</v>
      </c>
      <c r="B816" s="979" t="s">
        <v>3042</v>
      </c>
      <c r="C816" s="127">
        <v>45833</v>
      </c>
      <c r="D816" s="4" t="s">
        <v>21</v>
      </c>
      <c r="E816" s="4" t="s">
        <v>14</v>
      </c>
      <c r="F816" s="31" t="s">
        <v>1893</v>
      </c>
      <c r="G816" s="31" t="s">
        <v>2759</v>
      </c>
      <c r="H816" s="16" t="s">
        <v>1382</v>
      </c>
      <c r="I816" s="193" t="s">
        <v>2974</v>
      </c>
      <c r="J816" s="31" t="s">
        <v>202</v>
      </c>
      <c r="K816" s="31" t="s">
        <v>686</v>
      </c>
      <c r="L816" s="125" t="s">
        <v>15</v>
      </c>
      <c r="M816" s="96">
        <v>250000</v>
      </c>
      <c r="N816" s="125" t="s">
        <v>3000</v>
      </c>
    </row>
    <row r="817" spans="1:14">
      <c r="A817" s="123">
        <v>27</v>
      </c>
      <c r="B817" s="979"/>
      <c r="C817" s="127">
        <v>45834</v>
      </c>
      <c r="D817" s="4" t="s">
        <v>21</v>
      </c>
      <c r="E817" s="4" t="s">
        <v>14</v>
      </c>
      <c r="F817" s="31" t="s">
        <v>1787</v>
      </c>
      <c r="G817" s="31" t="s">
        <v>2135</v>
      </c>
      <c r="H817" s="16" t="s">
        <v>1391</v>
      </c>
      <c r="I817" s="193" t="s">
        <v>2990</v>
      </c>
      <c r="J817" s="31"/>
      <c r="K817" s="330" t="s">
        <v>256</v>
      </c>
      <c r="L817" s="125" t="s">
        <v>15</v>
      </c>
      <c r="M817" s="96">
        <v>550000</v>
      </c>
      <c r="N817" s="125" t="s">
        <v>2999</v>
      </c>
    </row>
    <row r="818" spans="1:14">
      <c r="A818" s="123">
        <v>27</v>
      </c>
      <c r="B818" s="979"/>
      <c r="C818" s="127">
        <v>45835</v>
      </c>
      <c r="D818" s="4" t="s">
        <v>21</v>
      </c>
      <c r="E818" s="4" t="s">
        <v>14</v>
      </c>
      <c r="F818" s="31" t="s">
        <v>1787</v>
      </c>
      <c r="G818" s="31" t="s">
        <v>2135</v>
      </c>
      <c r="H818" s="16" t="s">
        <v>1391</v>
      </c>
      <c r="I818" s="193" t="s">
        <v>2989</v>
      </c>
      <c r="J818" s="31"/>
      <c r="K818" s="330" t="s">
        <v>487</v>
      </c>
      <c r="L818" s="125" t="s">
        <v>15</v>
      </c>
      <c r="M818" s="96">
        <v>500000</v>
      </c>
      <c r="N818" s="125" t="s">
        <v>128</v>
      </c>
    </row>
    <row r="819" spans="1:14">
      <c r="A819" s="123">
        <v>27</v>
      </c>
      <c r="B819" s="980"/>
      <c r="C819" s="127">
        <v>45840</v>
      </c>
      <c r="D819" s="4" t="s">
        <v>21</v>
      </c>
      <c r="E819" s="4" t="s">
        <v>14</v>
      </c>
      <c r="F819" s="31" t="s">
        <v>1787</v>
      </c>
      <c r="G819" s="31" t="s">
        <v>2135</v>
      </c>
      <c r="H819" s="16" t="s">
        <v>1391</v>
      </c>
      <c r="I819" s="193" t="s">
        <v>2946</v>
      </c>
      <c r="J819" s="31" t="s">
        <v>90</v>
      </c>
      <c r="K819" s="31" t="s">
        <v>2828</v>
      </c>
      <c r="L819" s="125" t="s">
        <v>15</v>
      </c>
      <c r="M819" s="96">
        <v>250000</v>
      </c>
      <c r="N819" s="125" t="s">
        <v>128</v>
      </c>
    </row>
    <row r="820" spans="1:14" ht="27">
      <c r="A820" s="387">
        <v>28</v>
      </c>
      <c r="B820" s="978" t="s">
        <v>20</v>
      </c>
      <c r="C820" s="92" t="s">
        <v>3024</v>
      </c>
      <c r="D820" s="125" t="s">
        <v>306</v>
      </c>
      <c r="E820" s="125" t="s">
        <v>322</v>
      </c>
      <c r="F820" s="125" t="s">
        <v>307</v>
      </c>
      <c r="G820" s="193" t="s">
        <v>2916</v>
      </c>
      <c r="H820" s="125" t="s">
        <v>2917</v>
      </c>
      <c r="I820" s="193" t="s">
        <v>3023</v>
      </c>
      <c r="J820" s="125" t="s">
        <v>168</v>
      </c>
      <c r="K820" s="4" t="s">
        <v>2838</v>
      </c>
      <c r="L820" s="125"/>
      <c r="M820" s="96">
        <v>500000</v>
      </c>
      <c r="N820" s="125" t="s">
        <v>3025</v>
      </c>
    </row>
    <row r="821" spans="1:14">
      <c r="A821" s="123">
        <v>28</v>
      </c>
      <c r="B821" s="979"/>
      <c r="C821" s="92">
        <v>45843</v>
      </c>
      <c r="D821" s="125" t="s">
        <v>306</v>
      </c>
      <c r="E821" s="125" t="s">
        <v>322</v>
      </c>
      <c r="F821" s="125" t="s">
        <v>307</v>
      </c>
      <c r="G821" s="193" t="s">
        <v>2890</v>
      </c>
      <c r="H821" s="125" t="s">
        <v>83</v>
      </c>
      <c r="I821" s="193" t="s">
        <v>3011</v>
      </c>
      <c r="J821" s="125" t="s">
        <v>1259</v>
      </c>
      <c r="K821" s="4" t="s">
        <v>3010</v>
      </c>
      <c r="L821" s="125"/>
      <c r="M821" s="96">
        <v>250000</v>
      </c>
      <c r="N821" s="125" t="s">
        <v>3012</v>
      </c>
    </row>
    <row r="822" spans="1:14">
      <c r="A822" s="123">
        <v>28</v>
      </c>
      <c r="B822" s="979"/>
      <c r="C822" s="92">
        <v>45845</v>
      </c>
      <c r="D822" s="125" t="s">
        <v>306</v>
      </c>
      <c r="E822" s="125" t="s">
        <v>322</v>
      </c>
      <c r="F822" s="125" t="s">
        <v>307</v>
      </c>
      <c r="G822" s="193" t="s">
        <v>2916</v>
      </c>
      <c r="H822" s="125" t="s">
        <v>2917</v>
      </c>
      <c r="I822" s="193" t="s">
        <v>3044</v>
      </c>
      <c r="J822" s="125" t="s">
        <v>168</v>
      </c>
      <c r="K822" s="4" t="s">
        <v>3010</v>
      </c>
      <c r="L822" s="125"/>
      <c r="M822" s="96">
        <v>250000</v>
      </c>
      <c r="N822" s="125" t="s">
        <v>3026</v>
      </c>
    </row>
    <row r="823" spans="1:14" ht="27">
      <c r="A823" s="123">
        <v>28</v>
      </c>
      <c r="B823" s="979"/>
      <c r="C823" s="92">
        <v>45846</v>
      </c>
      <c r="D823" s="125" t="s">
        <v>306</v>
      </c>
      <c r="E823" s="125" t="s">
        <v>322</v>
      </c>
      <c r="F823" s="125" t="s">
        <v>307</v>
      </c>
      <c r="G823" s="193" t="s">
        <v>2890</v>
      </c>
      <c r="H823" s="125" t="s">
        <v>3021</v>
      </c>
      <c r="I823" s="193" t="s">
        <v>3022</v>
      </c>
      <c r="J823" s="125" t="s">
        <v>168</v>
      </c>
      <c r="K823" s="4" t="s">
        <v>3010</v>
      </c>
      <c r="L823" s="125"/>
      <c r="M823" s="96">
        <v>250000</v>
      </c>
      <c r="N823" s="125" t="s">
        <v>3033</v>
      </c>
    </row>
    <row r="824" spans="1:14" ht="22.5">
      <c r="A824" s="123">
        <v>28</v>
      </c>
      <c r="B824" s="979"/>
      <c r="C824" s="256" t="s">
        <v>3017</v>
      </c>
      <c r="D824" s="125" t="s">
        <v>306</v>
      </c>
      <c r="E824" s="125" t="s">
        <v>322</v>
      </c>
      <c r="F824" s="125" t="s">
        <v>307</v>
      </c>
      <c r="G824" s="193" t="s">
        <v>2978</v>
      </c>
      <c r="H824" s="125" t="s">
        <v>1391</v>
      </c>
      <c r="I824" s="193" t="s">
        <v>3016</v>
      </c>
      <c r="J824" s="125" t="s">
        <v>168</v>
      </c>
      <c r="K824" s="4" t="s">
        <v>2859</v>
      </c>
      <c r="L824" s="125"/>
      <c r="M824" s="96">
        <v>500000</v>
      </c>
      <c r="N824" s="125" t="s">
        <v>3015</v>
      </c>
    </row>
    <row r="825" spans="1:14">
      <c r="A825" s="123">
        <v>28</v>
      </c>
      <c r="B825" s="979"/>
      <c r="C825" s="256" t="s">
        <v>3030</v>
      </c>
      <c r="D825" s="125" t="s">
        <v>306</v>
      </c>
      <c r="E825" s="125" t="s">
        <v>322</v>
      </c>
      <c r="F825" s="125" t="s">
        <v>307</v>
      </c>
      <c r="G825" s="193">
        <v>1566</v>
      </c>
      <c r="H825" s="125" t="s">
        <v>482</v>
      </c>
      <c r="I825" s="193" t="s">
        <v>3018</v>
      </c>
      <c r="J825" s="125" t="s">
        <v>168</v>
      </c>
      <c r="K825" s="4" t="s">
        <v>2921</v>
      </c>
      <c r="L825" s="125"/>
      <c r="M825" s="96">
        <v>250000</v>
      </c>
      <c r="N825" s="125" t="s">
        <v>121</v>
      </c>
    </row>
    <row r="826" spans="1:14" ht="40.5">
      <c r="A826" s="123">
        <v>28</v>
      </c>
      <c r="B826" s="979"/>
      <c r="C826" s="256" t="s">
        <v>3031</v>
      </c>
      <c r="D826" s="125" t="s">
        <v>306</v>
      </c>
      <c r="E826" s="125" t="s">
        <v>322</v>
      </c>
      <c r="F826" s="125" t="s">
        <v>307</v>
      </c>
      <c r="G826" s="193" t="s">
        <v>3019</v>
      </c>
      <c r="H826" s="125" t="s">
        <v>264</v>
      </c>
      <c r="I826" s="193" t="s">
        <v>3020</v>
      </c>
      <c r="J826" s="125" t="s">
        <v>168</v>
      </c>
      <c r="K826" s="4" t="s">
        <v>3032</v>
      </c>
      <c r="L826" s="125"/>
      <c r="M826" s="385">
        <v>1000000</v>
      </c>
      <c r="N826" s="125" t="s">
        <v>3049</v>
      </c>
    </row>
    <row r="827" spans="1:14" ht="27">
      <c r="A827" s="123">
        <v>28</v>
      </c>
      <c r="B827" s="979"/>
      <c r="C827" s="92" t="s">
        <v>3013</v>
      </c>
      <c r="D827" s="125" t="s">
        <v>306</v>
      </c>
      <c r="E827" s="125" t="s">
        <v>322</v>
      </c>
      <c r="F827" s="125" t="s">
        <v>3014</v>
      </c>
      <c r="G827" s="193" t="s">
        <v>3027</v>
      </c>
      <c r="H827" s="125" t="s">
        <v>3028</v>
      </c>
      <c r="I827" s="193" t="s">
        <v>3029</v>
      </c>
      <c r="J827" s="125" t="s">
        <v>1259</v>
      </c>
      <c r="K827" s="4" t="s">
        <v>191</v>
      </c>
      <c r="L827" s="125"/>
      <c r="M827" s="96">
        <v>1500000</v>
      </c>
      <c r="N827" s="125" t="s">
        <v>2836</v>
      </c>
    </row>
    <row r="828" spans="1:14">
      <c r="A828" s="123">
        <v>28</v>
      </c>
      <c r="B828" s="980"/>
      <c r="C828" s="92">
        <v>45849</v>
      </c>
      <c r="D828" s="125" t="s">
        <v>306</v>
      </c>
      <c r="E828" s="125" t="s">
        <v>322</v>
      </c>
      <c r="F828" s="125" t="s">
        <v>1068</v>
      </c>
      <c r="G828" s="193" t="s">
        <v>2890</v>
      </c>
      <c r="H828" s="125" t="s">
        <v>83</v>
      </c>
      <c r="I828" s="193" t="s">
        <v>3046</v>
      </c>
      <c r="J828" s="125" t="s">
        <v>1074</v>
      </c>
      <c r="K828" s="4" t="s">
        <v>3045</v>
      </c>
      <c r="L828" s="125"/>
      <c r="M828" s="385">
        <v>250000</v>
      </c>
      <c r="N828" s="125" t="s">
        <v>3047</v>
      </c>
    </row>
    <row r="829" spans="1:14">
      <c r="A829" s="123">
        <v>28</v>
      </c>
      <c r="B829" s="978" t="s">
        <v>21</v>
      </c>
      <c r="C829" s="127">
        <v>45845</v>
      </c>
      <c r="D829" s="4" t="s">
        <v>21</v>
      </c>
      <c r="E829" s="4" t="s">
        <v>14</v>
      </c>
      <c r="F829" s="31" t="s">
        <v>1787</v>
      </c>
      <c r="G829" s="31" t="s">
        <v>2135</v>
      </c>
      <c r="H829" s="16" t="s">
        <v>205</v>
      </c>
      <c r="I829" s="193" t="s">
        <v>3037</v>
      </c>
      <c r="J829" s="31"/>
      <c r="K829" s="31" t="s">
        <v>41</v>
      </c>
      <c r="L829" s="125" t="s">
        <v>15</v>
      </c>
      <c r="M829" s="385">
        <v>250000</v>
      </c>
      <c r="N829" s="125" t="s">
        <v>3048</v>
      </c>
    </row>
    <row r="830" spans="1:14" ht="27">
      <c r="A830" s="123">
        <v>28</v>
      </c>
      <c r="B830" s="979"/>
      <c r="C830" s="127" t="s">
        <v>3034</v>
      </c>
      <c r="D830" s="4" t="s">
        <v>21</v>
      </c>
      <c r="E830" s="4" t="s">
        <v>14</v>
      </c>
      <c r="F830" s="31" t="s">
        <v>2130</v>
      </c>
      <c r="G830" s="31" t="s">
        <v>3008</v>
      </c>
      <c r="H830" s="16" t="s">
        <v>1382</v>
      </c>
      <c r="I830" s="193" t="s">
        <v>3009</v>
      </c>
      <c r="J830" s="31" t="s">
        <v>202</v>
      </c>
      <c r="K830" s="31" t="s">
        <v>3035</v>
      </c>
      <c r="L830" s="125" t="s">
        <v>15</v>
      </c>
      <c r="M830" s="385">
        <v>1500000</v>
      </c>
      <c r="N830" s="125" t="s">
        <v>3048</v>
      </c>
    </row>
    <row r="831" spans="1:14">
      <c r="A831" s="123">
        <v>28</v>
      </c>
      <c r="B831" s="979"/>
      <c r="C831" s="127">
        <v>45846</v>
      </c>
      <c r="D831" s="9" t="s">
        <v>21</v>
      </c>
      <c r="E831" s="9" t="s">
        <v>2976</v>
      </c>
      <c r="F831" s="31" t="s">
        <v>1384</v>
      </c>
      <c r="G831" s="31" t="s">
        <v>1026</v>
      </c>
      <c r="H831" s="31" t="s">
        <v>23</v>
      </c>
      <c r="I831" s="193" t="s">
        <v>2975</v>
      </c>
      <c r="J831" s="31" t="s">
        <v>90</v>
      </c>
      <c r="K831" s="31" t="s">
        <v>821</v>
      </c>
      <c r="L831" s="125" t="s">
        <v>15</v>
      </c>
      <c r="M831" s="96">
        <v>250000</v>
      </c>
      <c r="N831" s="125" t="s">
        <v>1793</v>
      </c>
    </row>
    <row r="832" spans="1:14">
      <c r="A832" s="123">
        <v>28</v>
      </c>
      <c r="B832" s="979"/>
      <c r="C832" s="127">
        <v>45846</v>
      </c>
      <c r="D832" s="4" t="s">
        <v>21</v>
      </c>
      <c r="E832" s="4" t="s">
        <v>14</v>
      </c>
      <c r="F832" s="31" t="s">
        <v>1787</v>
      </c>
      <c r="G832" s="31" t="s">
        <v>2135</v>
      </c>
      <c r="H832" s="16" t="s">
        <v>205</v>
      </c>
      <c r="I832" s="193" t="s">
        <v>3036</v>
      </c>
      <c r="J832" s="31"/>
      <c r="K832" s="31" t="s">
        <v>3005</v>
      </c>
      <c r="L832" s="125" t="s">
        <v>15</v>
      </c>
      <c r="M832" s="385">
        <v>550000</v>
      </c>
      <c r="N832" s="125" t="s">
        <v>3048</v>
      </c>
    </row>
    <row r="833" spans="1:14">
      <c r="A833" s="123">
        <v>28</v>
      </c>
      <c r="B833" s="979"/>
      <c r="C833" s="127">
        <v>45848</v>
      </c>
      <c r="D833" s="4" t="s">
        <v>21</v>
      </c>
      <c r="E833" s="4" t="s">
        <v>14</v>
      </c>
      <c r="F833" s="31" t="s">
        <v>107</v>
      </c>
      <c r="G833" s="31" t="s">
        <v>1968</v>
      </c>
      <c r="H833" s="16" t="s">
        <v>3006</v>
      </c>
      <c r="I833" s="193" t="s">
        <v>3007</v>
      </c>
      <c r="J833" s="31" t="s">
        <v>90</v>
      </c>
      <c r="K833" s="31" t="s">
        <v>821</v>
      </c>
      <c r="L833" s="125" t="s">
        <v>15</v>
      </c>
      <c r="M833" s="96">
        <v>250000</v>
      </c>
      <c r="N833" s="125" t="s">
        <v>1651</v>
      </c>
    </row>
    <row r="834" spans="1:14">
      <c r="A834" s="123">
        <v>28</v>
      </c>
      <c r="B834" s="980"/>
      <c r="C834" s="127">
        <v>45849</v>
      </c>
      <c r="D834" s="4" t="s">
        <v>21</v>
      </c>
      <c r="E834" s="4" t="s">
        <v>14</v>
      </c>
      <c r="F834" s="31" t="s">
        <v>107</v>
      </c>
      <c r="G834" s="31" t="s">
        <v>1968</v>
      </c>
      <c r="H834" s="16" t="s">
        <v>1969</v>
      </c>
      <c r="I834" s="193" t="s">
        <v>303</v>
      </c>
      <c r="J834" s="31" t="s">
        <v>90</v>
      </c>
      <c r="K834" s="31" t="s">
        <v>821</v>
      </c>
      <c r="L834" s="125" t="s">
        <v>15</v>
      </c>
      <c r="M834" s="96">
        <v>250000</v>
      </c>
      <c r="N834" s="125" t="s">
        <v>128</v>
      </c>
    </row>
    <row r="835" spans="1:14">
      <c r="A835" s="123">
        <v>29</v>
      </c>
      <c r="B835" s="978" t="s">
        <v>3097</v>
      </c>
      <c r="C835" s="148" t="s">
        <v>3079</v>
      </c>
      <c r="D835" s="1003" t="s">
        <v>306</v>
      </c>
      <c r="E835" s="1003" t="s">
        <v>322</v>
      </c>
      <c r="F835" s="1003" t="s">
        <v>307</v>
      </c>
      <c r="G835" s="1008" t="s">
        <v>3051</v>
      </c>
      <c r="H835" s="1003" t="s">
        <v>1993</v>
      </c>
      <c r="I835" s="1008" t="s">
        <v>3052</v>
      </c>
      <c r="J835" s="1003" t="s">
        <v>664</v>
      </c>
      <c r="K835" s="148" t="s">
        <v>3081</v>
      </c>
      <c r="L835" s="1003"/>
      <c r="M835" s="1108" t="s">
        <v>3082</v>
      </c>
      <c r="N835" s="148" t="s">
        <v>3083</v>
      </c>
    </row>
    <row r="836" spans="1:14">
      <c r="A836" s="123">
        <v>29</v>
      </c>
      <c r="B836" s="979"/>
      <c r="C836" s="148" t="s">
        <v>3080</v>
      </c>
      <c r="D836" s="1031"/>
      <c r="E836" s="1031"/>
      <c r="F836" s="1031"/>
      <c r="G836" s="1107"/>
      <c r="H836" s="1031"/>
      <c r="I836" s="1107"/>
      <c r="J836" s="1031"/>
      <c r="K836" s="148" t="s">
        <v>707</v>
      </c>
      <c r="L836" s="1031"/>
      <c r="M836" s="1109"/>
      <c r="N836" s="148"/>
    </row>
    <row r="837" spans="1:14">
      <c r="A837" s="123">
        <v>29</v>
      </c>
      <c r="B837" s="979"/>
      <c r="C837" s="148"/>
      <c r="D837" s="1004"/>
      <c r="E837" s="1004"/>
      <c r="F837" s="1004"/>
      <c r="G837" s="1009"/>
      <c r="H837" s="1004"/>
      <c r="I837" s="1009"/>
      <c r="J837" s="1004"/>
      <c r="K837" s="148"/>
      <c r="L837" s="1004"/>
      <c r="M837" s="1110"/>
      <c r="N837" s="148" t="s">
        <v>3084</v>
      </c>
    </row>
    <row r="838" spans="1:14">
      <c r="A838" s="123">
        <v>29</v>
      </c>
      <c r="B838" s="979"/>
      <c r="C838" s="148" t="s">
        <v>3053</v>
      </c>
      <c r="D838" s="148" t="s">
        <v>306</v>
      </c>
      <c r="E838" s="148" t="s">
        <v>322</v>
      </c>
      <c r="F838" s="148" t="s">
        <v>307</v>
      </c>
      <c r="G838" s="149" t="s">
        <v>3054</v>
      </c>
      <c r="H838" s="148" t="s">
        <v>354</v>
      </c>
      <c r="I838" s="149" t="s">
        <v>3055</v>
      </c>
      <c r="J838" s="148"/>
      <c r="K838" s="148" t="s">
        <v>671</v>
      </c>
      <c r="L838" s="148"/>
      <c r="M838" s="490" t="s">
        <v>1810</v>
      </c>
      <c r="N838" s="148" t="s">
        <v>3085</v>
      </c>
    </row>
    <row r="839" spans="1:14">
      <c r="A839" s="123">
        <v>29</v>
      </c>
      <c r="B839" s="980"/>
      <c r="C839" s="148" t="s">
        <v>3053</v>
      </c>
      <c r="D839" s="148" t="s">
        <v>306</v>
      </c>
      <c r="E839" s="148" t="s">
        <v>322</v>
      </c>
      <c r="F839" s="148" t="s">
        <v>3056</v>
      </c>
      <c r="G839" s="149" t="s">
        <v>3054</v>
      </c>
      <c r="H839" s="148" t="s">
        <v>3057</v>
      </c>
      <c r="I839" s="149" t="s">
        <v>3058</v>
      </c>
      <c r="J839" s="148" t="s">
        <v>3050</v>
      </c>
      <c r="K839" s="148" t="s">
        <v>671</v>
      </c>
      <c r="L839" s="148"/>
      <c r="M839" s="490" t="s">
        <v>1810</v>
      </c>
      <c r="N839" s="148" t="s">
        <v>3086</v>
      </c>
    </row>
    <row r="840" spans="1:14">
      <c r="A840" s="123">
        <v>29</v>
      </c>
      <c r="B840" s="978" t="s">
        <v>21</v>
      </c>
      <c r="C840" s="111" t="s">
        <v>3087</v>
      </c>
      <c r="D840" s="1003" t="s">
        <v>311</v>
      </c>
      <c r="E840" s="1003" t="s">
        <v>320</v>
      </c>
      <c r="F840" s="1008" t="s">
        <v>2601</v>
      </c>
      <c r="G840" s="1008" t="s">
        <v>3059</v>
      </c>
      <c r="H840" s="1008" t="s">
        <v>3060</v>
      </c>
      <c r="I840" s="1008" t="s">
        <v>3061</v>
      </c>
      <c r="J840" s="1008" t="s">
        <v>702</v>
      </c>
      <c r="K840" s="1008" t="s">
        <v>3062</v>
      </c>
      <c r="L840" s="1003" t="s">
        <v>309</v>
      </c>
      <c r="M840" s="1108" t="s">
        <v>1816</v>
      </c>
      <c r="N840" s="1003" t="s">
        <v>3088</v>
      </c>
    </row>
    <row r="841" spans="1:14">
      <c r="A841" s="123">
        <v>29</v>
      </c>
      <c r="B841" s="979"/>
      <c r="C841" s="111" t="s">
        <v>3065</v>
      </c>
      <c r="D841" s="1004"/>
      <c r="E841" s="1004"/>
      <c r="F841" s="1009"/>
      <c r="G841" s="1009"/>
      <c r="H841" s="1009"/>
      <c r="I841" s="1009"/>
      <c r="J841" s="1009"/>
      <c r="K841" s="1009"/>
      <c r="L841" s="1004"/>
      <c r="M841" s="1110"/>
      <c r="N841" s="1004"/>
    </row>
    <row r="842" spans="1:14">
      <c r="A842" s="123">
        <v>29</v>
      </c>
      <c r="B842" s="979"/>
      <c r="C842" s="111" t="s">
        <v>3063</v>
      </c>
      <c r="D842" s="148" t="s">
        <v>311</v>
      </c>
      <c r="E842" s="148" t="s">
        <v>320</v>
      </c>
      <c r="F842" s="149" t="s">
        <v>2601</v>
      </c>
      <c r="G842" s="149" t="s">
        <v>1415</v>
      </c>
      <c r="H842" s="149" t="s">
        <v>1238</v>
      </c>
      <c r="I842" s="149" t="s">
        <v>3064</v>
      </c>
      <c r="J842" s="149"/>
      <c r="K842" s="149" t="s">
        <v>731</v>
      </c>
      <c r="L842" s="148" t="s">
        <v>309</v>
      </c>
      <c r="M842" s="490" t="s">
        <v>1828</v>
      </c>
      <c r="N842" s="148" t="s">
        <v>3088</v>
      </c>
    </row>
    <row r="843" spans="1:14">
      <c r="A843" s="123">
        <v>29</v>
      </c>
      <c r="B843" s="979"/>
      <c r="C843" s="111" t="s">
        <v>3065</v>
      </c>
      <c r="D843" s="149" t="s">
        <v>311</v>
      </c>
      <c r="E843" s="149" t="s">
        <v>320</v>
      </c>
      <c r="F843" s="149" t="s">
        <v>690</v>
      </c>
      <c r="G843" s="149" t="s">
        <v>3066</v>
      </c>
      <c r="H843" s="149" t="s">
        <v>1198</v>
      </c>
      <c r="I843" s="149" t="s">
        <v>3067</v>
      </c>
      <c r="J843" s="149"/>
      <c r="K843" s="149" t="s">
        <v>1771</v>
      </c>
      <c r="L843" s="148" t="s">
        <v>309</v>
      </c>
      <c r="M843" s="490" t="s">
        <v>1535</v>
      </c>
      <c r="N843" s="148" t="s">
        <v>3088</v>
      </c>
    </row>
    <row r="844" spans="1:14">
      <c r="A844" s="123">
        <v>29</v>
      </c>
      <c r="B844" s="979"/>
      <c r="C844" s="111" t="s">
        <v>3079</v>
      </c>
      <c r="D844" s="1003" t="s">
        <v>311</v>
      </c>
      <c r="E844" s="1003" t="s">
        <v>320</v>
      </c>
      <c r="F844" s="1008" t="s">
        <v>3068</v>
      </c>
      <c r="G844" s="1008" t="s">
        <v>1919</v>
      </c>
      <c r="H844" s="1008" t="s">
        <v>3069</v>
      </c>
      <c r="I844" s="149" t="s">
        <v>3090</v>
      </c>
      <c r="J844" s="1008"/>
      <c r="K844" s="1008" t="s">
        <v>3070</v>
      </c>
      <c r="L844" s="1003" t="s">
        <v>309</v>
      </c>
      <c r="M844" s="1111" t="s">
        <v>3092</v>
      </c>
      <c r="N844" s="1003" t="s">
        <v>1206</v>
      </c>
    </row>
    <row r="845" spans="1:14">
      <c r="A845" s="123">
        <v>29</v>
      </c>
      <c r="B845" s="979"/>
      <c r="C845" s="111" t="s">
        <v>3089</v>
      </c>
      <c r="D845" s="1004"/>
      <c r="E845" s="1004"/>
      <c r="F845" s="1009"/>
      <c r="G845" s="1009"/>
      <c r="H845" s="1009"/>
      <c r="I845" s="149" t="s">
        <v>3091</v>
      </c>
      <c r="J845" s="1009"/>
      <c r="K845" s="1009"/>
      <c r="L845" s="1004"/>
      <c r="M845" s="1112"/>
      <c r="N845" s="1004"/>
    </row>
    <row r="846" spans="1:14">
      <c r="A846" s="123">
        <v>29</v>
      </c>
      <c r="B846" s="979"/>
      <c r="C846" s="111" t="s">
        <v>3079</v>
      </c>
      <c r="D846" s="1003" t="s">
        <v>311</v>
      </c>
      <c r="E846" s="1003" t="s">
        <v>320</v>
      </c>
      <c r="F846" s="1008" t="s">
        <v>2601</v>
      </c>
      <c r="G846" s="1008" t="s">
        <v>3059</v>
      </c>
      <c r="H846" s="1008" t="s">
        <v>3060</v>
      </c>
      <c r="I846" s="1008" t="s">
        <v>3071</v>
      </c>
      <c r="J846" s="1008" t="s">
        <v>702</v>
      </c>
      <c r="K846" s="1008" t="s">
        <v>1054</v>
      </c>
      <c r="L846" s="1003" t="s">
        <v>309</v>
      </c>
      <c r="M846" s="1108" t="s">
        <v>3094</v>
      </c>
      <c r="N846" s="1003" t="s">
        <v>3095</v>
      </c>
    </row>
    <row r="847" spans="1:14">
      <c r="A847" s="123">
        <v>29</v>
      </c>
      <c r="B847" s="979"/>
      <c r="C847" s="111"/>
      <c r="D847" s="1031"/>
      <c r="E847" s="1031"/>
      <c r="F847" s="1107"/>
      <c r="G847" s="1107"/>
      <c r="H847" s="1107"/>
      <c r="I847" s="1107"/>
      <c r="J847" s="1107"/>
      <c r="K847" s="1107"/>
      <c r="L847" s="1031"/>
      <c r="M847" s="1109"/>
      <c r="N847" s="1031"/>
    </row>
    <row r="848" spans="1:14">
      <c r="A848" s="123">
        <v>29</v>
      </c>
      <c r="B848" s="979"/>
      <c r="C848" s="111" t="s">
        <v>3093</v>
      </c>
      <c r="D848" s="1004"/>
      <c r="E848" s="1004"/>
      <c r="F848" s="1009"/>
      <c r="G848" s="1009"/>
      <c r="H848" s="1009"/>
      <c r="I848" s="1009"/>
      <c r="J848" s="1009"/>
      <c r="K848" s="1009"/>
      <c r="L848" s="1004"/>
      <c r="M848" s="1110"/>
      <c r="N848" s="1004"/>
    </row>
    <row r="849" spans="1:14">
      <c r="A849" s="123">
        <v>29</v>
      </c>
      <c r="B849" s="979"/>
      <c r="C849" s="111" t="s">
        <v>3096</v>
      </c>
      <c r="D849" s="1003" t="s">
        <v>311</v>
      </c>
      <c r="E849" s="1003" t="s">
        <v>320</v>
      </c>
      <c r="F849" s="1008" t="s">
        <v>337</v>
      </c>
      <c r="G849" s="1008" t="s">
        <v>3072</v>
      </c>
      <c r="H849" s="1008" t="s">
        <v>354</v>
      </c>
      <c r="I849" s="1008" t="s">
        <v>310</v>
      </c>
      <c r="J849" s="1008" t="s">
        <v>638</v>
      </c>
      <c r="K849" s="1008" t="s">
        <v>3073</v>
      </c>
      <c r="L849" s="1003" t="s">
        <v>309</v>
      </c>
      <c r="M849" s="1108" t="s">
        <v>1816</v>
      </c>
      <c r="N849" s="1003" t="s">
        <v>3095</v>
      </c>
    </row>
    <row r="850" spans="1:14">
      <c r="A850" s="123">
        <v>29</v>
      </c>
      <c r="B850" s="980"/>
      <c r="C850" s="111" t="s">
        <v>3089</v>
      </c>
      <c r="D850" s="1004"/>
      <c r="E850" s="1004"/>
      <c r="F850" s="1009"/>
      <c r="G850" s="1009"/>
      <c r="H850" s="1009"/>
      <c r="I850" s="1009"/>
      <c r="J850" s="1009"/>
      <c r="K850" s="1009"/>
      <c r="L850" s="1004"/>
      <c r="M850" s="1110"/>
      <c r="N850" s="1004"/>
    </row>
    <row r="851" spans="1:14">
      <c r="A851" s="123">
        <v>30</v>
      </c>
      <c r="B851" s="1115" t="s">
        <v>20</v>
      </c>
      <c r="C851" s="148" t="s">
        <v>3089</v>
      </c>
      <c r="D851" s="148" t="s">
        <v>306</v>
      </c>
      <c r="E851" s="148" t="s">
        <v>322</v>
      </c>
      <c r="F851" s="148" t="s">
        <v>307</v>
      </c>
      <c r="G851" s="149" t="s">
        <v>3098</v>
      </c>
      <c r="H851" s="148" t="s">
        <v>3099</v>
      </c>
      <c r="I851" s="149" t="s">
        <v>3100</v>
      </c>
      <c r="J851" s="148" t="s">
        <v>664</v>
      </c>
      <c r="K851" s="148" t="s">
        <v>3101</v>
      </c>
      <c r="L851" s="148"/>
      <c r="M851" s="485" t="s">
        <v>1535</v>
      </c>
      <c r="N851" s="148" t="s">
        <v>665</v>
      </c>
    </row>
    <row r="852" spans="1:14">
      <c r="A852" s="123">
        <v>30</v>
      </c>
      <c r="B852" s="1116"/>
      <c r="C852" s="148" t="s">
        <v>3102</v>
      </c>
      <c r="D852" s="148" t="s">
        <v>306</v>
      </c>
      <c r="E852" s="148" t="s">
        <v>322</v>
      </c>
      <c r="F852" s="148" t="s">
        <v>307</v>
      </c>
      <c r="G852" s="149" t="s">
        <v>3103</v>
      </c>
      <c r="H852" s="148" t="s">
        <v>1238</v>
      </c>
      <c r="I852" s="149" t="s">
        <v>3104</v>
      </c>
      <c r="J852" s="148" t="s">
        <v>1534</v>
      </c>
      <c r="K852" s="148" t="s">
        <v>3105</v>
      </c>
      <c r="L852" s="148"/>
      <c r="M852" s="485" t="s">
        <v>1810</v>
      </c>
      <c r="N852" s="148" t="s">
        <v>425</v>
      </c>
    </row>
    <row r="853" spans="1:14">
      <c r="A853" s="123">
        <v>30</v>
      </c>
      <c r="B853" s="1116"/>
      <c r="C853" s="148" t="s">
        <v>3106</v>
      </c>
      <c r="D853" s="1003" t="s">
        <v>306</v>
      </c>
      <c r="E853" s="1003" t="s">
        <v>322</v>
      </c>
      <c r="F853" s="1003" t="s">
        <v>307</v>
      </c>
      <c r="G853" s="1008" t="s">
        <v>3051</v>
      </c>
      <c r="H853" s="1003" t="s">
        <v>1993</v>
      </c>
      <c r="I853" s="1008" t="s">
        <v>3108</v>
      </c>
      <c r="J853" s="1003" t="s">
        <v>664</v>
      </c>
      <c r="K853" s="148" t="s">
        <v>3109</v>
      </c>
      <c r="L853" s="1003"/>
      <c r="M853" s="1012" t="s">
        <v>3110</v>
      </c>
      <c r="N853" s="1003" t="s">
        <v>665</v>
      </c>
    </row>
    <row r="854" spans="1:14">
      <c r="A854" s="123">
        <v>30</v>
      </c>
      <c r="B854" s="1116"/>
      <c r="C854" s="148" t="s">
        <v>3107</v>
      </c>
      <c r="D854" s="1004"/>
      <c r="E854" s="1004"/>
      <c r="F854" s="1004"/>
      <c r="G854" s="1009"/>
      <c r="H854" s="1004"/>
      <c r="I854" s="1009"/>
      <c r="J854" s="1004"/>
      <c r="K854" s="148" t="s">
        <v>655</v>
      </c>
      <c r="L854" s="1004"/>
      <c r="M854" s="1013"/>
      <c r="N854" s="1004"/>
    </row>
    <row r="855" spans="1:14">
      <c r="A855" s="123">
        <v>30</v>
      </c>
      <c r="B855" s="1117"/>
      <c r="C855" s="148" t="s">
        <v>3111</v>
      </c>
      <c r="D855" s="148" t="s">
        <v>306</v>
      </c>
      <c r="E855" s="148" t="s">
        <v>322</v>
      </c>
      <c r="F855" s="148" t="s">
        <v>307</v>
      </c>
      <c r="G855" s="149" t="s">
        <v>3112</v>
      </c>
      <c r="H855" s="148" t="s">
        <v>3113</v>
      </c>
      <c r="I855" s="149" t="s">
        <v>3114</v>
      </c>
      <c r="J855" s="148" t="s">
        <v>664</v>
      </c>
      <c r="K855" s="148" t="s">
        <v>3115</v>
      </c>
      <c r="L855" s="148"/>
      <c r="M855" s="485" t="s">
        <v>1810</v>
      </c>
      <c r="N855" s="148" t="s">
        <v>665</v>
      </c>
    </row>
    <row r="856" spans="1:14">
      <c r="A856" s="123">
        <v>30</v>
      </c>
      <c r="B856" s="978" t="s">
        <v>3116</v>
      </c>
      <c r="C856" s="1113" t="s">
        <v>3117</v>
      </c>
      <c r="D856" s="1003" t="s">
        <v>311</v>
      </c>
      <c r="E856" s="1003" t="s">
        <v>320</v>
      </c>
      <c r="F856" s="1008" t="s">
        <v>2601</v>
      </c>
      <c r="G856" s="1008" t="s">
        <v>2749</v>
      </c>
      <c r="H856" s="1008" t="s">
        <v>347</v>
      </c>
      <c r="I856" s="1008" t="s">
        <v>3118</v>
      </c>
      <c r="J856" s="1008" t="s">
        <v>638</v>
      </c>
      <c r="K856" s="1008" t="s">
        <v>698</v>
      </c>
      <c r="L856" s="1003" t="s">
        <v>309</v>
      </c>
      <c r="M856" s="1012" t="s">
        <v>1810</v>
      </c>
      <c r="N856" s="148" t="s">
        <v>3119</v>
      </c>
    </row>
    <row r="857" spans="1:14">
      <c r="A857" s="123">
        <v>30</v>
      </c>
      <c r="B857" s="979"/>
      <c r="C857" s="1114"/>
      <c r="D857" s="1004"/>
      <c r="E857" s="1004"/>
      <c r="F857" s="1009"/>
      <c r="G857" s="1009"/>
      <c r="H857" s="1009"/>
      <c r="I857" s="1009"/>
      <c r="J857" s="1009"/>
      <c r="K857" s="1009"/>
      <c r="L857" s="1004"/>
      <c r="M857" s="1013"/>
      <c r="N857" s="148" t="s">
        <v>3120</v>
      </c>
    </row>
    <row r="858" spans="1:14" ht="16.5" customHeight="1">
      <c r="A858" s="123">
        <v>30</v>
      </c>
      <c r="B858" s="979"/>
      <c r="C858" s="1113" t="s">
        <v>3117</v>
      </c>
      <c r="D858" s="1003" t="s">
        <v>311</v>
      </c>
      <c r="E858" s="1003" t="s">
        <v>320</v>
      </c>
      <c r="F858" s="1008" t="s">
        <v>709</v>
      </c>
      <c r="G858" s="149" t="s">
        <v>3121</v>
      </c>
      <c r="H858" s="1008" t="s">
        <v>640</v>
      </c>
      <c r="I858" s="1008" t="s">
        <v>3122</v>
      </c>
      <c r="J858" s="1008"/>
      <c r="K858" s="1008" t="s">
        <v>692</v>
      </c>
      <c r="L858" s="1003" t="s">
        <v>309</v>
      </c>
      <c r="M858" s="1012" t="s">
        <v>1535</v>
      </c>
      <c r="N858" s="1003" t="s">
        <v>1772</v>
      </c>
    </row>
    <row r="859" spans="1:14">
      <c r="A859" s="123">
        <v>30</v>
      </c>
      <c r="B859" s="979"/>
      <c r="C859" s="1114"/>
      <c r="D859" s="1004"/>
      <c r="E859" s="1004"/>
      <c r="F859" s="1009"/>
      <c r="G859" s="149">
        <v>2651</v>
      </c>
      <c r="H859" s="1009"/>
      <c r="I859" s="1009"/>
      <c r="J859" s="1009"/>
      <c r="K859" s="1009"/>
      <c r="L859" s="1004"/>
      <c r="M859" s="1013"/>
      <c r="N859" s="1004"/>
    </row>
    <row r="860" spans="1:14">
      <c r="A860" s="123">
        <v>30</v>
      </c>
      <c r="B860" s="979"/>
      <c r="C860" s="1113" t="s">
        <v>3123</v>
      </c>
      <c r="D860" s="1003" t="s">
        <v>311</v>
      </c>
      <c r="E860" s="1003" t="s">
        <v>320</v>
      </c>
      <c r="F860" s="1008" t="s">
        <v>720</v>
      </c>
      <c r="G860" s="1008" t="s">
        <v>1756</v>
      </c>
      <c r="H860" s="1008" t="s">
        <v>347</v>
      </c>
      <c r="I860" s="149" t="s">
        <v>3124</v>
      </c>
      <c r="J860" s="1008"/>
      <c r="K860" s="1008" t="s">
        <v>3126</v>
      </c>
      <c r="L860" s="1003" t="s">
        <v>309</v>
      </c>
      <c r="M860" s="1012" t="s">
        <v>1933</v>
      </c>
      <c r="N860" s="1003" t="s">
        <v>1206</v>
      </c>
    </row>
    <row r="861" spans="1:14">
      <c r="A861" s="123">
        <v>30</v>
      </c>
      <c r="B861" s="979"/>
      <c r="C861" s="1114"/>
      <c r="D861" s="1004"/>
      <c r="E861" s="1004"/>
      <c r="F861" s="1009"/>
      <c r="G861" s="1009"/>
      <c r="H861" s="1009"/>
      <c r="I861" s="149" t="s">
        <v>3125</v>
      </c>
      <c r="J861" s="1009"/>
      <c r="K861" s="1009"/>
      <c r="L861" s="1004"/>
      <c r="M861" s="1013"/>
      <c r="N861" s="1004"/>
    </row>
    <row r="862" spans="1:14">
      <c r="A862" s="123">
        <v>30</v>
      </c>
      <c r="B862" s="979"/>
      <c r="C862" s="111" t="s">
        <v>3127</v>
      </c>
      <c r="D862" s="1003" t="s">
        <v>311</v>
      </c>
      <c r="E862" s="1003" t="s">
        <v>320</v>
      </c>
      <c r="F862" s="1008" t="s">
        <v>690</v>
      </c>
      <c r="G862" s="1008" t="s">
        <v>3066</v>
      </c>
      <c r="H862" s="1008" t="s">
        <v>354</v>
      </c>
      <c r="I862" s="1008" t="s">
        <v>3129</v>
      </c>
      <c r="J862" s="1008" t="s">
        <v>638</v>
      </c>
      <c r="K862" s="1008" t="s">
        <v>655</v>
      </c>
      <c r="L862" s="1003" t="s">
        <v>309</v>
      </c>
      <c r="M862" s="1012" t="s">
        <v>1535</v>
      </c>
      <c r="N862" s="1003" t="s">
        <v>1206</v>
      </c>
    </row>
    <row r="863" spans="1:14">
      <c r="A863" s="123">
        <v>30</v>
      </c>
      <c r="B863" s="979"/>
      <c r="C863" s="111" t="s">
        <v>3128</v>
      </c>
      <c r="D863" s="1004"/>
      <c r="E863" s="1004"/>
      <c r="F863" s="1009"/>
      <c r="G863" s="1009"/>
      <c r="H863" s="1009"/>
      <c r="I863" s="1009"/>
      <c r="J863" s="1009"/>
      <c r="K863" s="1009"/>
      <c r="L863" s="1004"/>
      <c r="M863" s="1013"/>
      <c r="N863" s="1004"/>
    </row>
    <row r="864" spans="1:14">
      <c r="A864" s="123">
        <v>30</v>
      </c>
      <c r="B864" s="979"/>
      <c r="C864" s="111" t="s">
        <v>3130</v>
      </c>
      <c r="D864" s="1003" t="s">
        <v>311</v>
      </c>
      <c r="E864" s="1003" t="s">
        <v>320</v>
      </c>
      <c r="F864" s="1008" t="s">
        <v>337</v>
      </c>
      <c r="G864" s="1008" t="s">
        <v>3072</v>
      </c>
      <c r="H864" s="1008" t="s">
        <v>354</v>
      </c>
      <c r="I864" s="1008" t="s">
        <v>3131</v>
      </c>
      <c r="J864" s="1008" t="s">
        <v>638</v>
      </c>
      <c r="K864" s="1008" t="s">
        <v>713</v>
      </c>
      <c r="L864" s="1003" t="s">
        <v>309</v>
      </c>
      <c r="M864" s="1012" t="s">
        <v>1810</v>
      </c>
      <c r="N864" s="1003" t="s">
        <v>1206</v>
      </c>
    </row>
    <row r="865" spans="1:14">
      <c r="A865" s="123">
        <v>30</v>
      </c>
      <c r="B865" s="979"/>
      <c r="C865" s="111" t="s">
        <v>3107</v>
      </c>
      <c r="D865" s="1004"/>
      <c r="E865" s="1004"/>
      <c r="F865" s="1009"/>
      <c r="G865" s="1009"/>
      <c r="H865" s="1009"/>
      <c r="I865" s="1009"/>
      <c r="J865" s="1009"/>
      <c r="K865" s="1009"/>
      <c r="L865" s="1004"/>
      <c r="M865" s="1013"/>
      <c r="N865" s="1004"/>
    </row>
    <row r="866" spans="1:14" ht="25.5">
      <c r="A866" s="123">
        <v>30</v>
      </c>
      <c r="B866" s="979"/>
      <c r="C866" s="111" t="s">
        <v>3128</v>
      </c>
      <c r="D866" s="148" t="s">
        <v>311</v>
      </c>
      <c r="E866" s="148" t="s">
        <v>320</v>
      </c>
      <c r="F866" s="149" t="s">
        <v>2601</v>
      </c>
      <c r="G866" s="149" t="s">
        <v>1415</v>
      </c>
      <c r="H866" s="149" t="s">
        <v>1238</v>
      </c>
      <c r="I866" s="149" t="s">
        <v>3132</v>
      </c>
      <c r="J866" s="149" t="s">
        <v>3133</v>
      </c>
      <c r="K866" s="149" t="s">
        <v>731</v>
      </c>
      <c r="L866" s="148" t="s">
        <v>309</v>
      </c>
      <c r="M866" s="485" t="s">
        <v>1828</v>
      </c>
      <c r="N866" s="148" t="s">
        <v>1206</v>
      </c>
    </row>
    <row r="867" spans="1:14">
      <c r="A867" s="123">
        <v>30</v>
      </c>
      <c r="B867" s="979"/>
      <c r="C867" s="1113" t="s">
        <v>3111</v>
      </c>
      <c r="D867" s="1003" t="s">
        <v>311</v>
      </c>
      <c r="E867" s="1003" t="s">
        <v>675</v>
      </c>
      <c r="F867" s="1008" t="s">
        <v>660</v>
      </c>
      <c r="G867" s="1008" t="s">
        <v>661</v>
      </c>
      <c r="H867" s="1008" t="s">
        <v>662</v>
      </c>
      <c r="I867" s="149" t="s">
        <v>3134</v>
      </c>
      <c r="J867" s="1008" t="s">
        <v>638</v>
      </c>
      <c r="K867" s="1008" t="s">
        <v>731</v>
      </c>
      <c r="L867" s="1003" t="s">
        <v>309</v>
      </c>
      <c r="M867" s="1012" t="s">
        <v>1828</v>
      </c>
      <c r="N867" s="1003" t="s">
        <v>3136</v>
      </c>
    </row>
    <row r="868" spans="1:14">
      <c r="A868" s="123">
        <v>30</v>
      </c>
      <c r="B868" s="980"/>
      <c r="C868" s="1114"/>
      <c r="D868" s="1004"/>
      <c r="E868" s="1004"/>
      <c r="F868" s="1009"/>
      <c r="G868" s="1009"/>
      <c r="H868" s="1009"/>
      <c r="I868" s="149" t="s">
        <v>3135</v>
      </c>
      <c r="J868" s="1009"/>
      <c r="K868" s="1009"/>
      <c r="L868" s="1004"/>
      <c r="M868" s="1013"/>
      <c r="N868" s="1004"/>
    </row>
    <row r="869" spans="1:14">
      <c r="A869" s="123">
        <v>31</v>
      </c>
      <c r="B869" s="978" t="s">
        <v>307</v>
      </c>
      <c r="C869" s="148" t="s">
        <v>3137</v>
      </c>
      <c r="D869" s="148" t="s">
        <v>306</v>
      </c>
      <c r="E869" s="148" t="s">
        <v>322</v>
      </c>
      <c r="F869" s="148" t="s">
        <v>307</v>
      </c>
      <c r="G869" s="149" t="s">
        <v>3098</v>
      </c>
      <c r="H869" s="148" t="s">
        <v>3099</v>
      </c>
      <c r="I869" s="149" t="s">
        <v>3138</v>
      </c>
      <c r="J869" s="148" t="s">
        <v>664</v>
      </c>
      <c r="K869" s="148" t="s">
        <v>3105</v>
      </c>
      <c r="L869" s="148"/>
      <c r="M869" s="485" t="s">
        <v>3139</v>
      </c>
      <c r="N869" s="148" t="s">
        <v>665</v>
      </c>
    </row>
    <row r="870" spans="1:14" ht="16.5" customHeight="1">
      <c r="A870" s="123">
        <v>31</v>
      </c>
      <c r="B870" s="979"/>
      <c r="C870" s="148" t="s">
        <v>3140</v>
      </c>
      <c r="D870" s="1003" t="s">
        <v>306</v>
      </c>
      <c r="E870" s="1003" t="s">
        <v>322</v>
      </c>
      <c r="F870" s="1003" t="s">
        <v>307</v>
      </c>
      <c r="G870" s="1008">
        <v>1566</v>
      </c>
      <c r="H870" s="1003" t="s">
        <v>1911</v>
      </c>
      <c r="I870" s="1008" t="s">
        <v>3142</v>
      </c>
      <c r="J870" s="1003" t="s">
        <v>664</v>
      </c>
      <c r="K870" s="1003" t="s">
        <v>3143</v>
      </c>
      <c r="L870" s="1003"/>
      <c r="M870" s="1012" t="s">
        <v>3144</v>
      </c>
      <c r="N870" s="1003" t="s">
        <v>665</v>
      </c>
    </row>
    <row r="871" spans="1:14">
      <c r="A871" s="123">
        <v>31</v>
      </c>
      <c r="B871" s="979"/>
      <c r="C871" s="148" t="s">
        <v>3141</v>
      </c>
      <c r="D871" s="1004"/>
      <c r="E871" s="1004"/>
      <c r="F871" s="1004"/>
      <c r="G871" s="1009"/>
      <c r="H871" s="1004"/>
      <c r="I871" s="1009"/>
      <c r="J871" s="1004"/>
      <c r="K871" s="1004"/>
      <c r="L871" s="1004"/>
      <c r="M871" s="1013"/>
      <c r="N871" s="1004"/>
    </row>
    <row r="872" spans="1:14">
      <c r="A872" s="123">
        <v>31</v>
      </c>
      <c r="B872" s="979"/>
      <c r="C872" s="148" t="s">
        <v>3145</v>
      </c>
      <c r="D872" s="148" t="s">
        <v>306</v>
      </c>
      <c r="E872" s="148" t="s">
        <v>322</v>
      </c>
      <c r="F872" s="148" t="s">
        <v>307</v>
      </c>
      <c r="G872" s="149">
        <v>1567</v>
      </c>
      <c r="H872" s="148" t="s">
        <v>1911</v>
      </c>
      <c r="I872" s="149" t="s">
        <v>2720</v>
      </c>
      <c r="J872" s="148" t="s">
        <v>664</v>
      </c>
      <c r="K872" s="148" t="s">
        <v>3115</v>
      </c>
      <c r="L872" s="148"/>
      <c r="M872" s="485" t="s">
        <v>3139</v>
      </c>
      <c r="N872" s="148" t="s">
        <v>665</v>
      </c>
    </row>
    <row r="873" spans="1:14" ht="16.5" customHeight="1">
      <c r="A873" s="123">
        <v>31</v>
      </c>
      <c r="B873" s="979"/>
      <c r="C873" s="388" t="s">
        <v>3140</v>
      </c>
      <c r="D873" s="1003" t="s">
        <v>306</v>
      </c>
      <c r="E873" s="1003" t="s">
        <v>322</v>
      </c>
      <c r="F873" s="1003" t="s">
        <v>307</v>
      </c>
      <c r="G873" s="1008" t="s">
        <v>3147</v>
      </c>
      <c r="H873" s="1003" t="s">
        <v>3148</v>
      </c>
      <c r="I873" s="1008" t="s">
        <v>332</v>
      </c>
      <c r="J873" s="1003" t="s">
        <v>1534</v>
      </c>
      <c r="K873" s="1003" t="s">
        <v>1157</v>
      </c>
      <c r="L873" s="1003"/>
      <c r="M873" s="1012" t="s">
        <v>3149</v>
      </c>
      <c r="N873" s="1003" t="s">
        <v>425</v>
      </c>
    </row>
    <row r="874" spans="1:14">
      <c r="A874" s="123">
        <v>31</v>
      </c>
      <c r="B874" s="980"/>
      <c r="C874" s="388" t="s">
        <v>3146</v>
      </c>
      <c r="D874" s="1004"/>
      <c r="E874" s="1004"/>
      <c r="F874" s="1004"/>
      <c r="G874" s="1009"/>
      <c r="H874" s="1004"/>
      <c r="I874" s="1009"/>
      <c r="J874" s="1004"/>
      <c r="K874" s="1004"/>
      <c r="L874" s="1004"/>
      <c r="M874" s="1013"/>
      <c r="N874" s="1004"/>
    </row>
    <row r="875" spans="1:14">
      <c r="A875" s="123">
        <v>31</v>
      </c>
      <c r="B875" s="978" t="s">
        <v>21</v>
      </c>
      <c r="C875" s="148" t="s">
        <v>3128</v>
      </c>
      <c r="D875" s="148" t="s">
        <v>311</v>
      </c>
      <c r="E875" s="148" t="s">
        <v>320</v>
      </c>
      <c r="F875" s="149" t="s">
        <v>2601</v>
      </c>
      <c r="G875" s="149" t="s">
        <v>1415</v>
      </c>
      <c r="H875" s="149" t="s">
        <v>1416</v>
      </c>
      <c r="I875" s="149" t="s">
        <v>3150</v>
      </c>
      <c r="J875" s="149"/>
      <c r="K875" s="149" t="s">
        <v>698</v>
      </c>
      <c r="L875" s="148" t="s">
        <v>309</v>
      </c>
      <c r="M875" s="485" t="s">
        <v>3139</v>
      </c>
      <c r="N875" s="148" t="s">
        <v>3151</v>
      </c>
    </row>
    <row r="876" spans="1:14" ht="16.5" customHeight="1">
      <c r="A876" s="123">
        <v>31</v>
      </c>
      <c r="B876" s="979"/>
      <c r="C876" s="1003" t="s">
        <v>3128</v>
      </c>
      <c r="D876" s="1003" t="s">
        <v>311</v>
      </c>
      <c r="E876" s="1003" t="s">
        <v>675</v>
      </c>
      <c r="F876" s="1008" t="s">
        <v>660</v>
      </c>
      <c r="G876" s="1008" t="s">
        <v>661</v>
      </c>
      <c r="H876" s="1008" t="s">
        <v>662</v>
      </c>
      <c r="I876" s="149" t="s">
        <v>3134</v>
      </c>
      <c r="J876" s="1008"/>
      <c r="K876" s="1008" t="s">
        <v>698</v>
      </c>
      <c r="L876" s="1003" t="s">
        <v>309</v>
      </c>
      <c r="M876" s="1012" t="s">
        <v>3139</v>
      </c>
      <c r="N876" s="1003" t="s">
        <v>3152</v>
      </c>
    </row>
    <row r="877" spans="1:14">
      <c r="A877" s="123">
        <v>31</v>
      </c>
      <c r="B877" s="979"/>
      <c r="C877" s="1004"/>
      <c r="D877" s="1004"/>
      <c r="E877" s="1004"/>
      <c r="F877" s="1009"/>
      <c r="G877" s="1009"/>
      <c r="H877" s="1009"/>
      <c r="I877" s="149" t="s">
        <v>3135</v>
      </c>
      <c r="J877" s="1009"/>
      <c r="K877" s="1009"/>
      <c r="L877" s="1004"/>
      <c r="M877" s="1013"/>
      <c r="N877" s="1004"/>
    </row>
    <row r="878" spans="1:14" ht="16.5" customHeight="1">
      <c r="A878" s="123">
        <v>31</v>
      </c>
      <c r="B878" s="979"/>
      <c r="C878" s="148" t="s">
        <v>3153</v>
      </c>
      <c r="D878" s="1003" t="s">
        <v>311</v>
      </c>
      <c r="E878" s="1003" t="s">
        <v>320</v>
      </c>
      <c r="F878" s="1008" t="s">
        <v>3068</v>
      </c>
      <c r="G878" s="1008" t="s">
        <v>1919</v>
      </c>
      <c r="H878" s="1008" t="s">
        <v>3069</v>
      </c>
      <c r="I878" s="1008" t="s">
        <v>3154</v>
      </c>
      <c r="J878" s="1008"/>
      <c r="K878" s="1008" t="s">
        <v>3155</v>
      </c>
      <c r="L878" s="1003" t="s">
        <v>309</v>
      </c>
      <c r="M878" s="1012" t="s">
        <v>3156</v>
      </c>
      <c r="N878" s="1003" t="s">
        <v>3151</v>
      </c>
    </row>
    <row r="879" spans="1:14">
      <c r="A879" s="123">
        <v>31</v>
      </c>
      <c r="B879" s="979"/>
      <c r="C879" s="148" t="s">
        <v>3111</v>
      </c>
      <c r="D879" s="1004"/>
      <c r="E879" s="1004"/>
      <c r="F879" s="1009"/>
      <c r="G879" s="1009"/>
      <c r="H879" s="1009"/>
      <c r="I879" s="1009"/>
      <c r="J879" s="1009"/>
      <c r="K879" s="1009"/>
      <c r="L879" s="1004"/>
      <c r="M879" s="1013"/>
      <c r="N879" s="1004"/>
    </row>
    <row r="880" spans="1:14">
      <c r="A880" s="123">
        <v>31</v>
      </c>
      <c r="B880" s="979"/>
      <c r="C880" s="148" t="s">
        <v>3111</v>
      </c>
      <c r="D880" s="148" t="s">
        <v>311</v>
      </c>
      <c r="E880" s="148" t="s">
        <v>320</v>
      </c>
      <c r="F880" s="149" t="s">
        <v>1926</v>
      </c>
      <c r="G880" s="149" t="s">
        <v>1927</v>
      </c>
      <c r="H880" s="149" t="s">
        <v>347</v>
      </c>
      <c r="I880" s="149" t="s">
        <v>3157</v>
      </c>
      <c r="J880" s="149" t="s">
        <v>638</v>
      </c>
      <c r="K880" s="149" t="s">
        <v>1924</v>
      </c>
      <c r="L880" s="148" t="s">
        <v>309</v>
      </c>
      <c r="M880" s="485" t="s">
        <v>3158</v>
      </c>
      <c r="N880" s="148" t="s">
        <v>3152</v>
      </c>
    </row>
    <row r="881" spans="1:14">
      <c r="A881" s="123">
        <v>31</v>
      </c>
      <c r="B881" s="979"/>
      <c r="C881" s="111" t="s">
        <v>3137</v>
      </c>
      <c r="D881" s="148" t="s">
        <v>311</v>
      </c>
      <c r="E881" s="148" t="s">
        <v>320</v>
      </c>
      <c r="F881" s="389" t="s">
        <v>3159</v>
      </c>
      <c r="G881" s="149" t="s">
        <v>3160</v>
      </c>
      <c r="H881" s="149" t="s">
        <v>3161</v>
      </c>
      <c r="I881" s="149" t="s">
        <v>3162</v>
      </c>
      <c r="J881" s="149" t="s">
        <v>702</v>
      </c>
      <c r="K881" s="149" t="s">
        <v>3163</v>
      </c>
      <c r="L881" s="148" t="s">
        <v>309</v>
      </c>
      <c r="M881" s="485" t="s">
        <v>3164</v>
      </c>
      <c r="N881" s="148" t="s">
        <v>1206</v>
      </c>
    </row>
    <row r="882" spans="1:14">
      <c r="A882" s="123">
        <v>31</v>
      </c>
      <c r="B882" s="979"/>
      <c r="C882" s="111" t="s">
        <v>3145</v>
      </c>
      <c r="D882" s="148" t="s">
        <v>311</v>
      </c>
      <c r="E882" s="148" t="s">
        <v>320</v>
      </c>
      <c r="F882" s="149" t="s">
        <v>720</v>
      </c>
      <c r="G882" s="149" t="s">
        <v>1756</v>
      </c>
      <c r="H882" s="149" t="s">
        <v>347</v>
      </c>
      <c r="I882" s="149" t="s">
        <v>3165</v>
      </c>
      <c r="J882" s="149"/>
      <c r="K882" s="149" t="s">
        <v>698</v>
      </c>
      <c r="L882" s="148" t="s">
        <v>309</v>
      </c>
      <c r="M882" s="485" t="s">
        <v>3139</v>
      </c>
      <c r="N882" s="148" t="s">
        <v>1206</v>
      </c>
    </row>
    <row r="883" spans="1:14" ht="16.5" customHeight="1">
      <c r="A883" s="123">
        <v>31</v>
      </c>
      <c r="B883" s="979"/>
      <c r="C883" s="111" t="s">
        <v>3166</v>
      </c>
      <c r="D883" s="1003" t="s">
        <v>311</v>
      </c>
      <c r="E883" s="1003" t="s">
        <v>320</v>
      </c>
      <c r="F883" s="1008" t="s">
        <v>337</v>
      </c>
      <c r="G883" s="1008" t="s">
        <v>3168</v>
      </c>
      <c r="H883" s="1008" t="s">
        <v>3169</v>
      </c>
      <c r="I883" s="1008" t="s">
        <v>3170</v>
      </c>
      <c r="J883" s="1008" t="s">
        <v>3171</v>
      </c>
      <c r="K883" s="1008" t="s">
        <v>3172</v>
      </c>
      <c r="L883" s="1003" t="s">
        <v>309</v>
      </c>
      <c r="M883" s="1012" t="s">
        <v>3173</v>
      </c>
      <c r="N883" s="1003" t="s">
        <v>3136</v>
      </c>
    </row>
    <row r="884" spans="1:14">
      <c r="A884" s="123">
        <v>31</v>
      </c>
      <c r="B884" s="980"/>
      <c r="C884" s="111" t="s">
        <v>3167</v>
      </c>
      <c r="D884" s="1004"/>
      <c r="E884" s="1004"/>
      <c r="F884" s="1009"/>
      <c r="G884" s="1009"/>
      <c r="H884" s="1009"/>
      <c r="I884" s="1009"/>
      <c r="J884" s="1009"/>
      <c r="K884" s="1009"/>
      <c r="L884" s="1004"/>
      <c r="M884" s="1013"/>
      <c r="N884" s="1004"/>
    </row>
    <row r="885" spans="1:14" ht="27">
      <c r="A885" s="123">
        <v>32</v>
      </c>
      <c r="B885" s="1118" t="s">
        <v>3201</v>
      </c>
      <c r="C885" s="45" t="s">
        <v>3174</v>
      </c>
      <c r="D885" s="45" t="s">
        <v>306</v>
      </c>
      <c r="E885" s="45" t="s">
        <v>322</v>
      </c>
      <c r="F885" s="45" t="s">
        <v>307</v>
      </c>
      <c r="G885" s="260">
        <v>1567</v>
      </c>
      <c r="H885" s="45" t="s">
        <v>3175</v>
      </c>
      <c r="I885" s="260" t="s">
        <v>1096</v>
      </c>
      <c r="J885" s="45" t="s">
        <v>664</v>
      </c>
      <c r="K885" s="45" t="s">
        <v>3176</v>
      </c>
      <c r="L885" s="45"/>
      <c r="M885" s="391">
        <v>500000</v>
      </c>
      <c r="N885" s="45" t="s">
        <v>665</v>
      </c>
    </row>
    <row r="886" spans="1:14">
      <c r="A886" s="123">
        <v>32</v>
      </c>
      <c r="B886" s="1119"/>
      <c r="C886" s="45" t="s">
        <v>3177</v>
      </c>
      <c r="D886" s="45" t="s">
        <v>306</v>
      </c>
      <c r="E886" s="45" t="s">
        <v>322</v>
      </c>
      <c r="F886" s="45" t="s">
        <v>307</v>
      </c>
      <c r="G886" s="260" t="s">
        <v>3072</v>
      </c>
      <c r="H886" s="260" t="s">
        <v>354</v>
      </c>
      <c r="I886" s="260" t="s">
        <v>3178</v>
      </c>
      <c r="J886" s="45" t="s">
        <v>664</v>
      </c>
      <c r="K886" s="45" t="s">
        <v>3105</v>
      </c>
      <c r="L886" s="45"/>
      <c r="M886" s="391">
        <v>250000</v>
      </c>
      <c r="N886" s="45" t="s">
        <v>3179</v>
      </c>
    </row>
    <row r="887" spans="1:14" ht="40.5">
      <c r="A887" s="123">
        <v>32</v>
      </c>
      <c r="B887" s="1119"/>
      <c r="C887" s="45" t="s">
        <v>3180</v>
      </c>
      <c r="D887" s="45" t="s">
        <v>306</v>
      </c>
      <c r="E887" s="45" t="s">
        <v>322</v>
      </c>
      <c r="F887" s="45" t="s">
        <v>307</v>
      </c>
      <c r="G887" s="260" t="s">
        <v>3098</v>
      </c>
      <c r="H887" s="45" t="s">
        <v>3099</v>
      </c>
      <c r="I887" s="260" t="s">
        <v>3181</v>
      </c>
      <c r="J887" s="45" t="s">
        <v>664</v>
      </c>
      <c r="K887" s="45" t="s">
        <v>3182</v>
      </c>
      <c r="L887" s="45"/>
      <c r="M887" s="391">
        <v>1250000</v>
      </c>
      <c r="N887" s="45" t="s">
        <v>665</v>
      </c>
    </row>
    <row r="888" spans="1:14" ht="27">
      <c r="A888" s="123">
        <v>32</v>
      </c>
      <c r="B888" s="1120"/>
      <c r="C888" s="45" t="s">
        <v>3183</v>
      </c>
      <c r="D888" s="45" t="s">
        <v>306</v>
      </c>
      <c r="E888" s="45" t="s">
        <v>322</v>
      </c>
      <c r="F888" s="45" t="s">
        <v>307</v>
      </c>
      <c r="G888" s="260" t="s">
        <v>3051</v>
      </c>
      <c r="H888" s="45" t="s">
        <v>1993</v>
      </c>
      <c r="I888" s="260" t="s">
        <v>3184</v>
      </c>
      <c r="J888" s="45" t="s">
        <v>664</v>
      </c>
      <c r="K888" s="45" t="s">
        <v>3101</v>
      </c>
      <c r="L888" s="45"/>
      <c r="M888" s="391">
        <v>500000</v>
      </c>
      <c r="N888" s="45" t="s">
        <v>425</v>
      </c>
    </row>
    <row r="889" spans="1:14">
      <c r="A889" s="123">
        <v>32</v>
      </c>
      <c r="B889" s="1118" t="s">
        <v>3202</v>
      </c>
      <c r="C889" s="45" t="s">
        <v>3185</v>
      </c>
      <c r="D889" s="45" t="s">
        <v>311</v>
      </c>
      <c r="E889" s="45" t="s">
        <v>320</v>
      </c>
      <c r="F889" s="260" t="s">
        <v>2601</v>
      </c>
      <c r="G889" s="260" t="s">
        <v>1415</v>
      </c>
      <c r="H889" s="260" t="s">
        <v>1416</v>
      </c>
      <c r="I889" s="260" t="s">
        <v>3186</v>
      </c>
      <c r="J889" s="260" t="s">
        <v>638</v>
      </c>
      <c r="K889" s="260" t="s">
        <v>3187</v>
      </c>
      <c r="L889" s="45" t="s">
        <v>309</v>
      </c>
      <c r="M889" s="391">
        <v>250000</v>
      </c>
      <c r="N889" s="45" t="s">
        <v>1206</v>
      </c>
    </row>
    <row r="890" spans="1:14">
      <c r="A890" s="123">
        <v>32</v>
      </c>
      <c r="B890" s="1119"/>
      <c r="C890" s="390" t="s">
        <v>3188</v>
      </c>
      <c r="D890" s="45" t="s">
        <v>311</v>
      </c>
      <c r="E890" s="45" t="s">
        <v>675</v>
      </c>
      <c r="F890" s="260" t="s">
        <v>720</v>
      </c>
      <c r="G890" s="260" t="s">
        <v>3189</v>
      </c>
      <c r="H890" s="260" t="s">
        <v>347</v>
      </c>
      <c r="I890" s="260" t="s">
        <v>3190</v>
      </c>
      <c r="J890" s="260" t="s">
        <v>638</v>
      </c>
      <c r="K890" s="260" t="s">
        <v>713</v>
      </c>
      <c r="L890" s="45" t="s">
        <v>309</v>
      </c>
      <c r="M890" s="391">
        <v>250000</v>
      </c>
      <c r="N890" s="45" t="s">
        <v>1772</v>
      </c>
    </row>
    <row r="891" spans="1:14">
      <c r="A891" s="123">
        <v>32</v>
      </c>
      <c r="B891" s="1119"/>
      <c r="C891" s="390" t="s">
        <v>3188</v>
      </c>
      <c r="D891" s="45" t="s">
        <v>311</v>
      </c>
      <c r="E891" s="45" t="s">
        <v>320</v>
      </c>
      <c r="F891" s="260" t="s">
        <v>690</v>
      </c>
      <c r="G891" s="260" t="s">
        <v>3066</v>
      </c>
      <c r="H891" s="260" t="s">
        <v>3169</v>
      </c>
      <c r="I891" s="260" t="s">
        <v>3191</v>
      </c>
      <c r="J891" s="260" t="s">
        <v>324</v>
      </c>
      <c r="K891" s="260" t="s">
        <v>3192</v>
      </c>
      <c r="L891" s="45" t="s">
        <v>309</v>
      </c>
      <c r="M891" s="391">
        <v>300000</v>
      </c>
      <c r="N891" s="45" t="s">
        <v>1206</v>
      </c>
    </row>
    <row r="892" spans="1:14">
      <c r="A892" s="123">
        <v>32</v>
      </c>
      <c r="B892" s="1120"/>
      <c r="C892" s="45" t="s">
        <v>3193</v>
      </c>
      <c r="D892" s="45" t="s">
        <v>311</v>
      </c>
      <c r="E892" s="45" t="s">
        <v>320</v>
      </c>
      <c r="F892" s="260" t="s">
        <v>690</v>
      </c>
      <c r="G892" s="260" t="s">
        <v>3066</v>
      </c>
      <c r="H892" s="260" t="s">
        <v>3169</v>
      </c>
      <c r="I892" s="260" t="s">
        <v>3191</v>
      </c>
      <c r="J892" s="260" t="s">
        <v>324</v>
      </c>
      <c r="K892" s="260" t="s">
        <v>3192</v>
      </c>
      <c r="L892" s="45" t="s">
        <v>309</v>
      </c>
      <c r="M892" s="391">
        <v>300000</v>
      </c>
      <c r="N892" s="45" t="s">
        <v>1206</v>
      </c>
    </row>
    <row r="893" spans="1:14">
      <c r="A893" s="123">
        <v>33</v>
      </c>
      <c r="B893" s="1118" t="s">
        <v>307</v>
      </c>
      <c r="C893" s="45" t="s">
        <v>3194</v>
      </c>
      <c r="D893" s="45" t="s">
        <v>306</v>
      </c>
      <c r="E893" s="45" t="s">
        <v>322</v>
      </c>
      <c r="F893" s="45" t="s">
        <v>307</v>
      </c>
      <c r="G893" s="260" t="s">
        <v>3051</v>
      </c>
      <c r="H893" s="45" t="s">
        <v>1993</v>
      </c>
      <c r="I893" s="260" t="s">
        <v>3195</v>
      </c>
      <c r="J893" s="45" t="s">
        <v>664</v>
      </c>
      <c r="K893" s="45" t="s">
        <v>3196</v>
      </c>
      <c r="L893" s="45">
        <v>2</v>
      </c>
      <c r="M893" s="391">
        <v>500000</v>
      </c>
      <c r="N893" s="45"/>
    </row>
    <row r="894" spans="1:14">
      <c r="A894" s="123">
        <v>33</v>
      </c>
      <c r="B894" s="1119"/>
      <c r="C894" s="45" t="s">
        <v>3197</v>
      </c>
      <c r="D894" s="45" t="s">
        <v>306</v>
      </c>
      <c r="E894" s="45" t="s">
        <v>322</v>
      </c>
      <c r="F894" s="45" t="s">
        <v>307</v>
      </c>
      <c r="G894" s="260" t="s">
        <v>3098</v>
      </c>
      <c r="H894" s="45" t="s">
        <v>3099</v>
      </c>
      <c r="I894" s="260" t="s">
        <v>3198</v>
      </c>
      <c r="J894" s="45" t="s">
        <v>664</v>
      </c>
      <c r="K894" s="45" t="s">
        <v>3196</v>
      </c>
      <c r="L894" s="45">
        <v>6</v>
      </c>
      <c r="M894" s="391">
        <v>1500000</v>
      </c>
      <c r="N894" s="45"/>
    </row>
    <row r="895" spans="1:14">
      <c r="A895" s="123">
        <v>33</v>
      </c>
      <c r="B895" s="1120"/>
      <c r="C895" s="45" t="s">
        <v>3199</v>
      </c>
      <c r="D895" s="45" t="s">
        <v>306</v>
      </c>
      <c r="E895" s="45" t="s">
        <v>322</v>
      </c>
      <c r="F895" s="45" t="s">
        <v>307</v>
      </c>
      <c r="G895" s="260">
        <v>1567</v>
      </c>
      <c r="H895" s="45" t="s">
        <v>3175</v>
      </c>
      <c r="I895" s="260" t="s">
        <v>1096</v>
      </c>
      <c r="J895" s="45" t="s">
        <v>664</v>
      </c>
      <c r="K895" s="45" t="s">
        <v>3200</v>
      </c>
      <c r="L895" s="45">
        <v>4</v>
      </c>
      <c r="M895" s="391">
        <v>1000000</v>
      </c>
      <c r="N895" s="45"/>
    </row>
    <row r="896" spans="1:14" ht="27">
      <c r="A896" s="123">
        <v>33</v>
      </c>
      <c r="B896" s="1118" t="s">
        <v>311</v>
      </c>
      <c r="C896" s="390" t="s">
        <v>3194</v>
      </c>
      <c r="D896" s="45" t="s">
        <v>311</v>
      </c>
      <c r="E896" s="45" t="s">
        <v>675</v>
      </c>
      <c r="F896" s="260" t="s">
        <v>3203</v>
      </c>
      <c r="G896" s="260" t="s">
        <v>3204</v>
      </c>
      <c r="H896" s="260" t="s">
        <v>405</v>
      </c>
      <c r="I896" s="260" t="s">
        <v>3205</v>
      </c>
      <c r="J896" s="260" t="s">
        <v>3206</v>
      </c>
      <c r="K896" s="260" t="s">
        <v>3207</v>
      </c>
      <c r="L896" s="45">
        <v>2</v>
      </c>
      <c r="M896" s="392" t="s">
        <v>3208</v>
      </c>
      <c r="N896" s="45" t="s">
        <v>3209</v>
      </c>
    </row>
    <row r="897" spans="1:14" ht="27">
      <c r="A897" s="123">
        <v>33</v>
      </c>
      <c r="B897" s="1119"/>
      <c r="C897" s="390" t="s">
        <v>3210</v>
      </c>
      <c r="D897" s="45" t="s">
        <v>311</v>
      </c>
      <c r="E897" s="45" t="s">
        <v>320</v>
      </c>
      <c r="F897" s="260" t="s">
        <v>2601</v>
      </c>
      <c r="G897" s="260" t="s">
        <v>1415</v>
      </c>
      <c r="H897" s="260" t="s">
        <v>1238</v>
      </c>
      <c r="I897" s="260" t="s">
        <v>3211</v>
      </c>
      <c r="J897" s="260" t="s">
        <v>3206</v>
      </c>
      <c r="K897" s="260" t="s">
        <v>3207</v>
      </c>
      <c r="L897" s="45">
        <v>1</v>
      </c>
      <c r="M897" s="391">
        <v>300000</v>
      </c>
      <c r="N897" s="45" t="s">
        <v>3212</v>
      </c>
    </row>
    <row r="898" spans="1:14">
      <c r="A898" s="123">
        <v>33</v>
      </c>
      <c r="B898" s="1120"/>
      <c r="C898" s="390" t="s">
        <v>3213</v>
      </c>
      <c r="D898" s="45" t="s">
        <v>311</v>
      </c>
      <c r="E898" s="45" t="s">
        <v>320</v>
      </c>
      <c r="F898" s="260" t="s">
        <v>690</v>
      </c>
      <c r="G898" s="260" t="s">
        <v>3066</v>
      </c>
      <c r="H898" s="260" t="s">
        <v>3214</v>
      </c>
      <c r="I898" s="260" t="s">
        <v>3215</v>
      </c>
      <c r="J898" s="260" t="s">
        <v>638</v>
      </c>
      <c r="K898" s="260" t="s">
        <v>3216</v>
      </c>
      <c r="L898" s="45">
        <v>1</v>
      </c>
      <c r="M898" s="391">
        <v>250000</v>
      </c>
      <c r="N898" s="45" t="s">
        <v>1772</v>
      </c>
    </row>
    <row r="899" spans="1:14">
      <c r="A899" s="123">
        <v>34</v>
      </c>
      <c r="B899" s="992" t="s">
        <v>20</v>
      </c>
      <c r="C899" s="127">
        <v>45887</v>
      </c>
      <c r="D899" s="4" t="s">
        <v>306</v>
      </c>
      <c r="E899" s="4" t="s">
        <v>322</v>
      </c>
      <c r="F899" s="4" t="s">
        <v>307</v>
      </c>
      <c r="G899" s="400" t="s">
        <v>3098</v>
      </c>
      <c r="H899" s="4" t="s">
        <v>3099</v>
      </c>
      <c r="I899" s="400" t="s">
        <v>3246</v>
      </c>
      <c r="J899" s="4" t="s">
        <v>168</v>
      </c>
      <c r="K899" s="4" t="s">
        <v>2838</v>
      </c>
      <c r="L899" s="4"/>
      <c r="M899" s="96">
        <v>500000</v>
      </c>
      <c r="N899" s="125"/>
    </row>
    <row r="900" spans="1:14">
      <c r="A900" s="123">
        <v>34</v>
      </c>
      <c r="B900" s="993"/>
      <c r="C900" s="92" t="s">
        <v>3224</v>
      </c>
      <c r="D900" s="4" t="s">
        <v>306</v>
      </c>
      <c r="E900" s="4" t="s">
        <v>322</v>
      </c>
      <c r="F900" s="4" t="s">
        <v>307</v>
      </c>
      <c r="G900" s="396">
        <v>1567</v>
      </c>
      <c r="H900" s="397" t="s">
        <v>482</v>
      </c>
      <c r="I900" s="9" t="s">
        <v>3225</v>
      </c>
      <c r="J900" s="4" t="s">
        <v>168</v>
      </c>
      <c r="K900" s="4" t="s">
        <v>3226</v>
      </c>
      <c r="L900" s="4"/>
      <c r="M900" s="96">
        <f>250000*5</f>
        <v>1250000</v>
      </c>
      <c r="N900" s="125"/>
    </row>
    <row r="901" spans="1:14">
      <c r="A901" s="123">
        <v>34</v>
      </c>
      <c r="B901" s="993"/>
      <c r="C901" s="92" t="s">
        <v>3233</v>
      </c>
      <c r="D901" s="4" t="s">
        <v>306</v>
      </c>
      <c r="E901" s="4" t="s">
        <v>322</v>
      </c>
      <c r="F901" s="4" t="s">
        <v>307</v>
      </c>
      <c r="G901" s="193" t="s">
        <v>3232</v>
      </c>
      <c r="H901" s="125" t="s">
        <v>34</v>
      </c>
      <c r="I901" s="193" t="s">
        <v>259</v>
      </c>
      <c r="J901" s="4" t="s">
        <v>168</v>
      </c>
      <c r="K901" s="4" t="s">
        <v>2828</v>
      </c>
      <c r="L901" s="125"/>
      <c r="M901" s="96">
        <v>500000</v>
      </c>
      <c r="N901" s="125"/>
    </row>
    <row r="902" spans="1:14">
      <c r="A902" s="123">
        <v>34</v>
      </c>
      <c r="B902" s="994"/>
      <c r="C902" s="92" t="s">
        <v>3234</v>
      </c>
      <c r="D902" s="4" t="s">
        <v>306</v>
      </c>
      <c r="E902" s="4" t="s">
        <v>322</v>
      </c>
      <c r="F902" s="4" t="s">
        <v>307</v>
      </c>
      <c r="G902" s="193" t="s">
        <v>2959</v>
      </c>
      <c r="H902" s="125" t="s">
        <v>1895</v>
      </c>
      <c r="I902" s="193" t="s">
        <v>259</v>
      </c>
      <c r="J902" s="4" t="s">
        <v>168</v>
      </c>
      <c r="K902" s="4" t="s">
        <v>2828</v>
      </c>
      <c r="L902" s="125"/>
      <c r="M902" s="96">
        <v>500000</v>
      </c>
      <c r="N902" s="125"/>
    </row>
    <row r="903" spans="1:14">
      <c r="A903" s="123">
        <v>34</v>
      </c>
      <c r="B903" s="992" t="s">
        <v>21</v>
      </c>
      <c r="C903" s="45" t="s">
        <v>3227</v>
      </c>
      <c r="D903" s="4" t="s">
        <v>21</v>
      </c>
      <c r="E903" s="4" t="s">
        <v>14</v>
      </c>
      <c r="F903" s="45" t="s">
        <v>1895</v>
      </c>
      <c r="G903" s="45" t="s">
        <v>2890</v>
      </c>
      <c r="H903" s="45" t="s">
        <v>83</v>
      </c>
      <c r="I903" s="45" t="s">
        <v>3228</v>
      </c>
      <c r="J903" s="45" t="s">
        <v>209</v>
      </c>
      <c r="K903" s="395" t="s">
        <v>692</v>
      </c>
      <c r="L903" s="125" t="s">
        <v>15</v>
      </c>
      <c r="M903" s="398">
        <v>500000</v>
      </c>
      <c r="N903" s="45" t="s">
        <v>3229</v>
      </c>
    </row>
    <row r="904" spans="1:14">
      <c r="A904" s="123">
        <v>34</v>
      </c>
      <c r="B904" s="993"/>
      <c r="C904" s="127">
        <v>45887</v>
      </c>
      <c r="D904" s="4" t="s">
        <v>21</v>
      </c>
      <c r="E904" s="4" t="s">
        <v>14</v>
      </c>
      <c r="F904" s="31" t="s">
        <v>1787</v>
      </c>
      <c r="G904" s="31" t="s">
        <v>2135</v>
      </c>
      <c r="H904" s="16" t="s">
        <v>143</v>
      </c>
      <c r="I904" s="238" t="s">
        <v>3078</v>
      </c>
      <c r="J904" s="31" t="s">
        <v>209</v>
      </c>
      <c r="K904" s="395" t="s">
        <v>692</v>
      </c>
      <c r="L904" s="125" t="s">
        <v>15</v>
      </c>
      <c r="M904" s="398">
        <v>500000</v>
      </c>
      <c r="N904" s="393" t="s">
        <v>978</v>
      </c>
    </row>
    <row r="905" spans="1:14">
      <c r="A905" s="123">
        <v>34</v>
      </c>
      <c r="B905" s="993"/>
      <c r="C905" s="127">
        <v>45887</v>
      </c>
      <c r="D905" s="4" t="s">
        <v>21</v>
      </c>
      <c r="E905" s="4" t="s">
        <v>14</v>
      </c>
      <c r="F905" s="31" t="s">
        <v>1787</v>
      </c>
      <c r="G905" s="31" t="s">
        <v>2135</v>
      </c>
      <c r="H905" s="16" t="s">
        <v>205</v>
      </c>
      <c r="I905" s="238" t="s">
        <v>3222</v>
      </c>
      <c r="J905" s="31"/>
      <c r="K905" s="395" t="s">
        <v>3074</v>
      </c>
      <c r="L905" s="125" t="s">
        <v>15</v>
      </c>
      <c r="M905" s="398">
        <v>300000</v>
      </c>
      <c r="N905" s="393" t="s">
        <v>978</v>
      </c>
    </row>
    <row r="906" spans="1:14" ht="27">
      <c r="A906" s="123">
        <v>34</v>
      </c>
      <c r="B906" s="993"/>
      <c r="C906" s="127">
        <v>45888</v>
      </c>
      <c r="D906" s="4" t="s">
        <v>21</v>
      </c>
      <c r="E906" s="4" t="s">
        <v>17</v>
      </c>
      <c r="F906" s="193" t="s">
        <v>3219</v>
      </c>
      <c r="G906" s="31" t="s">
        <v>362</v>
      </c>
      <c r="H906" s="16" t="s">
        <v>3220</v>
      </c>
      <c r="I906" s="193" t="s">
        <v>3221</v>
      </c>
      <c r="J906" s="31"/>
      <c r="K906" s="31" t="s">
        <v>3075</v>
      </c>
      <c r="L906" s="125" t="s">
        <v>15</v>
      </c>
      <c r="M906" s="398">
        <v>300000</v>
      </c>
      <c r="N906" s="394" t="s">
        <v>1876</v>
      </c>
    </row>
    <row r="907" spans="1:14">
      <c r="A907" s="123">
        <v>34</v>
      </c>
      <c r="B907" s="993"/>
      <c r="C907" s="127">
        <v>45888</v>
      </c>
      <c r="D907" s="4" t="s">
        <v>21</v>
      </c>
      <c r="E907" s="4" t="s">
        <v>14</v>
      </c>
      <c r="F907" s="31" t="s">
        <v>1787</v>
      </c>
      <c r="G907" s="31" t="s">
        <v>2135</v>
      </c>
      <c r="H907" s="16" t="s">
        <v>143</v>
      </c>
      <c r="I907" s="193" t="s">
        <v>3076</v>
      </c>
      <c r="J907" s="31" t="s">
        <v>90</v>
      </c>
      <c r="K907" s="386" t="s">
        <v>3077</v>
      </c>
      <c r="L907" s="125" t="s">
        <v>15</v>
      </c>
      <c r="M907" s="398">
        <v>250000</v>
      </c>
      <c r="N907" s="393" t="s">
        <v>978</v>
      </c>
    </row>
    <row r="908" spans="1:14">
      <c r="A908" s="123">
        <v>34</v>
      </c>
      <c r="B908" s="993"/>
      <c r="C908" s="127">
        <v>45888</v>
      </c>
      <c r="D908" s="4" t="s">
        <v>21</v>
      </c>
      <c r="E908" s="4" t="s">
        <v>14</v>
      </c>
      <c r="F908" s="31" t="s">
        <v>1787</v>
      </c>
      <c r="G908" s="31" t="s">
        <v>2135</v>
      </c>
      <c r="H908" s="16" t="s">
        <v>205</v>
      </c>
      <c r="I908" s="193" t="s">
        <v>3222</v>
      </c>
      <c r="J908" s="31"/>
      <c r="K908" s="395" t="s">
        <v>3074</v>
      </c>
      <c r="L908" s="125" t="s">
        <v>15</v>
      </c>
      <c r="M908" s="398">
        <v>300000</v>
      </c>
      <c r="N908" s="393" t="s">
        <v>978</v>
      </c>
    </row>
    <row r="909" spans="1:14">
      <c r="A909" s="123">
        <v>34</v>
      </c>
      <c r="B909" s="993"/>
      <c r="C909" s="127" t="s">
        <v>3230</v>
      </c>
      <c r="D909" s="4" t="s">
        <v>21</v>
      </c>
      <c r="E909" s="4" t="s">
        <v>14</v>
      </c>
      <c r="F909" s="31" t="s">
        <v>836</v>
      </c>
      <c r="G909" s="31" t="s">
        <v>1529</v>
      </c>
      <c r="H909" s="16" t="s">
        <v>3223</v>
      </c>
      <c r="I909" s="238" t="s">
        <v>3231</v>
      </c>
      <c r="J909" s="31"/>
      <c r="K909" s="386" t="s">
        <v>3077</v>
      </c>
      <c r="L909" s="125" t="s">
        <v>15</v>
      </c>
      <c r="M909" s="398">
        <v>500000</v>
      </c>
      <c r="N909" s="393" t="s">
        <v>978</v>
      </c>
    </row>
    <row r="910" spans="1:14" ht="27">
      <c r="A910" s="123">
        <v>34</v>
      </c>
      <c r="B910" s="994"/>
      <c r="C910" s="127">
        <v>45890</v>
      </c>
      <c r="D910" s="4" t="s">
        <v>21</v>
      </c>
      <c r="E910" s="4" t="s">
        <v>14</v>
      </c>
      <c r="F910" s="31" t="s">
        <v>78</v>
      </c>
      <c r="G910" s="31" t="s">
        <v>2759</v>
      </c>
      <c r="H910" s="16" t="s">
        <v>1382</v>
      </c>
      <c r="I910" s="193" t="s">
        <v>3217</v>
      </c>
      <c r="J910" s="31" t="s">
        <v>90</v>
      </c>
      <c r="K910" s="193" t="s">
        <v>999</v>
      </c>
      <c r="L910" s="125" t="s">
        <v>15</v>
      </c>
      <c r="M910" s="398">
        <v>300000</v>
      </c>
      <c r="N910" s="393" t="s">
        <v>978</v>
      </c>
    </row>
    <row r="911" spans="1:14" ht="40.5">
      <c r="A911" s="123">
        <v>35</v>
      </c>
      <c r="B911" s="992" t="s">
        <v>20</v>
      </c>
      <c r="C911" s="127" t="s">
        <v>3255</v>
      </c>
      <c r="D911" s="4" t="s">
        <v>306</v>
      </c>
      <c r="E911" s="4" t="s">
        <v>322</v>
      </c>
      <c r="F911" s="4" t="s">
        <v>307</v>
      </c>
      <c r="G911" s="193" t="s">
        <v>3019</v>
      </c>
      <c r="H911" s="125" t="s">
        <v>18</v>
      </c>
      <c r="I911" s="400" t="s">
        <v>259</v>
      </c>
      <c r="J911" s="4" t="s">
        <v>168</v>
      </c>
      <c r="K911" s="4" t="s">
        <v>2838</v>
      </c>
      <c r="L911" s="4"/>
      <c r="M911" s="96">
        <v>500000</v>
      </c>
      <c r="N911" s="125" t="s">
        <v>3252</v>
      </c>
    </row>
    <row r="912" spans="1:14" ht="40.5">
      <c r="A912" s="123">
        <v>35</v>
      </c>
      <c r="B912" s="993"/>
      <c r="C912" s="127" t="s">
        <v>3254</v>
      </c>
      <c r="D912" s="4" t="s">
        <v>306</v>
      </c>
      <c r="E912" s="4" t="s">
        <v>322</v>
      </c>
      <c r="F912" s="4" t="s">
        <v>307</v>
      </c>
      <c r="G912" s="193" t="s">
        <v>1968</v>
      </c>
      <c r="H912" s="125" t="s">
        <v>109</v>
      </c>
      <c r="I912" s="400" t="s">
        <v>3253</v>
      </c>
      <c r="J912" s="4" t="s">
        <v>168</v>
      </c>
      <c r="K912" s="4" t="s">
        <v>2838</v>
      </c>
      <c r="L912" s="4"/>
      <c r="M912" s="96">
        <v>500000</v>
      </c>
      <c r="N912" s="125" t="s">
        <v>3252</v>
      </c>
    </row>
    <row r="913" spans="1:14" ht="27">
      <c r="A913" s="123">
        <v>35</v>
      </c>
      <c r="B913" s="993"/>
      <c r="C913" s="127" t="s">
        <v>3249</v>
      </c>
      <c r="D913" s="4" t="s">
        <v>306</v>
      </c>
      <c r="E913" s="4" t="s">
        <v>322</v>
      </c>
      <c r="F913" s="4" t="s">
        <v>307</v>
      </c>
      <c r="G913" s="193" t="s">
        <v>2959</v>
      </c>
      <c r="H913" s="125" t="s">
        <v>1895</v>
      </c>
      <c r="I913" s="400" t="s">
        <v>259</v>
      </c>
      <c r="J913" s="4" t="s">
        <v>168</v>
      </c>
      <c r="K913" s="4" t="s">
        <v>3004</v>
      </c>
      <c r="L913" s="4"/>
      <c r="M913" s="96">
        <v>750000</v>
      </c>
      <c r="N913" s="125"/>
    </row>
    <row r="914" spans="1:14" ht="27">
      <c r="A914" s="123">
        <v>35</v>
      </c>
      <c r="B914" s="993"/>
      <c r="C914" s="92" t="s">
        <v>3250</v>
      </c>
      <c r="D914" s="4" t="s">
        <v>306</v>
      </c>
      <c r="E914" s="4" t="s">
        <v>322</v>
      </c>
      <c r="F914" s="4" t="s">
        <v>307</v>
      </c>
      <c r="G914" s="193" t="s">
        <v>3244</v>
      </c>
      <c r="H914" s="125" t="s">
        <v>23</v>
      </c>
      <c r="I914" s="400" t="s">
        <v>259</v>
      </c>
      <c r="J914" s="4" t="s">
        <v>168</v>
      </c>
      <c r="K914" s="4" t="s">
        <v>2838</v>
      </c>
      <c r="L914" s="4"/>
      <c r="M914" s="96">
        <v>500000</v>
      </c>
      <c r="N914" s="125"/>
    </row>
    <row r="915" spans="1:14" ht="27">
      <c r="A915" s="123">
        <v>35</v>
      </c>
      <c r="B915" s="993"/>
      <c r="C915" s="92" t="s">
        <v>3248</v>
      </c>
      <c r="D915" s="4" t="s">
        <v>306</v>
      </c>
      <c r="E915" s="4" t="s">
        <v>322</v>
      </c>
      <c r="F915" s="4" t="s">
        <v>307</v>
      </c>
      <c r="G915" s="193" t="s">
        <v>3245</v>
      </c>
      <c r="H915" s="125" t="s">
        <v>83</v>
      </c>
      <c r="I915" s="9" t="s">
        <v>3225</v>
      </c>
      <c r="J915" s="4" t="s">
        <v>168</v>
      </c>
      <c r="K915" s="4" t="s">
        <v>3226</v>
      </c>
      <c r="L915" s="125"/>
      <c r="M915" s="96">
        <v>1250000</v>
      </c>
      <c r="N915" s="125"/>
    </row>
    <row r="916" spans="1:14" ht="27">
      <c r="A916" s="123">
        <v>35</v>
      </c>
      <c r="B916" s="994"/>
      <c r="C916" s="92" t="s">
        <v>3248</v>
      </c>
      <c r="D916" s="4" t="s">
        <v>306</v>
      </c>
      <c r="E916" s="4" t="s">
        <v>322</v>
      </c>
      <c r="F916" s="4" t="s">
        <v>307</v>
      </c>
      <c r="G916" s="193" t="s">
        <v>2916</v>
      </c>
      <c r="H916" s="125" t="s">
        <v>2917</v>
      </c>
      <c r="I916" s="193" t="s">
        <v>3247</v>
      </c>
      <c r="J916" s="4" t="s">
        <v>168</v>
      </c>
      <c r="K916" s="4" t="s">
        <v>3251</v>
      </c>
      <c r="L916" s="125"/>
      <c r="M916" s="96">
        <v>1250000</v>
      </c>
      <c r="N916" s="125"/>
    </row>
    <row r="917" spans="1:14">
      <c r="A917" s="123">
        <v>35</v>
      </c>
      <c r="B917" s="992" t="s">
        <v>21</v>
      </c>
      <c r="C917" s="369">
        <v>45888</v>
      </c>
      <c r="D917" s="4" t="s">
        <v>21</v>
      </c>
      <c r="E917" s="4" t="s">
        <v>14</v>
      </c>
      <c r="F917" s="31" t="s">
        <v>1895</v>
      </c>
      <c r="G917" s="31">
        <v>3307</v>
      </c>
      <c r="H917" s="16" t="s">
        <v>811</v>
      </c>
      <c r="I917" s="193" t="s">
        <v>3238</v>
      </c>
      <c r="J917" s="31"/>
      <c r="K917" s="31" t="s">
        <v>686</v>
      </c>
      <c r="L917" s="125" t="s">
        <v>15</v>
      </c>
      <c r="M917" s="398">
        <v>250000</v>
      </c>
      <c r="N917" s="125" t="s">
        <v>3240</v>
      </c>
    </row>
    <row r="918" spans="1:14" ht="27">
      <c r="A918" s="123">
        <v>35</v>
      </c>
      <c r="B918" s="993"/>
      <c r="C918" s="127">
        <v>45888</v>
      </c>
      <c r="D918" s="4" t="s">
        <v>21</v>
      </c>
      <c r="E918" s="4" t="s">
        <v>14</v>
      </c>
      <c r="F918" s="31" t="s">
        <v>1787</v>
      </c>
      <c r="G918" s="31" t="s">
        <v>2135</v>
      </c>
      <c r="H918" s="16" t="s">
        <v>3242</v>
      </c>
      <c r="I918" s="193" t="s">
        <v>1385</v>
      </c>
      <c r="J918" s="31"/>
      <c r="K918" s="31" t="s">
        <v>3074</v>
      </c>
      <c r="L918" s="125" t="s">
        <v>15</v>
      </c>
      <c r="M918" s="398" t="s">
        <v>3259</v>
      </c>
      <c r="N918" s="125" t="s">
        <v>3240</v>
      </c>
    </row>
    <row r="919" spans="1:14">
      <c r="A919" s="123">
        <v>35</v>
      </c>
      <c r="B919" s="993"/>
      <c r="C919" s="369">
        <v>45890</v>
      </c>
      <c r="D919" s="4" t="s">
        <v>21</v>
      </c>
      <c r="E919" s="4" t="s">
        <v>17</v>
      </c>
      <c r="F919" s="31" t="s">
        <v>78</v>
      </c>
      <c r="G919" s="31" t="s">
        <v>1323</v>
      </c>
      <c r="H919" s="16" t="s">
        <v>34</v>
      </c>
      <c r="I919" s="193" t="s">
        <v>3235</v>
      </c>
      <c r="J919" s="31" t="s">
        <v>202</v>
      </c>
      <c r="K919" s="193" t="s">
        <v>999</v>
      </c>
      <c r="L919" s="125" t="s">
        <v>15</v>
      </c>
      <c r="M919" s="398">
        <v>300000</v>
      </c>
      <c r="N919" s="125" t="s">
        <v>3240</v>
      </c>
    </row>
    <row r="920" spans="1:14">
      <c r="A920" s="123">
        <v>35</v>
      </c>
      <c r="B920" s="993"/>
      <c r="C920" s="369">
        <v>45891</v>
      </c>
      <c r="D920" s="4" t="s">
        <v>21</v>
      </c>
      <c r="E920" s="4" t="s">
        <v>14</v>
      </c>
      <c r="F920" s="31" t="s">
        <v>107</v>
      </c>
      <c r="G920" s="31" t="s">
        <v>1971</v>
      </c>
      <c r="H920" s="16" t="s">
        <v>1952</v>
      </c>
      <c r="I920" s="193" t="s">
        <v>3236</v>
      </c>
      <c r="J920" s="31" t="s">
        <v>90</v>
      </c>
      <c r="K920" s="31" t="s">
        <v>686</v>
      </c>
      <c r="L920" s="125" t="s">
        <v>15</v>
      </c>
      <c r="M920" s="398">
        <v>250000</v>
      </c>
      <c r="N920" s="6" t="s">
        <v>3239</v>
      </c>
    </row>
    <row r="921" spans="1:14">
      <c r="A921" s="123">
        <v>35</v>
      </c>
      <c r="B921" s="993"/>
      <c r="C921" s="127">
        <v>45892</v>
      </c>
      <c r="D921" s="4" t="s">
        <v>21</v>
      </c>
      <c r="E921" s="4" t="s">
        <v>14</v>
      </c>
      <c r="F921" s="31" t="s">
        <v>1787</v>
      </c>
      <c r="G921" s="31" t="s">
        <v>2135</v>
      </c>
      <c r="H921" s="16" t="s">
        <v>1391</v>
      </c>
      <c r="I921" s="193" t="s">
        <v>3256</v>
      </c>
      <c r="J921" s="193" t="s">
        <v>90</v>
      </c>
      <c r="K921" s="193" t="s">
        <v>641</v>
      </c>
      <c r="L921" s="125" t="s">
        <v>15</v>
      </c>
      <c r="M921" s="398">
        <v>500000</v>
      </c>
      <c r="N921" s="6" t="s">
        <v>3239</v>
      </c>
    </row>
    <row r="922" spans="1:14">
      <c r="A922" s="123">
        <v>35</v>
      </c>
      <c r="B922" s="993"/>
      <c r="C922" s="127">
        <v>45894</v>
      </c>
      <c r="D922" s="4" t="s">
        <v>21</v>
      </c>
      <c r="E922" s="4" t="s">
        <v>14</v>
      </c>
      <c r="F922" s="31" t="s">
        <v>211</v>
      </c>
      <c r="G922" s="193" t="s">
        <v>2620</v>
      </c>
      <c r="H922" s="16" t="s">
        <v>3241</v>
      </c>
      <c r="I922" s="193" t="s">
        <v>3257</v>
      </c>
      <c r="J922" s="193"/>
      <c r="K922" s="31" t="s">
        <v>641</v>
      </c>
      <c r="L922" s="125" t="s">
        <v>15</v>
      </c>
      <c r="M922" s="398">
        <v>500000</v>
      </c>
      <c r="N922" s="6" t="s">
        <v>3243</v>
      </c>
    </row>
    <row r="923" spans="1:14" ht="27">
      <c r="A923" s="123">
        <v>35</v>
      </c>
      <c r="B923" s="993"/>
      <c r="C923" s="127">
        <v>45894</v>
      </c>
      <c r="D923" s="4" t="s">
        <v>21</v>
      </c>
      <c r="E923" s="4" t="s">
        <v>14</v>
      </c>
      <c r="F923" s="31" t="s">
        <v>1895</v>
      </c>
      <c r="G923" s="193" t="s">
        <v>2890</v>
      </c>
      <c r="H923" s="16" t="s">
        <v>83</v>
      </c>
      <c r="I923" s="193" t="s">
        <v>3260</v>
      </c>
      <c r="J923" s="193"/>
      <c r="K923" s="31" t="s">
        <v>1873</v>
      </c>
      <c r="L923" s="125" t="s">
        <v>15</v>
      </c>
      <c r="M923" s="398" t="s">
        <v>3259</v>
      </c>
      <c r="N923" s="6" t="s">
        <v>128</v>
      </c>
    </row>
    <row r="924" spans="1:14">
      <c r="A924" s="123">
        <v>35</v>
      </c>
      <c r="B924" s="993"/>
      <c r="C924" s="369">
        <v>45895</v>
      </c>
      <c r="D924" s="4" t="s">
        <v>21</v>
      </c>
      <c r="E924" s="4" t="s">
        <v>14</v>
      </c>
      <c r="F924" s="4" t="s">
        <v>107</v>
      </c>
      <c r="G924" s="31" t="s">
        <v>1968</v>
      </c>
      <c r="H924" s="16" t="s">
        <v>143</v>
      </c>
      <c r="I924" s="193" t="s">
        <v>3218</v>
      </c>
      <c r="J924" s="31" t="s">
        <v>90</v>
      </c>
      <c r="K924" s="386" t="s">
        <v>3077</v>
      </c>
      <c r="L924" s="125" t="s">
        <v>15</v>
      </c>
      <c r="M924" s="398">
        <v>250000</v>
      </c>
      <c r="N924" s="6" t="s">
        <v>3243</v>
      </c>
    </row>
    <row r="925" spans="1:14">
      <c r="A925" s="123">
        <v>35</v>
      </c>
      <c r="B925" s="993"/>
      <c r="C925" s="127">
        <v>45897</v>
      </c>
      <c r="D925" s="4" t="s">
        <v>21</v>
      </c>
      <c r="E925" s="4" t="s">
        <v>14</v>
      </c>
      <c r="F925" s="4" t="s">
        <v>107</v>
      </c>
      <c r="G925" s="31" t="s">
        <v>1968</v>
      </c>
      <c r="H925" s="16" t="s">
        <v>143</v>
      </c>
      <c r="I925" s="193" t="s">
        <v>399</v>
      </c>
      <c r="J925" s="31" t="s">
        <v>90</v>
      </c>
      <c r="K925" s="386" t="s">
        <v>3077</v>
      </c>
      <c r="L925" s="125" t="s">
        <v>15</v>
      </c>
      <c r="M925" s="398">
        <v>250000</v>
      </c>
      <c r="N925" s="6" t="s">
        <v>128</v>
      </c>
    </row>
    <row r="926" spans="1:14" ht="18" customHeight="1">
      <c r="A926" s="123">
        <v>35</v>
      </c>
      <c r="B926" s="994"/>
      <c r="C926" s="369">
        <v>45898</v>
      </c>
      <c r="D926" s="4" t="s">
        <v>21</v>
      </c>
      <c r="E926" s="4" t="s">
        <v>17</v>
      </c>
      <c r="F926" s="31" t="s">
        <v>1787</v>
      </c>
      <c r="G926" s="31" t="s">
        <v>851</v>
      </c>
      <c r="H926" s="16" t="s">
        <v>102</v>
      </c>
      <c r="I926" s="193" t="s">
        <v>3237</v>
      </c>
      <c r="J926" s="193" t="s">
        <v>90</v>
      </c>
      <c r="K926" s="386" t="s">
        <v>3077</v>
      </c>
      <c r="L926" s="125" t="s">
        <v>15</v>
      </c>
      <c r="M926" s="398">
        <v>250000</v>
      </c>
      <c r="N926" s="6" t="s">
        <v>3258</v>
      </c>
    </row>
    <row r="927" spans="1:14">
      <c r="A927" s="123">
        <v>36</v>
      </c>
      <c r="B927" s="970" t="s">
        <v>3412</v>
      </c>
      <c r="C927" s="127" t="s">
        <v>3414</v>
      </c>
      <c r="D927" s="4" t="s">
        <v>306</v>
      </c>
      <c r="E927" s="4" t="s">
        <v>322</v>
      </c>
      <c r="F927" s="4" t="s">
        <v>307</v>
      </c>
      <c r="G927" s="193" t="s">
        <v>3415</v>
      </c>
      <c r="H927" s="125" t="s">
        <v>3416</v>
      </c>
      <c r="I927" s="400" t="s">
        <v>3417</v>
      </c>
      <c r="J927" s="4" t="s">
        <v>3418</v>
      </c>
      <c r="K927" s="4" t="s">
        <v>3004</v>
      </c>
      <c r="L927" s="4"/>
      <c r="M927" s="96">
        <f>3*250000</f>
        <v>750000</v>
      </c>
      <c r="N927" s="125"/>
    </row>
    <row r="928" spans="1:14">
      <c r="A928" s="123">
        <v>36</v>
      </c>
      <c r="B928" s="970"/>
      <c r="C928" s="127" t="s">
        <v>3419</v>
      </c>
      <c r="D928" s="4" t="s">
        <v>306</v>
      </c>
      <c r="E928" s="4" t="s">
        <v>322</v>
      </c>
      <c r="F928" s="4" t="s">
        <v>307</v>
      </c>
      <c r="G928" s="193" t="s">
        <v>3420</v>
      </c>
      <c r="H928" s="125" t="s">
        <v>3421</v>
      </c>
      <c r="I928" s="400" t="s">
        <v>3422</v>
      </c>
      <c r="J928" s="4" t="s">
        <v>737</v>
      </c>
      <c r="K928" s="4" t="s">
        <v>2838</v>
      </c>
      <c r="L928" s="4"/>
      <c r="M928" s="96">
        <f>2*250000</f>
        <v>500000</v>
      </c>
      <c r="N928" s="125"/>
    </row>
    <row r="929" spans="1:14">
      <c r="A929" s="123">
        <v>36</v>
      </c>
      <c r="B929" s="970"/>
      <c r="C929" s="127" t="s">
        <v>3423</v>
      </c>
      <c r="D929" s="4" t="s">
        <v>306</v>
      </c>
      <c r="E929" s="4" t="s">
        <v>322</v>
      </c>
      <c r="F929" s="4" t="s">
        <v>307</v>
      </c>
      <c r="G929" s="193" t="s">
        <v>3424</v>
      </c>
      <c r="H929" s="125" t="s">
        <v>376</v>
      </c>
      <c r="I929" s="400" t="s">
        <v>3425</v>
      </c>
      <c r="J929" s="4" t="s">
        <v>737</v>
      </c>
      <c r="K929" s="4" t="s">
        <v>3426</v>
      </c>
      <c r="L929" s="4"/>
      <c r="M929" s="96">
        <f>250000*5</f>
        <v>1250000</v>
      </c>
      <c r="N929" s="125"/>
    </row>
    <row r="930" spans="1:14">
      <c r="A930" s="123">
        <v>36</v>
      </c>
      <c r="B930" s="970"/>
      <c r="C930" s="127" t="s">
        <v>3413</v>
      </c>
      <c r="D930" s="4" t="s">
        <v>306</v>
      </c>
      <c r="E930" s="4" t="s">
        <v>322</v>
      </c>
      <c r="F930" s="4" t="s">
        <v>307</v>
      </c>
      <c r="G930" s="193" t="s">
        <v>3427</v>
      </c>
      <c r="H930" s="125" t="s">
        <v>207</v>
      </c>
      <c r="I930" s="400" t="s">
        <v>3428</v>
      </c>
      <c r="J930" s="4" t="s">
        <v>3429</v>
      </c>
      <c r="K930" s="4" t="s">
        <v>3430</v>
      </c>
      <c r="L930" s="4"/>
      <c r="M930" s="96">
        <f>3*250000</f>
        <v>750000</v>
      </c>
      <c r="N930" s="125"/>
    </row>
    <row r="931" spans="1:14">
      <c r="A931" s="123">
        <v>36</v>
      </c>
      <c r="B931" s="970"/>
      <c r="C931" s="127" t="s">
        <v>3419</v>
      </c>
      <c r="D931" s="4" t="s">
        <v>306</v>
      </c>
      <c r="E931" s="4" t="s">
        <v>322</v>
      </c>
      <c r="F931" s="4" t="s">
        <v>307</v>
      </c>
      <c r="G931" s="193" t="s">
        <v>3431</v>
      </c>
      <c r="H931" s="125" t="s">
        <v>207</v>
      </c>
      <c r="I931" s="400" t="s">
        <v>3425</v>
      </c>
      <c r="J931" s="4" t="s">
        <v>3429</v>
      </c>
      <c r="K931" s="4" t="s">
        <v>3432</v>
      </c>
      <c r="L931" s="4"/>
      <c r="M931" s="96">
        <f>2*250000</f>
        <v>500000</v>
      </c>
      <c r="N931" s="125"/>
    </row>
    <row r="932" spans="1:14" ht="27">
      <c r="A932" s="123">
        <v>36</v>
      </c>
      <c r="B932" s="970" t="s">
        <v>3433</v>
      </c>
      <c r="C932" s="369">
        <v>45896</v>
      </c>
      <c r="D932" s="4" t="s">
        <v>3433</v>
      </c>
      <c r="E932" s="4" t="s">
        <v>3434</v>
      </c>
      <c r="F932" s="31" t="s">
        <v>3421</v>
      </c>
      <c r="G932" s="193" t="s">
        <v>3435</v>
      </c>
      <c r="H932" s="16" t="s">
        <v>3436</v>
      </c>
      <c r="I932" s="193" t="s">
        <v>3437</v>
      </c>
      <c r="J932" s="31"/>
      <c r="K932" s="193" t="s">
        <v>3438</v>
      </c>
      <c r="L932" s="125" t="s">
        <v>3439</v>
      </c>
      <c r="M932" s="60" t="s">
        <v>3440</v>
      </c>
      <c r="N932" s="6" t="s">
        <v>3441</v>
      </c>
    </row>
    <row r="933" spans="1:14">
      <c r="A933" s="123">
        <v>36</v>
      </c>
      <c r="B933" s="970"/>
      <c r="C933" s="369" t="s">
        <v>3442</v>
      </c>
      <c r="D933" s="4" t="s">
        <v>3433</v>
      </c>
      <c r="E933" s="4" t="s">
        <v>3434</v>
      </c>
      <c r="F933" s="396" t="s">
        <v>3443</v>
      </c>
      <c r="G933" s="9" t="s">
        <v>3444</v>
      </c>
      <c r="H933" s="397" t="s">
        <v>3445</v>
      </c>
      <c r="I933" s="9" t="s">
        <v>3446</v>
      </c>
      <c r="J933" s="396"/>
      <c r="K933" s="396" t="s">
        <v>3447</v>
      </c>
      <c r="L933" s="4" t="s">
        <v>3439</v>
      </c>
      <c r="M933" s="406">
        <v>500000</v>
      </c>
      <c r="N933" s="6" t="s">
        <v>3448</v>
      </c>
    </row>
    <row r="934" spans="1:14" ht="27">
      <c r="A934" s="123">
        <v>36</v>
      </c>
      <c r="B934" s="970"/>
      <c r="C934" s="369" t="s">
        <v>3442</v>
      </c>
      <c r="D934" s="4" t="s">
        <v>3433</v>
      </c>
      <c r="E934" s="4" t="s">
        <v>3434</v>
      </c>
      <c r="F934" s="31" t="s">
        <v>3449</v>
      </c>
      <c r="G934" s="31" t="s">
        <v>3450</v>
      </c>
      <c r="H934" s="16" t="s">
        <v>3451</v>
      </c>
      <c r="I934" s="193" t="s">
        <v>3452</v>
      </c>
      <c r="J934" s="193" t="s">
        <v>3453</v>
      </c>
      <c r="K934" s="386" t="s">
        <v>3454</v>
      </c>
      <c r="L934" s="125" t="s">
        <v>3439</v>
      </c>
      <c r="M934" s="406">
        <v>250000</v>
      </c>
      <c r="N934" s="6" t="s">
        <v>3441</v>
      </c>
    </row>
    <row r="935" spans="1:14" ht="27">
      <c r="A935" s="123">
        <v>36</v>
      </c>
      <c r="B935" s="970"/>
      <c r="C935" s="369">
        <v>45901</v>
      </c>
      <c r="D935" s="4" t="s">
        <v>3433</v>
      </c>
      <c r="E935" s="4" t="s">
        <v>3434</v>
      </c>
      <c r="F935" s="31" t="s">
        <v>3455</v>
      </c>
      <c r="G935" s="31" t="s">
        <v>3456</v>
      </c>
      <c r="H935" s="16" t="s">
        <v>3457</v>
      </c>
      <c r="I935" s="193" t="s">
        <v>3458</v>
      </c>
      <c r="J935" s="31" t="s">
        <v>3459</v>
      </c>
      <c r="K935" s="193" t="s">
        <v>3460</v>
      </c>
      <c r="L935" s="125" t="s">
        <v>3439</v>
      </c>
      <c r="M935" s="406">
        <v>250000</v>
      </c>
      <c r="N935" s="6" t="s">
        <v>3461</v>
      </c>
    </row>
    <row r="936" spans="1:14" ht="27">
      <c r="A936" s="123">
        <v>36</v>
      </c>
      <c r="B936" s="970"/>
      <c r="C936" s="369">
        <v>45902</v>
      </c>
      <c r="D936" s="4" t="s">
        <v>3433</v>
      </c>
      <c r="E936" s="4" t="s">
        <v>3434</v>
      </c>
      <c r="F936" s="31" t="s">
        <v>3455</v>
      </c>
      <c r="G936" s="31" t="s">
        <v>3456</v>
      </c>
      <c r="H936" s="16" t="s">
        <v>3457</v>
      </c>
      <c r="I936" s="193" t="s">
        <v>3458</v>
      </c>
      <c r="J936" s="31" t="s">
        <v>3453</v>
      </c>
      <c r="K936" s="193" t="s">
        <v>3460</v>
      </c>
      <c r="L936" s="125" t="s">
        <v>3439</v>
      </c>
      <c r="M936" s="406">
        <v>250000</v>
      </c>
      <c r="N936" s="6" t="s">
        <v>3461</v>
      </c>
    </row>
    <row r="937" spans="1:14" ht="27">
      <c r="A937" s="123">
        <v>36</v>
      </c>
      <c r="B937" s="970"/>
      <c r="C937" s="369">
        <v>45902</v>
      </c>
      <c r="D937" s="4" t="s">
        <v>3433</v>
      </c>
      <c r="E937" s="4" t="s">
        <v>3434</v>
      </c>
      <c r="F937" s="31" t="s">
        <v>3455</v>
      </c>
      <c r="G937" s="31" t="s">
        <v>3462</v>
      </c>
      <c r="H937" s="16" t="s">
        <v>3436</v>
      </c>
      <c r="I937" s="193" t="s">
        <v>3463</v>
      </c>
      <c r="J937" s="31"/>
      <c r="K937" s="193" t="s">
        <v>3438</v>
      </c>
      <c r="L937" s="125" t="s">
        <v>3439</v>
      </c>
      <c r="M937" s="60" t="s">
        <v>3440</v>
      </c>
      <c r="N937" s="6" t="s">
        <v>3464</v>
      </c>
    </row>
    <row r="938" spans="1:14">
      <c r="A938" s="123">
        <v>36</v>
      </c>
      <c r="B938" s="970"/>
      <c r="C938" s="127">
        <v>45905</v>
      </c>
      <c r="D938" s="4" t="s">
        <v>3433</v>
      </c>
      <c r="E938" s="4" t="s">
        <v>3434</v>
      </c>
      <c r="F938" s="31" t="s">
        <v>3455</v>
      </c>
      <c r="G938" s="31" t="s">
        <v>3456</v>
      </c>
      <c r="H938" s="16" t="s">
        <v>3465</v>
      </c>
      <c r="I938" s="193" t="s">
        <v>3466</v>
      </c>
      <c r="J938" s="31" t="s">
        <v>3453</v>
      </c>
      <c r="K938" s="193" t="s">
        <v>3460</v>
      </c>
      <c r="L938" s="125" t="s">
        <v>3439</v>
      </c>
      <c r="M938" s="406">
        <v>500000</v>
      </c>
      <c r="N938" s="6" t="s">
        <v>3461</v>
      </c>
    </row>
    <row r="939" spans="1:14">
      <c r="A939" s="123">
        <v>37</v>
      </c>
      <c r="B939" s="970" t="s">
        <v>3467</v>
      </c>
      <c r="C939" s="127" t="s">
        <v>3468</v>
      </c>
      <c r="D939" s="4" t="s">
        <v>306</v>
      </c>
      <c r="E939" s="4" t="s">
        <v>322</v>
      </c>
      <c r="F939" s="4" t="s">
        <v>307</v>
      </c>
      <c r="G939" s="193">
        <v>1567</v>
      </c>
      <c r="H939" s="125" t="s">
        <v>3469</v>
      </c>
      <c r="I939" s="400" t="s">
        <v>3422</v>
      </c>
      <c r="J939" s="4" t="s">
        <v>3429</v>
      </c>
      <c r="K939" s="4" t="s">
        <v>3470</v>
      </c>
      <c r="L939" s="4"/>
      <c r="M939" s="96">
        <f>250000*5</f>
        <v>1250000</v>
      </c>
      <c r="N939" s="125"/>
    </row>
    <row r="940" spans="1:14">
      <c r="A940" s="123">
        <v>37</v>
      </c>
      <c r="B940" s="970"/>
      <c r="C940" s="127" t="s">
        <v>3471</v>
      </c>
      <c r="D940" s="4" t="s">
        <v>306</v>
      </c>
      <c r="E940" s="4" t="s">
        <v>322</v>
      </c>
      <c r="F940" s="4" t="s">
        <v>307</v>
      </c>
      <c r="G940" s="193" t="s">
        <v>3472</v>
      </c>
      <c r="H940" s="125" t="s">
        <v>376</v>
      </c>
      <c r="I940" s="400" t="s">
        <v>3400</v>
      </c>
      <c r="J940" s="4" t="s">
        <v>737</v>
      </c>
      <c r="K940" s="4" t="s">
        <v>3473</v>
      </c>
      <c r="L940" s="4"/>
      <c r="M940" s="96">
        <f>250000*5</f>
        <v>1250000</v>
      </c>
      <c r="N940" s="125"/>
    </row>
    <row r="941" spans="1:14">
      <c r="A941" s="123">
        <v>37</v>
      </c>
      <c r="B941" s="970"/>
      <c r="C941" s="127" t="s">
        <v>3474</v>
      </c>
      <c r="D941" s="4" t="s">
        <v>306</v>
      </c>
      <c r="E941" s="4" t="s">
        <v>322</v>
      </c>
      <c r="F941" s="4" t="s">
        <v>307</v>
      </c>
      <c r="G941" s="193" t="s">
        <v>3476</v>
      </c>
      <c r="H941" s="125" t="s">
        <v>264</v>
      </c>
      <c r="I941" s="400" t="s">
        <v>3477</v>
      </c>
      <c r="J941" s="4" t="s">
        <v>3418</v>
      </c>
      <c r="K941" s="4" t="s">
        <v>3478</v>
      </c>
      <c r="L941" s="4"/>
      <c r="M941" s="96">
        <f>3*250000</f>
        <v>750000</v>
      </c>
      <c r="N941" s="125"/>
    </row>
    <row r="942" spans="1:14">
      <c r="A942" s="123">
        <v>37</v>
      </c>
      <c r="B942" s="970"/>
      <c r="C942" s="127" t="s">
        <v>3479</v>
      </c>
      <c r="D942" s="4" t="s">
        <v>306</v>
      </c>
      <c r="E942" s="4" t="s">
        <v>322</v>
      </c>
      <c r="F942" s="4" t="s">
        <v>307</v>
      </c>
      <c r="G942" s="193" t="s">
        <v>3480</v>
      </c>
      <c r="H942" s="125" t="s">
        <v>3481</v>
      </c>
      <c r="I942" s="400" t="s">
        <v>3482</v>
      </c>
      <c r="J942" s="4" t="s">
        <v>3483</v>
      </c>
      <c r="K942" s="4" t="s">
        <v>3484</v>
      </c>
      <c r="L942" s="4"/>
      <c r="M942" s="96">
        <f>2*250000</f>
        <v>500000</v>
      </c>
      <c r="N942" s="125"/>
    </row>
    <row r="943" spans="1:14" ht="27">
      <c r="A943" s="123">
        <v>37</v>
      </c>
      <c r="B943" s="970" t="s">
        <v>3485</v>
      </c>
      <c r="C943" s="369">
        <v>45901</v>
      </c>
      <c r="D943" s="4" t="s">
        <v>3486</v>
      </c>
      <c r="E943" s="4" t="s">
        <v>3487</v>
      </c>
      <c r="F943" s="31" t="s">
        <v>3488</v>
      </c>
      <c r="G943" s="31" t="s">
        <v>2713</v>
      </c>
      <c r="H943" s="16" t="s">
        <v>3489</v>
      </c>
      <c r="I943" s="193" t="s">
        <v>3490</v>
      </c>
      <c r="J943" s="31" t="s">
        <v>3491</v>
      </c>
      <c r="K943" s="193" t="s">
        <v>3492</v>
      </c>
      <c r="L943" s="125" t="s">
        <v>3493</v>
      </c>
      <c r="M943" s="60" t="s">
        <v>3494</v>
      </c>
      <c r="N943" s="6" t="s">
        <v>3495</v>
      </c>
    </row>
    <row r="944" spans="1:14">
      <c r="A944" s="123">
        <v>37</v>
      </c>
      <c r="B944" s="970"/>
      <c r="C944" s="369">
        <v>45902</v>
      </c>
      <c r="D944" s="4" t="s">
        <v>3485</v>
      </c>
      <c r="E944" s="4" t="s">
        <v>3496</v>
      </c>
      <c r="F944" s="4" t="s">
        <v>3497</v>
      </c>
      <c r="G944" s="407" t="s">
        <v>3498</v>
      </c>
      <c r="H944" s="16" t="s">
        <v>3499</v>
      </c>
      <c r="I944" s="193" t="s">
        <v>3500</v>
      </c>
      <c r="J944" s="31"/>
      <c r="K944" s="386" t="s">
        <v>3501</v>
      </c>
      <c r="L944" s="125" t="s">
        <v>3439</v>
      </c>
      <c r="M944" s="60">
        <v>250000</v>
      </c>
      <c r="N944" s="6" t="s">
        <v>3495</v>
      </c>
    </row>
    <row r="945" spans="1:14" ht="27">
      <c r="A945" s="123">
        <v>37</v>
      </c>
      <c r="B945" s="970"/>
      <c r="C945" s="369">
        <v>45905</v>
      </c>
      <c r="D945" s="4" t="s">
        <v>3502</v>
      </c>
      <c r="E945" s="4" t="s">
        <v>3503</v>
      </c>
      <c r="F945" s="31" t="s">
        <v>3504</v>
      </c>
      <c r="G945" s="31" t="s">
        <v>3505</v>
      </c>
      <c r="H945" s="16" t="s">
        <v>3506</v>
      </c>
      <c r="I945" s="193" t="s">
        <v>3507</v>
      </c>
      <c r="J945" s="31"/>
      <c r="K945" s="31" t="s">
        <v>3508</v>
      </c>
      <c r="L945" s="125" t="s">
        <v>3509</v>
      </c>
      <c r="M945" s="60" t="s">
        <v>3510</v>
      </c>
      <c r="N945" s="6" t="s">
        <v>3511</v>
      </c>
    </row>
    <row r="946" spans="1:14">
      <c r="A946" s="123">
        <v>37</v>
      </c>
      <c r="B946" s="970"/>
      <c r="C946" s="369">
        <v>45906</v>
      </c>
      <c r="D946" s="4" t="s">
        <v>3512</v>
      </c>
      <c r="E946" s="4" t="s">
        <v>3496</v>
      </c>
      <c r="F946" s="31" t="s">
        <v>3513</v>
      </c>
      <c r="G946" s="31" t="s">
        <v>2462</v>
      </c>
      <c r="H946" s="16" t="s">
        <v>3514</v>
      </c>
      <c r="I946" s="193" t="s">
        <v>3515</v>
      </c>
      <c r="J946" s="193"/>
      <c r="K946" s="193" t="s">
        <v>3516</v>
      </c>
      <c r="L946" s="125" t="s">
        <v>84</v>
      </c>
      <c r="M946" s="406">
        <v>250000</v>
      </c>
      <c r="N946" s="6" t="s">
        <v>3517</v>
      </c>
    </row>
    <row r="947" spans="1:14">
      <c r="A947" s="123">
        <v>37</v>
      </c>
      <c r="B947" s="970"/>
      <c r="C947" s="369">
        <v>45906</v>
      </c>
      <c r="D947" s="4" t="s">
        <v>21</v>
      </c>
      <c r="E947" s="4" t="s">
        <v>3518</v>
      </c>
      <c r="F947" s="31" t="s">
        <v>1787</v>
      </c>
      <c r="G947" s="31" t="s">
        <v>2462</v>
      </c>
      <c r="H947" s="16" t="s">
        <v>3519</v>
      </c>
      <c r="I947" s="193" t="s">
        <v>3520</v>
      </c>
      <c r="J947" s="193" t="s">
        <v>3521</v>
      </c>
      <c r="K947" s="386" t="s">
        <v>3522</v>
      </c>
      <c r="L947" s="125" t="s">
        <v>3523</v>
      </c>
      <c r="M947" s="406">
        <v>250000</v>
      </c>
      <c r="N947" s="6" t="s">
        <v>3495</v>
      </c>
    </row>
    <row r="948" spans="1:14" ht="27">
      <c r="A948" s="123">
        <v>37</v>
      </c>
      <c r="B948" s="970"/>
      <c r="C948" s="369">
        <v>45908</v>
      </c>
      <c r="D948" s="4" t="s">
        <v>3485</v>
      </c>
      <c r="E948" s="4" t="s">
        <v>3503</v>
      </c>
      <c r="F948" s="31" t="s">
        <v>2130</v>
      </c>
      <c r="G948" s="31" t="s">
        <v>3524</v>
      </c>
      <c r="H948" s="16" t="s">
        <v>3525</v>
      </c>
      <c r="I948" s="193" t="s">
        <v>3526</v>
      </c>
      <c r="J948" s="31" t="s">
        <v>3521</v>
      </c>
      <c r="K948" s="193" t="s">
        <v>3527</v>
      </c>
      <c r="L948" s="125" t="s">
        <v>3523</v>
      </c>
      <c r="M948" s="60" t="s">
        <v>3510</v>
      </c>
      <c r="N948" s="6" t="s">
        <v>3528</v>
      </c>
    </row>
    <row r="949" spans="1:14">
      <c r="A949" s="123">
        <v>37</v>
      </c>
      <c r="B949" s="970"/>
      <c r="C949" s="369">
        <v>45908</v>
      </c>
      <c r="D949" s="4" t="s">
        <v>3485</v>
      </c>
      <c r="E949" s="4" t="s">
        <v>3434</v>
      </c>
      <c r="F949" s="31" t="s">
        <v>3529</v>
      </c>
      <c r="G949" s="31" t="s">
        <v>3530</v>
      </c>
      <c r="H949" s="16" t="s">
        <v>3531</v>
      </c>
      <c r="I949" s="193" t="s">
        <v>3532</v>
      </c>
      <c r="J949" s="31"/>
      <c r="K949" s="193" t="s">
        <v>3533</v>
      </c>
      <c r="L949" s="125" t="s">
        <v>3493</v>
      </c>
      <c r="M949" s="406">
        <v>500000</v>
      </c>
      <c r="N949" s="6" t="s">
        <v>3397</v>
      </c>
    </row>
    <row r="950" spans="1:14">
      <c r="A950" s="123">
        <v>37</v>
      </c>
      <c r="B950" s="970"/>
      <c r="C950" s="369">
        <v>45909</v>
      </c>
      <c r="D950" s="4" t="s">
        <v>3485</v>
      </c>
      <c r="E950" s="4" t="s">
        <v>3503</v>
      </c>
      <c r="F950" s="31" t="s">
        <v>3534</v>
      </c>
      <c r="G950" s="31" t="s">
        <v>3535</v>
      </c>
      <c r="H950" s="16" t="s">
        <v>3499</v>
      </c>
      <c r="I950" s="193" t="s">
        <v>3536</v>
      </c>
      <c r="J950" s="31" t="s">
        <v>120</v>
      </c>
      <c r="K950" s="193" t="s">
        <v>3537</v>
      </c>
      <c r="L950" s="125" t="s">
        <v>3538</v>
      </c>
      <c r="M950" s="406">
        <v>500000</v>
      </c>
      <c r="N950" s="6" t="s">
        <v>3539</v>
      </c>
    </row>
    <row r="951" spans="1:14">
      <c r="A951" s="123">
        <v>37</v>
      </c>
      <c r="B951" s="970"/>
      <c r="C951" s="369">
        <v>45910</v>
      </c>
      <c r="D951" s="4" t="s">
        <v>3540</v>
      </c>
      <c r="E951" s="4" t="s">
        <v>3541</v>
      </c>
      <c r="F951" s="31" t="s">
        <v>3542</v>
      </c>
      <c r="G951" s="31" t="s">
        <v>3524</v>
      </c>
      <c r="H951" s="16" t="s">
        <v>3543</v>
      </c>
      <c r="I951" s="193" t="s">
        <v>3544</v>
      </c>
      <c r="J951" s="31" t="s">
        <v>3545</v>
      </c>
      <c r="K951" s="384" t="s">
        <v>3546</v>
      </c>
      <c r="L951" s="125" t="s">
        <v>84</v>
      </c>
      <c r="M951" s="406">
        <v>1000000</v>
      </c>
      <c r="N951" s="6" t="s">
        <v>3547</v>
      </c>
    </row>
    <row r="952" spans="1:14">
      <c r="A952" s="123">
        <v>37</v>
      </c>
      <c r="B952" s="970"/>
      <c r="C952" s="369">
        <v>45911</v>
      </c>
      <c r="D952" s="4" t="s">
        <v>3540</v>
      </c>
      <c r="E952" s="4" t="s">
        <v>3548</v>
      </c>
      <c r="F952" s="31" t="s">
        <v>3549</v>
      </c>
      <c r="G952" s="31" t="s">
        <v>3550</v>
      </c>
      <c r="H952" s="16" t="s">
        <v>3525</v>
      </c>
      <c r="I952" s="193" t="s">
        <v>3551</v>
      </c>
      <c r="J952" s="31" t="s">
        <v>3453</v>
      </c>
      <c r="K952" s="193" t="s">
        <v>3552</v>
      </c>
      <c r="L952" s="125" t="s">
        <v>3553</v>
      </c>
      <c r="M952" s="93">
        <v>250000</v>
      </c>
      <c r="N952" s="6" t="s">
        <v>1651</v>
      </c>
    </row>
    <row r="953" spans="1:14">
      <c r="A953" s="123">
        <v>37</v>
      </c>
      <c r="B953" s="970"/>
      <c r="C953" s="369">
        <v>45912</v>
      </c>
      <c r="D953" s="4" t="s">
        <v>3554</v>
      </c>
      <c r="E953" s="4" t="s">
        <v>3555</v>
      </c>
      <c r="F953" s="31" t="s">
        <v>3542</v>
      </c>
      <c r="G953" s="31" t="s">
        <v>2713</v>
      </c>
      <c r="H953" s="16" t="s">
        <v>3525</v>
      </c>
      <c r="I953" s="193" t="s">
        <v>303</v>
      </c>
      <c r="J953" s="31" t="s">
        <v>3491</v>
      </c>
      <c r="K953" s="193" t="s">
        <v>3556</v>
      </c>
      <c r="L953" s="125" t="s">
        <v>3509</v>
      </c>
      <c r="M953" s="406">
        <v>250000</v>
      </c>
      <c r="N953" s="6" t="s">
        <v>3557</v>
      </c>
    </row>
    <row r="954" spans="1:14" ht="27">
      <c r="A954" s="123">
        <v>38</v>
      </c>
      <c r="B954" s="970" t="s">
        <v>175</v>
      </c>
      <c r="C954" s="369" t="s">
        <v>3558</v>
      </c>
      <c r="D954" s="4" t="s">
        <v>306</v>
      </c>
      <c r="E954" s="4" t="s">
        <v>322</v>
      </c>
      <c r="F954" s="4" t="s">
        <v>307</v>
      </c>
      <c r="G954" s="193">
        <v>1567</v>
      </c>
      <c r="H954" s="125" t="s">
        <v>3559</v>
      </c>
      <c r="I954" s="400" t="s">
        <v>3402</v>
      </c>
      <c r="J954" s="4" t="s">
        <v>3560</v>
      </c>
      <c r="K954" s="4" t="s">
        <v>647</v>
      </c>
      <c r="L954" s="4"/>
      <c r="M954" s="96">
        <v>1000000</v>
      </c>
      <c r="N954" s="125"/>
    </row>
    <row r="955" spans="1:14">
      <c r="A955" s="123">
        <v>38</v>
      </c>
      <c r="B955" s="970"/>
      <c r="C955" s="127" t="s">
        <v>3561</v>
      </c>
      <c r="D955" s="4" t="s">
        <v>306</v>
      </c>
      <c r="E955" s="4" t="s">
        <v>322</v>
      </c>
      <c r="F955" s="4" t="s">
        <v>307</v>
      </c>
      <c r="G955" s="193" t="s">
        <v>3562</v>
      </c>
      <c r="H955" s="125" t="s">
        <v>3481</v>
      </c>
      <c r="I955" s="400" t="s">
        <v>3563</v>
      </c>
      <c r="J955" s="4" t="s">
        <v>3564</v>
      </c>
      <c r="K955" s="4" t="s">
        <v>3565</v>
      </c>
      <c r="L955" s="4"/>
      <c r="M955" s="96">
        <v>1250000</v>
      </c>
      <c r="N955" s="125"/>
    </row>
    <row r="956" spans="1:14" ht="27">
      <c r="A956" s="123">
        <v>38</v>
      </c>
      <c r="B956" s="970" t="s">
        <v>3502</v>
      </c>
      <c r="C956" s="369">
        <v>45909</v>
      </c>
      <c r="D956" s="4" t="s">
        <v>3566</v>
      </c>
      <c r="E956" s="4" t="s">
        <v>30</v>
      </c>
      <c r="F956" s="31" t="s">
        <v>3567</v>
      </c>
      <c r="G956" s="31" t="s">
        <v>3550</v>
      </c>
      <c r="H956" s="16" t="s">
        <v>3489</v>
      </c>
      <c r="I956" s="193" t="s">
        <v>3568</v>
      </c>
      <c r="J956" s="31"/>
      <c r="K956" s="31" t="s">
        <v>3569</v>
      </c>
      <c r="L956" s="125" t="s">
        <v>3493</v>
      </c>
      <c r="M956" s="60" t="s">
        <v>3570</v>
      </c>
      <c r="N956" s="6" t="s">
        <v>3571</v>
      </c>
    </row>
    <row r="957" spans="1:14" ht="27">
      <c r="A957" s="123">
        <v>38</v>
      </c>
      <c r="B957" s="970"/>
      <c r="C957" s="369">
        <v>45911</v>
      </c>
      <c r="D957" s="4" t="s">
        <v>21</v>
      </c>
      <c r="E957" s="4" t="s">
        <v>3487</v>
      </c>
      <c r="F957" s="31" t="s">
        <v>3488</v>
      </c>
      <c r="G957" s="31" t="s">
        <v>3572</v>
      </c>
      <c r="H957" s="16" t="s">
        <v>3499</v>
      </c>
      <c r="I957" s="193" t="s">
        <v>3573</v>
      </c>
      <c r="J957" s="31" t="s">
        <v>3574</v>
      </c>
      <c r="K957" s="193" t="s">
        <v>3575</v>
      </c>
      <c r="L957" s="125" t="s">
        <v>3576</v>
      </c>
      <c r="M957" s="60" t="s">
        <v>3494</v>
      </c>
      <c r="N957" s="6" t="s">
        <v>3577</v>
      </c>
    </row>
    <row r="958" spans="1:14" ht="27">
      <c r="A958" s="123">
        <v>38</v>
      </c>
      <c r="B958" s="970"/>
      <c r="C958" s="369">
        <v>45912</v>
      </c>
      <c r="D958" s="4" t="s">
        <v>3502</v>
      </c>
      <c r="E958" s="4" t="s">
        <v>3578</v>
      </c>
      <c r="F958" s="31" t="s">
        <v>3579</v>
      </c>
      <c r="G958" s="31" t="s">
        <v>3580</v>
      </c>
      <c r="H958" s="16" t="s">
        <v>3581</v>
      </c>
      <c r="I958" s="193" t="s">
        <v>3582</v>
      </c>
      <c r="J958" s="31"/>
      <c r="K958" s="31" t="s">
        <v>3583</v>
      </c>
      <c r="L958" s="125" t="s">
        <v>3584</v>
      </c>
      <c r="M958" s="60" t="s">
        <v>3585</v>
      </c>
      <c r="N958" s="6" t="s">
        <v>3586</v>
      </c>
    </row>
    <row r="959" spans="1:14">
      <c r="A959" s="123">
        <v>38</v>
      </c>
      <c r="B959" s="970"/>
      <c r="C959" s="369" t="s">
        <v>3587</v>
      </c>
      <c r="D959" s="4" t="s">
        <v>3566</v>
      </c>
      <c r="E959" s="4" t="s">
        <v>3588</v>
      </c>
      <c r="F959" s="31" t="s">
        <v>3534</v>
      </c>
      <c r="G959" s="31" t="s">
        <v>3590</v>
      </c>
      <c r="H959" s="16"/>
      <c r="I959" s="193" t="s">
        <v>3591</v>
      </c>
      <c r="J959" s="31" t="s">
        <v>3545</v>
      </c>
      <c r="K959" s="193" t="s">
        <v>3592</v>
      </c>
      <c r="L959" s="125" t="s">
        <v>84</v>
      </c>
      <c r="M959" s="60">
        <f>250000*9</f>
        <v>2250000</v>
      </c>
      <c r="N959" s="6" t="s">
        <v>3464</v>
      </c>
    </row>
    <row r="960" spans="1:14" ht="27">
      <c r="A960" s="123">
        <v>38</v>
      </c>
      <c r="B960" s="970"/>
      <c r="C960" s="369">
        <v>45915</v>
      </c>
      <c r="D960" s="4" t="s">
        <v>3502</v>
      </c>
      <c r="E960" s="4" t="s">
        <v>3593</v>
      </c>
      <c r="F960" s="31" t="s">
        <v>3594</v>
      </c>
      <c r="G960" s="31" t="s">
        <v>3595</v>
      </c>
      <c r="H960" s="16" t="s">
        <v>3596</v>
      </c>
      <c r="I960" s="193" t="s">
        <v>3597</v>
      </c>
      <c r="J960" s="31" t="s">
        <v>120</v>
      </c>
      <c r="K960" s="193" t="s">
        <v>3598</v>
      </c>
      <c r="L960" s="125" t="s">
        <v>3599</v>
      </c>
      <c r="M960" s="60" t="s">
        <v>3600</v>
      </c>
      <c r="N960" s="6" t="s">
        <v>3601</v>
      </c>
    </row>
    <row r="961" spans="1:14">
      <c r="A961" s="123">
        <v>38</v>
      </c>
      <c r="B961" s="970"/>
      <c r="C961" s="369">
        <v>45915</v>
      </c>
      <c r="D961" s="4" t="s">
        <v>311</v>
      </c>
      <c r="E961" s="4" t="s">
        <v>320</v>
      </c>
      <c r="F961" s="31" t="s">
        <v>2601</v>
      </c>
      <c r="G961" s="31" t="s">
        <v>2749</v>
      </c>
      <c r="H961" s="16" t="s">
        <v>347</v>
      </c>
      <c r="I961" s="193" t="s">
        <v>216</v>
      </c>
      <c r="J961" s="31" t="s">
        <v>702</v>
      </c>
      <c r="K961" s="193" t="s">
        <v>3602</v>
      </c>
      <c r="L961" s="125" t="s">
        <v>309</v>
      </c>
      <c r="M961" s="93">
        <v>500000</v>
      </c>
      <c r="N961" s="6" t="s">
        <v>3603</v>
      </c>
    </row>
    <row r="962" spans="1:14">
      <c r="A962" s="123">
        <v>38</v>
      </c>
      <c r="B962" s="970"/>
      <c r="C962" s="369" t="s">
        <v>3604</v>
      </c>
      <c r="D962" s="4" t="s">
        <v>3566</v>
      </c>
      <c r="E962" s="4" t="s">
        <v>3487</v>
      </c>
      <c r="F962" s="31" t="s">
        <v>3605</v>
      </c>
      <c r="G962" s="31" t="s">
        <v>2817</v>
      </c>
      <c r="H962" s="16" t="s">
        <v>3606</v>
      </c>
      <c r="I962" s="193" t="s">
        <v>3607</v>
      </c>
      <c r="J962" s="31" t="s">
        <v>3608</v>
      </c>
      <c r="K962" s="31" t="s">
        <v>3609</v>
      </c>
      <c r="L962" s="125" t="s">
        <v>3576</v>
      </c>
      <c r="M962" s="406">
        <v>500000</v>
      </c>
      <c r="N962" s="6" t="s">
        <v>3610</v>
      </c>
    </row>
    <row r="963" spans="1:14" ht="27">
      <c r="A963" s="123">
        <v>38</v>
      </c>
      <c r="B963" s="970"/>
      <c r="C963" s="369">
        <v>45917</v>
      </c>
      <c r="D963" s="4" t="s">
        <v>3540</v>
      </c>
      <c r="E963" s="4" t="s">
        <v>30</v>
      </c>
      <c r="F963" s="31" t="s">
        <v>3611</v>
      </c>
      <c r="G963" s="31" t="s">
        <v>2010</v>
      </c>
      <c r="H963" s="16" t="s">
        <v>3543</v>
      </c>
      <c r="I963" s="193" t="s">
        <v>3612</v>
      </c>
      <c r="J963" s="31" t="s">
        <v>3613</v>
      </c>
      <c r="K963" s="31" t="s">
        <v>3614</v>
      </c>
      <c r="L963" s="125" t="s">
        <v>3553</v>
      </c>
      <c r="M963" s="60" t="s">
        <v>3615</v>
      </c>
      <c r="N963" s="6" t="s">
        <v>3243</v>
      </c>
    </row>
    <row r="964" spans="1:14">
      <c r="A964" s="123">
        <v>38</v>
      </c>
      <c r="B964" s="970"/>
      <c r="C964" s="369">
        <v>45918</v>
      </c>
      <c r="D964" s="4" t="s">
        <v>3512</v>
      </c>
      <c r="E964" s="4" t="s">
        <v>3503</v>
      </c>
      <c r="F964" s="31" t="s">
        <v>2450</v>
      </c>
      <c r="G964" s="31">
        <v>3307</v>
      </c>
      <c r="H964" s="4" t="s">
        <v>3616</v>
      </c>
      <c r="I964" s="193" t="s">
        <v>3617</v>
      </c>
      <c r="J964" s="31" t="s">
        <v>3618</v>
      </c>
      <c r="K964" s="193" t="s">
        <v>3619</v>
      </c>
      <c r="L964" s="125" t="s">
        <v>3439</v>
      </c>
      <c r="M964" s="93">
        <v>250000</v>
      </c>
      <c r="N964" s="6" t="s">
        <v>3620</v>
      </c>
    </row>
    <row r="965" spans="1:14">
      <c r="A965" s="123">
        <v>39</v>
      </c>
      <c r="B965" s="970" t="s">
        <v>3621</v>
      </c>
      <c r="C965" s="369">
        <v>45922</v>
      </c>
      <c r="D965" s="4" t="s">
        <v>306</v>
      </c>
      <c r="E965" s="4" t="s">
        <v>322</v>
      </c>
      <c r="F965" s="4" t="s">
        <v>307</v>
      </c>
      <c r="G965" s="193" t="s">
        <v>3622</v>
      </c>
      <c r="H965" s="125" t="s">
        <v>662</v>
      </c>
      <c r="I965" s="400" t="s">
        <v>3623</v>
      </c>
      <c r="J965" s="4" t="s">
        <v>3429</v>
      </c>
      <c r="K965" s="4" t="s">
        <v>3619</v>
      </c>
      <c r="L965" s="4"/>
      <c r="M965" s="96">
        <v>250000</v>
      </c>
      <c r="N965" s="125"/>
    </row>
    <row r="966" spans="1:14">
      <c r="A966" s="123">
        <v>39</v>
      </c>
      <c r="B966" s="970"/>
      <c r="C966" s="369" t="s">
        <v>3624</v>
      </c>
      <c r="D966" s="4" t="s">
        <v>306</v>
      </c>
      <c r="E966" s="4" t="s">
        <v>322</v>
      </c>
      <c r="F966" s="4" t="s">
        <v>307</v>
      </c>
      <c r="G966" s="193">
        <v>1568</v>
      </c>
      <c r="H966" s="125" t="s">
        <v>482</v>
      </c>
      <c r="I966" s="400" t="s">
        <v>3625</v>
      </c>
      <c r="J966" s="4" t="s">
        <v>3626</v>
      </c>
      <c r="K966" s="4" t="s">
        <v>3627</v>
      </c>
      <c r="L966" s="4"/>
      <c r="M966" s="96">
        <v>1000000</v>
      </c>
      <c r="N966" s="125"/>
    </row>
    <row r="967" spans="1:14">
      <c r="A967" s="123">
        <v>39</v>
      </c>
      <c r="B967" s="970"/>
      <c r="C967" s="369" t="s">
        <v>3629</v>
      </c>
      <c r="D967" s="4" t="s">
        <v>306</v>
      </c>
      <c r="E967" s="4" t="s">
        <v>322</v>
      </c>
      <c r="F967" s="4" t="s">
        <v>307</v>
      </c>
      <c r="G967" s="193" t="s">
        <v>3630</v>
      </c>
      <c r="H967" s="125" t="s">
        <v>3631</v>
      </c>
      <c r="I967" s="400" t="s">
        <v>3563</v>
      </c>
      <c r="J967" s="4" t="s">
        <v>3632</v>
      </c>
      <c r="K967" s="4" t="s">
        <v>3633</v>
      </c>
      <c r="L967" s="4"/>
      <c r="M967" s="96">
        <v>1250000</v>
      </c>
      <c r="N967" s="125"/>
    </row>
    <row r="968" spans="1:14">
      <c r="A968" s="123">
        <v>39</v>
      </c>
      <c r="B968" s="970" t="s">
        <v>3502</v>
      </c>
      <c r="C968" s="369">
        <v>45919</v>
      </c>
      <c r="D968" s="4" t="s">
        <v>3554</v>
      </c>
      <c r="E968" s="4" t="s">
        <v>3548</v>
      </c>
      <c r="F968" s="31" t="s">
        <v>3634</v>
      </c>
      <c r="G968" s="31" t="s">
        <v>3635</v>
      </c>
      <c r="H968" s="16" t="s">
        <v>3481</v>
      </c>
      <c r="I968" s="193" t="s">
        <v>3636</v>
      </c>
      <c r="J968" s="31" t="s">
        <v>3613</v>
      </c>
      <c r="K968" s="31" t="s">
        <v>3516</v>
      </c>
      <c r="L968" s="125" t="s">
        <v>3493</v>
      </c>
      <c r="M968" s="93">
        <v>250000</v>
      </c>
      <c r="N968" s="6" t="s">
        <v>3637</v>
      </c>
    </row>
    <row r="969" spans="1:14">
      <c r="A969" s="123">
        <v>39</v>
      </c>
      <c r="B969" s="970"/>
      <c r="C969" s="369">
        <v>45920</v>
      </c>
      <c r="D969" s="4" t="s">
        <v>3512</v>
      </c>
      <c r="E969" s="4" t="s">
        <v>3487</v>
      </c>
      <c r="F969" s="31" t="s">
        <v>3638</v>
      </c>
      <c r="G969" s="31">
        <v>3307</v>
      </c>
      <c r="H969" s="4" t="s">
        <v>3639</v>
      </c>
      <c r="I969" s="193" t="s">
        <v>3640</v>
      </c>
      <c r="J969" s="31" t="s">
        <v>120</v>
      </c>
      <c r="K969" s="193" t="s">
        <v>3641</v>
      </c>
      <c r="L969" s="125" t="s">
        <v>566</v>
      </c>
      <c r="M969" s="93">
        <v>500000</v>
      </c>
      <c r="N969" s="6" t="s">
        <v>3642</v>
      </c>
    </row>
    <row r="970" spans="1:14">
      <c r="A970" s="123">
        <v>39</v>
      </c>
      <c r="B970" s="970"/>
      <c r="C970" s="369">
        <v>45922</v>
      </c>
      <c r="D970" s="4" t="s">
        <v>3485</v>
      </c>
      <c r="E970" s="4" t="s">
        <v>3434</v>
      </c>
      <c r="F970" s="31" t="s">
        <v>3529</v>
      </c>
      <c r="G970" s="31">
        <v>3307</v>
      </c>
      <c r="H970" s="4" t="s">
        <v>3616</v>
      </c>
      <c r="I970" s="193" t="s">
        <v>3643</v>
      </c>
      <c r="J970" s="31" t="s">
        <v>120</v>
      </c>
      <c r="K970" s="193" t="s">
        <v>3644</v>
      </c>
      <c r="L970" s="125" t="s">
        <v>3645</v>
      </c>
      <c r="M970" s="93">
        <v>250000</v>
      </c>
      <c r="N970" s="6" t="s">
        <v>3243</v>
      </c>
    </row>
    <row r="971" spans="1:14">
      <c r="A971" s="123">
        <v>39</v>
      </c>
      <c r="B971" s="970"/>
      <c r="C971" s="369" t="s">
        <v>3628</v>
      </c>
      <c r="D971" s="4" t="s">
        <v>3554</v>
      </c>
      <c r="E971" s="4" t="s">
        <v>3588</v>
      </c>
      <c r="F971" s="31" t="s">
        <v>3549</v>
      </c>
      <c r="G971" s="31" t="s">
        <v>3589</v>
      </c>
      <c r="H971" s="16"/>
      <c r="I971" s="193" t="s">
        <v>3646</v>
      </c>
      <c r="J971" s="193" t="s">
        <v>3647</v>
      </c>
      <c r="K971" s="31" t="s">
        <v>3648</v>
      </c>
      <c r="L971" s="125" t="s">
        <v>3649</v>
      </c>
      <c r="M971" s="93">
        <f>250000*10</f>
        <v>2500000</v>
      </c>
      <c r="N971" s="6" t="s">
        <v>3650</v>
      </c>
    </row>
    <row r="972" spans="1:14" ht="27">
      <c r="A972" s="123">
        <v>39</v>
      </c>
      <c r="B972" s="970"/>
      <c r="C972" s="369" t="s">
        <v>3651</v>
      </c>
      <c r="D972" s="4" t="s">
        <v>3566</v>
      </c>
      <c r="E972" s="4" t="s">
        <v>30</v>
      </c>
      <c r="F972" s="31" t="s">
        <v>3652</v>
      </c>
      <c r="G972" s="16">
        <v>3307</v>
      </c>
      <c r="H972" s="4" t="s">
        <v>811</v>
      </c>
      <c r="I972" s="193" t="s">
        <v>3653</v>
      </c>
      <c r="J972" s="193" t="s">
        <v>1948</v>
      </c>
      <c r="K972" s="193" t="s">
        <v>3654</v>
      </c>
      <c r="L972" s="125" t="s">
        <v>3655</v>
      </c>
      <c r="M972" s="60" t="s">
        <v>3510</v>
      </c>
      <c r="N972" s="125" t="s">
        <v>3656</v>
      </c>
    </row>
    <row r="973" spans="1:14" ht="27">
      <c r="A973" s="123">
        <v>39</v>
      </c>
      <c r="B973" s="970"/>
      <c r="C973" s="369" t="s">
        <v>3657</v>
      </c>
      <c r="D973" s="4" t="s">
        <v>3566</v>
      </c>
      <c r="E973" s="4" t="s">
        <v>3578</v>
      </c>
      <c r="F973" s="31" t="s">
        <v>3658</v>
      </c>
      <c r="G973" s="16">
        <v>3307</v>
      </c>
      <c r="H973" s="4" t="s">
        <v>3659</v>
      </c>
      <c r="I973" s="193" t="s">
        <v>3660</v>
      </c>
      <c r="J973" s="193" t="s">
        <v>3661</v>
      </c>
      <c r="K973" s="193" t="s">
        <v>3662</v>
      </c>
      <c r="L973" s="125" t="s">
        <v>566</v>
      </c>
      <c r="M973" s="60" t="s">
        <v>3440</v>
      </c>
      <c r="N973" s="125" t="s">
        <v>3663</v>
      </c>
    </row>
    <row r="974" spans="1:14">
      <c r="A974" s="123">
        <v>39</v>
      </c>
      <c r="B974" s="970"/>
      <c r="C974" s="369" t="s">
        <v>3664</v>
      </c>
      <c r="D974" s="4" t="s">
        <v>3502</v>
      </c>
      <c r="E974" s="4" t="s">
        <v>3578</v>
      </c>
      <c r="F974" s="31" t="s">
        <v>3529</v>
      </c>
      <c r="G974" s="16" t="s">
        <v>3665</v>
      </c>
      <c r="H974" s="13" t="s">
        <v>3666</v>
      </c>
      <c r="I974" s="193" t="s">
        <v>3667</v>
      </c>
      <c r="J974" s="193" t="s">
        <v>3521</v>
      </c>
      <c r="K974" s="193" t="s">
        <v>3668</v>
      </c>
      <c r="L974" s="125" t="s">
        <v>3584</v>
      </c>
      <c r="M974" s="93">
        <v>500000</v>
      </c>
      <c r="N974" s="125" t="s">
        <v>3399</v>
      </c>
    </row>
    <row r="975" spans="1:14" ht="27">
      <c r="A975" s="123">
        <v>39</v>
      </c>
      <c r="B975" s="970"/>
      <c r="C975" s="369">
        <v>45926</v>
      </c>
      <c r="D975" s="4" t="s">
        <v>21</v>
      </c>
      <c r="E975" s="4" t="s">
        <v>3548</v>
      </c>
      <c r="F975" s="31" t="s">
        <v>3669</v>
      </c>
      <c r="G975" s="31" t="s">
        <v>3670</v>
      </c>
      <c r="H975" s="31" t="s">
        <v>3499</v>
      </c>
      <c r="I975" s="193" t="s">
        <v>3671</v>
      </c>
      <c r="J975" s="31" t="s">
        <v>120</v>
      </c>
      <c r="K975" s="193" t="s">
        <v>686</v>
      </c>
      <c r="L975" s="125" t="s">
        <v>3576</v>
      </c>
      <c r="M975" s="406">
        <v>250000</v>
      </c>
      <c r="N975" s="6" t="s">
        <v>3601</v>
      </c>
    </row>
    <row r="976" spans="1:14">
      <c r="A976" s="123">
        <v>40</v>
      </c>
      <c r="B976" s="970" t="s">
        <v>3672</v>
      </c>
      <c r="C976" s="4" t="s">
        <v>3673</v>
      </c>
      <c r="D976" s="4" t="s">
        <v>306</v>
      </c>
      <c r="E976" s="4" t="s">
        <v>322</v>
      </c>
      <c r="F976" s="4" t="s">
        <v>307</v>
      </c>
      <c r="G976" s="193" t="s">
        <v>3674</v>
      </c>
      <c r="H976" s="125" t="s">
        <v>3631</v>
      </c>
      <c r="I976" s="400" t="s">
        <v>3675</v>
      </c>
      <c r="J976" s="4" t="s">
        <v>3483</v>
      </c>
      <c r="K976" s="4" t="s">
        <v>3676</v>
      </c>
      <c r="L976" s="4"/>
      <c r="M976" s="96">
        <v>750000</v>
      </c>
      <c r="N976" s="125"/>
    </row>
    <row r="977" spans="1:14">
      <c r="A977" s="123">
        <v>40</v>
      </c>
      <c r="B977" s="970"/>
      <c r="C977" s="4" t="s">
        <v>3677</v>
      </c>
      <c r="D977" s="4" t="s">
        <v>306</v>
      </c>
      <c r="E977" s="4" t="s">
        <v>322</v>
      </c>
      <c r="F977" s="4" t="s">
        <v>307</v>
      </c>
      <c r="G977" s="193" t="s">
        <v>3420</v>
      </c>
      <c r="H977" s="125" t="s">
        <v>3678</v>
      </c>
      <c r="I977" s="400" t="s">
        <v>378</v>
      </c>
      <c r="J977" s="4" t="s">
        <v>3626</v>
      </c>
      <c r="K977" s="4" t="s">
        <v>3679</v>
      </c>
      <c r="L977" s="4"/>
      <c r="M977" s="96">
        <v>750000</v>
      </c>
      <c r="N977" s="125"/>
    </row>
    <row r="978" spans="1:14">
      <c r="A978" s="123">
        <v>40</v>
      </c>
      <c r="B978" s="970"/>
      <c r="C978" s="4" t="s">
        <v>3680</v>
      </c>
      <c r="D978" s="4" t="s">
        <v>306</v>
      </c>
      <c r="E978" s="4" t="s">
        <v>322</v>
      </c>
      <c r="F978" s="4" t="s">
        <v>307</v>
      </c>
      <c r="G978" s="193">
        <v>1568</v>
      </c>
      <c r="H978" s="125" t="s">
        <v>3681</v>
      </c>
      <c r="I978" s="400" t="s">
        <v>3682</v>
      </c>
      <c r="J978" s="4" t="s">
        <v>3683</v>
      </c>
      <c r="K978" s="4" t="s">
        <v>3684</v>
      </c>
      <c r="L978" s="4"/>
      <c r="M978" s="96">
        <v>1000000</v>
      </c>
      <c r="N978" s="125"/>
    </row>
    <row r="979" spans="1:14">
      <c r="A979" s="123">
        <v>40</v>
      </c>
      <c r="B979" s="970" t="s">
        <v>3512</v>
      </c>
      <c r="C979" s="369">
        <v>45927</v>
      </c>
      <c r="D979" s="4" t="s">
        <v>3512</v>
      </c>
      <c r="E979" s="4" t="s">
        <v>3685</v>
      </c>
      <c r="F979" s="31" t="s">
        <v>3686</v>
      </c>
      <c r="G979" s="31" t="s">
        <v>3687</v>
      </c>
      <c r="H979" s="16" t="s">
        <v>3688</v>
      </c>
      <c r="I979" s="193" t="s">
        <v>3689</v>
      </c>
      <c r="J979" s="193" t="s">
        <v>120</v>
      </c>
      <c r="K979" s="193" t="s">
        <v>794</v>
      </c>
      <c r="L979" s="125" t="s">
        <v>3523</v>
      </c>
      <c r="M979" s="93">
        <v>500000</v>
      </c>
      <c r="N979" s="6" t="s">
        <v>3690</v>
      </c>
    </row>
    <row r="980" spans="1:14">
      <c r="A980" s="123">
        <v>40</v>
      </c>
      <c r="B980" s="970"/>
      <c r="C980" s="369">
        <v>45929</v>
      </c>
      <c r="D980" s="4" t="s">
        <v>3512</v>
      </c>
      <c r="E980" s="4" t="s">
        <v>3496</v>
      </c>
      <c r="F980" s="31" t="s">
        <v>3691</v>
      </c>
      <c r="G980" s="31" t="s">
        <v>3435</v>
      </c>
      <c r="H980" s="16" t="s">
        <v>3692</v>
      </c>
      <c r="I980" s="193" t="s">
        <v>3693</v>
      </c>
      <c r="J980" s="31" t="s">
        <v>3574</v>
      </c>
      <c r="K980" s="193" t="s">
        <v>686</v>
      </c>
      <c r="L980" s="125" t="s">
        <v>3439</v>
      </c>
      <c r="M980" s="93">
        <v>250000</v>
      </c>
      <c r="N980" s="125" t="s">
        <v>3397</v>
      </c>
    </row>
    <row r="981" spans="1:14" ht="27">
      <c r="A981" s="123">
        <v>40</v>
      </c>
      <c r="B981" s="970"/>
      <c r="C981" s="369">
        <v>45930</v>
      </c>
      <c r="D981" s="4" t="s">
        <v>3694</v>
      </c>
      <c r="E981" s="4" t="s">
        <v>3487</v>
      </c>
      <c r="F981" s="31" t="s">
        <v>3504</v>
      </c>
      <c r="G981" s="31" t="s">
        <v>3665</v>
      </c>
      <c r="H981" s="16" t="s">
        <v>3695</v>
      </c>
      <c r="I981" s="193" t="s">
        <v>3696</v>
      </c>
      <c r="J981" s="31"/>
      <c r="K981" s="193" t="s">
        <v>3697</v>
      </c>
      <c r="L981" s="125" t="s">
        <v>84</v>
      </c>
      <c r="M981" s="60" t="s">
        <v>3615</v>
      </c>
      <c r="N981" s="125" t="s">
        <v>3698</v>
      </c>
    </row>
    <row r="982" spans="1:14">
      <c r="A982" s="123">
        <v>40</v>
      </c>
      <c r="B982" s="970"/>
      <c r="C982" s="369">
        <v>45931</v>
      </c>
      <c r="D982" s="4" t="s">
        <v>3540</v>
      </c>
      <c r="E982" s="4" t="s">
        <v>3588</v>
      </c>
      <c r="F982" s="31" t="s">
        <v>3699</v>
      </c>
      <c r="G982" s="31" t="s">
        <v>3700</v>
      </c>
      <c r="H982" s="16"/>
      <c r="I982" s="193" t="s">
        <v>3701</v>
      </c>
      <c r="J982" s="193"/>
      <c r="K982" s="31" t="s">
        <v>3702</v>
      </c>
      <c r="L982" s="125" t="s">
        <v>3703</v>
      </c>
      <c r="M982" s="93">
        <v>500000</v>
      </c>
      <c r="N982" s="125" t="s">
        <v>3704</v>
      </c>
    </row>
    <row r="983" spans="1:14">
      <c r="A983" s="123">
        <v>40</v>
      </c>
      <c r="B983" s="970"/>
      <c r="C983" s="369">
        <v>45931</v>
      </c>
      <c r="D983" s="4" t="s">
        <v>3694</v>
      </c>
      <c r="E983" s="4" t="s">
        <v>3487</v>
      </c>
      <c r="F983" s="31" t="s">
        <v>3488</v>
      </c>
      <c r="G983" s="31" t="s">
        <v>3705</v>
      </c>
      <c r="H983" s="16" t="s">
        <v>3706</v>
      </c>
      <c r="I983" s="193" t="s">
        <v>216</v>
      </c>
      <c r="J983" s="193" t="s">
        <v>3707</v>
      </c>
      <c r="K983" s="193" t="s">
        <v>3708</v>
      </c>
      <c r="L983" s="125" t="s">
        <v>3576</v>
      </c>
      <c r="M983" s="60">
        <v>250000</v>
      </c>
      <c r="N983" s="125" t="s">
        <v>3698</v>
      </c>
    </row>
    <row r="984" spans="1:14" ht="27">
      <c r="A984" s="123">
        <v>40</v>
      </c>
      <c r="B984" s="970"/>
      <c r="C984" s="369">
        <v>45932</v>
      </c>
      <c r="D984" s="4" t="s">
        <v>3566</v>
      </c>
      <c r="E984" s="4" t="s">
        <v>3685</v>
      </c>
      <c r="F984" s="31" t="s">
        <v>3709</v>
      </c>
      <c r="G984" s="193" t="s">
        <v>2620</v>
      </c>
      <c r="H984" s="16" t="s">
        <v>3710</v>
      </c>
      <c r="I984" s="193" t="s">
        <v>3711</v>
      </c>
      <c r="J984" s="31"/>
      <c r="K984" s="31" t="s">
        <v>794</v>
      </c>
      <c r="L984" s="125" t="s">
        <v>3538</v>
      </c>
      <c r="M984" s="93">
        <v>500000</v>
      </c>
      <c r="N984" s="125" t="s">
        <v>3603</v>
      </c>
    </row>
    <row r="985" spans="1:14">
      <c r="A985" s="123">
        <v>41</v>
      </c>
      <c r="B985" s="970" t="s">
        <v>3712</v>
      </c>
      <c r="C985" s="401" t="s">
        <v>3713</v>
      </c>
      <c r="D985" s="4" t="s">
        <v>306</v>
      </c>
      <c r="E985" s="4" t="s">
        <v>322</v>
      </c>
      <c r="F985" s="4" t="s">
        <v>307</v>
      </c>
      <c r="G985" s="193" t="s">
        <v>3714</v>
      </c>
      <c r="H985" s="125" t="s">
        <v>23</v>
      </c>
      <c r="I985" s="400" t="s">
        <v>3715</v>
      </c>
      <c r="J985" s="4" t="s">
        <v>737</v>
      </c>
      <c r="K985" s="4" t="s">
        <v>3717</v>
      </c>
      <c r="L985" s="4"/>
      <c r="M985" s="96">
        <v>1000000</v>
      </c>
      <c r="N985" s="125" t="s">
        <v>3718</v>
      </c>
    </row>
    <row r="986" spans="1:14">
      <c r="A986" s="123">
        <v>41</v>
      </c>
      <c r="B986" s="970"/>
      <c r="C986" s="4" t="s">
        <v>3719</v>
      </c>
      <c r="D986" s="4" t="s">
        <v>306</v>
      </c>
      <c r="E986" s="4" t="s">
        <v>322</v>
      </c>
      <c r="F986" s="4" t="s">
        <v>307</v>
      </c>
      <c r="G986" s="193" t="s">
        <v>3720</v>
      </c>
      <c r="H986" s="125" t="s">
        <v>3721</v>
      </c>
      <c r="I986" s="400" t="s">
        <v>3402</v>
      </c>
      <c r="J986" s="4" t="s">
        <v>3560</v>
      </c>
      <c r="K986" s="4" t="s">
        <v>3722</v>
      </c>
      <c r="L986" s="4"/>
      <c r="M986" s="96">
        <v>500000</v>
      </c>
      <c r="N986" s="125"/>
    </row>
    <row r="987" spans="1:14">
      <c r="A987" s="123">
        <v>41</v>
      </c>
      <c r="B987" s="970" t="s">
        <v>3512</v>
      </c>
      <c r="C987" s="369">
        <v>45932</v>
      </c>
      <c r="D987" s="4" t="s">
        <v>21</v>
      </c>
      <c r="E987" s="4" t="s">
        <v>3496</v>
      </c>
      <c r="F987" s="31" t="s">
        <v>2450</v>
      </c>
      <c r="G987" s="16">
        <v>3307</v>
      </c>
      <c r="H987" s="4" t="s">
        <v>3723</v>
      </c>
      <c r="I987" s="193" t="s">
        <v>3724</v>
      </c>
      <c r="J987" s="31"/>
      <c r="K987" s="31" t="s">
        <v>3644</v>
      </c>
      <c r="L987" s="125" t="s">
        <v>3725</v>
      </c>
      <c r="M987" s="93">
        <v>250000</v>
      </c>
      <c r="N987" s="6" t="s">
        <v>3726</v>
      </c>
    </row>
    <row r="988" spans="1:14">
      <c r="A988" s="123">
        <v>41</v>
      </c>
      <c r="B988" s="970"/>
      <c r="C988" s="369" t="s">
        <v>3727</v>
      </c>
      <c r="D988" s="4" t="s">
        <v>3540</v>
      </c>
      <c r="E988" s="4" t="s">
        <v>3518</v>
      </c>
      <c r="F988" s="31" t="s">
        <v>3728</v>
      </c>
      <c r="G988" s="16">
        <v>3307</v>
      </c>
      <c r="H988" s="4" t="s">
        <v>3659</v>
      </c>
      <c r="I988" s="193" t="s">
        <v>3729</v>
      </c>
      <c r="J988" s="193" t="s">
        <v>3730</v>
      </c>
      <c r="K988" s="193" t="s">
        <v>3731</v>
      </c>
      <c r="L988" s="125" t="s">
        <v>3732</v>
      </c>
      <c r="M988" s="93">
        <v>1500000</v>
      </c>
      <c r="N988" s="6"/>
    </row>
    <row r="989" spans="1:14">
      <c r="A989" s="123">
        <v>42</v>
      </c>
      <c r="B989" s="970" t="s">
        <v>3733</v>
      </c>
      <c r="C989" s="4" t="s">
        <v>3734</v>
      </c>
      <c r="D989" s="4" t="s">
        <v>306</v>
      </c>
      <c r="E989" s="4" t="s">
        <v>322</v>
      </c>
      <c r="F989" s="4" t="s">
        <v>307</v>
      </c>
      <c r="G989" s="193" t="s">
        <v>3736</v>
      </c>
      <c r="H989" s="125" t="s">
        <v>3737</v>
      </c>
      <c r="I989" s="400" t="s">
        <v>3738</v>
      </c>
      <c r="J989" s="4" t="s">
        <v>3632</v>
      </c>
      <c r="K989" s="4" t="s">
        <v>3739</v>
      </c>
      <c r="L989" s="4"/>
      <c r="M989" s="96">
        <v>1250000</v>
      </c>
      <c r="N989" s="125"/>
    </row>
    <row r="990" spans="1:14">
      <c r="A990" s="123">
        <v>42</v>
      </c>
      <c r="B990" s="970"/>
      <c r="C990" s="4" t="s">
        <v>3740</v>
      </c>
      <c r="D990" s="4" t="s">
        <v>306</v>
      </c>
      <c r="E990" s="4" t="s">
        <v>322</v>
      </c>
      <c r="F990" s="4" t="s">
        <v>307</v>
      </c>
      <c r="G990" s="193" t="s">
        <v>3741</v>
      </c>
      <c r="H990" s="125" t="s">
        <v>3742</v>
      </c>
      <c r="I990" s="400" t="s">
        <v>3743</v>
      </c>
      <c r="J990" s="4" t="s">
        <v>737</v>
      </c>
      <c r="K990" s="4" t="s">
        <v>3473</v>
      </c>
      <c r="L990" s="4"/>
      <c r="M990" s="96">
        <v>1250000</v>
      </c>
      <c r="N990" s="125"/>
    </row>
    <row r="991" spans="1:14">
      <c r="A991" s="123">
        <v>42</v>
      </c>
      <c r="B991" s="970"/>
      <c r="C991" s="4" t="s">
        <v>3744</v>
      </c>
      <c r="D991" s="4" t="s">
        <v>306</v>
      </c>
      <c r="E991" s="4" t="s">
        <v>322</v>
      </c>
      <c r="F991" s="4" t="s">
        <v>307</v>
      </c>
      <c r="G991" s="193" t="s">
        <v>3735</v>
      </c>
      <c r="H991" s="125" t="s">
        <v>3356</v>
      </c>
      <c r="I991" s="400" t="s">
        <v>3745</v>
      </c>
      <c r="J991" s="4" t="s">
        <v>3626</v>
      </c>
      <c r="K991" s="4" t="s">
        <v>3746</v>
      </c>
      <c r="L991" s="4"/>
      <c r="M991" s="96">
        <f>250000*12</f>
        <v>3000000</v>
      </c>
      <c r="N991" s="125"/>
    </row>
    <row r="992" spans="1:14">
      <c r="A992" s="123">
        <v>42</v>
      </c>
      <c r="B992" s="970"/>
      <c r="C992" s="4" t="s">
        <v>3740</v>
      </c>
      <c r="D992" s="4" t="s">
        <v>306</v>
      </c>
      <c r="E992" s="4" t="s">
        <v>322</v>
      </c>
      <c r="F992" s="4" t="s">
        <v>307</v>
      </c>
      <c r="G992" s="193" t="s">
        <v>3747</v>
      </c>
      <c r="H992" s="125" t="s">
        <v>3666</v>
      </c>
      <c r="I992" s="400" t="s">
        <v>3743</v>
      </c>
      <c r="J992" s="4" t="s">
        <v>3748</v>
      </c>
      <c r="K992" s="4" t="s">
        <v>3565</v>
      </c>
      <c r="L992" s="4"/>
      <c r="M992" s="96">
        <v>1250000</v>
      </c>
      <c r="N992" s="125"/>
    </row>
    <row r="993" spans="1:14" ht="27">
      <c r="A993" s="123">
        <v>42</v>
      </c>
      <c r="B993" s="970" t="s">
        <v>3502</v>
      </c>
      <c r="C993" s="369" t="s">
        <v>3749</v>
      </c>
      <c r="D993" s="4" t="s">
        <v>21</v>
      </c>
      <c r="E993" s="4" t="s">
        <v>3578</v>
      </c>
      <c r="F993" s="31" t="s">
        <v>3750</v>
      </c>
      <c r="G993" s="31" t="s">
        <v>3751</v>
      </c>
      <c r="H993" s="16" t="s">
        <v>3666</v>
      </c>
      <c r="I993" s="193" t="s">
        <v>3752</v>
      </c>
      <c r="J993" s="31"/>
      <c r="K993" s="193" t="s">
        <v>3753</v>
      </c>
      <c r="L993" s="125" t="s">
        <v>3509</v>
      </c>
      <c r="M993" s="60" t="s">
        <v>3754</v>
      </c>
      <c r="N993" s="6"/>
    </row>
    <row r="994" spans="1:14" ht="27">
      <c r="A994" s="123">
        <v>42</v>
      </c>
      <c r="B994" s="970"/>
      <c r="C994" s="369" t="s">
        <v>3755</v>
      </c>
      <c r="D994" s="4" t="s">
        <v>3512</v>
      </c>
      <c r="E994" s="4" t="s">
        <v>3578</v>
      </c>
      <c r="F994" s="31" t="s">
        <v>3756</v>
      </c>
      <c r="G994" s="193" t="s">
        <v>3757</v>
      </c>
      <c r="H994" s="16" t="s">
        <v>3758</v>
      </c>
      <c r="I994" s="193" t="s">
        <v>3759</v>
      </c>
      <c r="J994" s="31"/>
      <c r="K994" s="31" t="s">
        <v>3760</v>
      </c>
      <c r="L994" s="125" t="s">
        <v>3553</v>
      </c>
      <c r="M994" s="60" t="s">
        <v>3761</v>
      </c>
      <c r="N994" s="6"/>
    </row>
    <row r="995" spans="1:14" ht="27">
      <c r="A995" s="123">
        <v>42</v>
      </c>
      <c r="B995" s="970"/>
      <c r="C995" s="369" t="s">
        <v>3762</v>
      </c>
      <c r="D995" s="4" t="s">
        <v>3540</v>
      </c>
      <c r="E995" s="4" t="s">
        <v>3503</v>
      </c>
      <c r="F995" s="31" t="s">
        <v>3763</v>
      </c>
      <c r="G995" s="193" t="s">
        <v>3764</v>
      </c>
      <c r="H995" s="16" t="s">
        <v>3765</v>
      </c>
      <c r="I995" s="193" t="s">
        <v>2445</v>
      </c>
      <c r="J995" s="193" t="s">
        <v>3766</v>
      </c>
      <c r="K995" s="193" t="s">
        <v>3767</v>
      </c>
      <c r="L995" s="125" t="s">
        <v>3538</v>
      </c>
      <c r="M995" s="60" t="s">
        <v>3754</v>
      </c>
      <c r="N995" s="125"/>
    </row>
    <row r="996" spans="1:14">
      <c r="A996" s="123">
        <v>43</v>
      </c>
      <c r="B996" s="970" t="s">
        <v>3712</v>
      </c>
      <c r="C996" s="4" t="s">
        <v>3768</v>
      </c>
      <c r="D996" s="4" t="s">
        <v>306</v>
      </c>
      <c r="E996" s="4" t="s">
        <v>322</v>
      </c>
      <c r="F996" s="4" t="s">
        <v>307</v>
      </c>
      <c r="G996" s="193" t="s">
        <v>3769</v>
      </c>
      <c r="H996" s="125" t="s">
        <v>3770</v>
      </c>
      <c r="I996" s="400" t="s">
        <v>3771</v>
      </c>
      <c r="J996" s="4" t="s">
        <v>3683</v>
      </c>
      <c r="K996" s="4" t="s">
        <v>3565</v>
      </c>
      <c r="L996" s="4"/>
      <c r="M996" s="96">
        <v>1250000</v>
      </c>
      <c r="N996" s="125"/>
    </row>
    <row r="997" spans="1:14">
      <c r="A997" s="123">
        <v>43</v>
      </c>
      <c r="B997" s="970"/>
      <c r="C997" s="4" t="s">
        <v>3772</v>
      </c>
      <c r="D997" s="4" t="s">
        <v>306</v>
      </c>
      <c r="E997" s="4" t="s">
        <v>322</v>
      </c>
      <c r="F997" s="4" t="s">
        <v>307</v>
      </c>
      <c r="G997" s="193" t="s">
        <v>3630</v>
      </c>
      <c r="H997" s="125" t="s">
        <v>3436</v>
      </c>
      <c r="I997" s="400" t="s">
        <v>3738</v>
      </c>
      <c r="J997" s="4" t="s">
        <v>3418</v>
      </c>
      <c r="K997" s="4" t="s">
        <v>3702</v>
      </c>
      <c r="L997" s="4"/>
      <c r="M997" s="96">
        <v>500000</v>
      </c>
      <c r="N997" s="125"/>
    </row>
    <row r="998" spans="1:14">
      <c r="A998" s="123">
        <v>43</v>
      </c>
      <c r="B998" s="970"/>
      <c r="C998" s="401">
        <v>45955</v>
      </c>
      <c r="D998" s="4" t="s">
        <v>306</v>
      </c>
      <c r="E998" s="4" t="s">
        <v>322</v>
      </c>
      <c r="F998" s="4" t="s">
        <v>307</v>
      </c>
      <c r="G998" s="193" t="s">
        <v>3773</v>
      </c>
      <c r="H998" s="125" t="s">
        <v>3774</v>
      </c>
      <c r="I998" s="400" t="s">
        <v>378</v>
      </c>
      <c r="J998" s="4" t="s">
        <v>3418</v>
      </c>
      <c r="K998" s="4" t="s">
        <v>3775</v>
      </c>
      <c r="L998" s="4"/>
      <c r="M998" s="96">
        <v>250000</v>
      </c>
      <c r="N998" s="125"/>
    </row>
    <row r="999" spans="1:14">
      <c r="A999" s="123">
        <v>43</v>
      </c>
      <c r="B999" s="970" t="s">
        <v>21</v>
      </c>
      <c r="C999" s="369">
        <v>45950</v>
      </c>
      <c r="D999" s="4" t="s">
        <v>21</v>
      </c>
      <c r="E999" s="4" t="s">
        <v>3555</v>
      </c>
      <c r="F999" s="31" t="s">
        <v>3776</v>
      </c>
      <c r="G999" s="31" t="s">
        <v>3572</v>
      </c>
      <c r="H999" s="16" t="s">
        <v>3777</v>
      </c>
      <c r="I999" s="193" t="s">
        <v>3778</v>
      </c>
      <c r="J999" s="31" t="s">
        <v>3618</v>
      </c>
      <c r="K999" s="193" t="s">
        <v>3556</v>
      </c>
      <c r="L999" s="125" t="s">
        <v>3584</v>
      </c>
      <c r="M999" s="93">
        <v>250000</v>
      </c>
      <c r="N999" s="6" t="s">
        <v>3779</v>
      </c>
    </row>
    <row r="1000" spans="1:14">
      <c r="A1000" s="123">
        <v>43</v>
      </c>
      <c r="B1000" s="970"/>
      <c r="C1000" s="369" t="s">
        <v>3780</v>
      </c>
      <c r="D1000" s="4" t="s">
        <v>21</v>
      </c>
      <c r="E1000" s="4" t="s">
        <v>3578</v>
      </c>
      <c r="F1000" s="31" t="s">
        <v>3652</v>
      </c>
      <c r="G1000" s="16">
        <v>3307</v>
      </c>
      <c r="H1000" s="4" t="s">
        <v>3659</v>
      </c>
      <c r="I1000" s="193" t="s">
        <v>3781</v>
      </c>
      <c r="J1000" s="193"/>
      <c r="K1000" s="193" t="s">
        <v>3668</v>
      </c>
      <c r="L1000" s="125" t="s">
        <v>3782</v>
      </c>
      <c r="M1000" s="93">
        <v>500000</v>
      </c>
      <c r="N1000" s="6" t="s">
        <v>3783</v>
      </c>
    </row>
    <row r="1001" spans="1:14">
      <c r="A1001" s="123">
        <v>43</v>
      </c>
      <c r="B1001" s="970"/>
      <c r="C1001" s="369">
        <v>45950</v>
      </c>
      <c r="D1001" s="4" t="s">
        <v>21</v>
      </c>
      <c r="E1001" s="4" t="s">
        <v>3784</v>
      </c>
      <c r="F1001" s="31" t="s">
        <v>3579</v>
      </c>
      <c r="G1001" s="31" t="s">
        <v>1323</v>
      </c>
      <c r="H1001" s="16" t="s">
        <v>3785</v>
      </c>
      <c r="I1001" s="193" t="s">
        <v>3786</v>
      </c>
      <c r="J1001" s="31" t="s">
        <v>3787</v>
      </c>
      <c r="K1001" s="193" t="s">
        <v>3788</v>
      </c>
      <c r="L1001" s="125" t="s">
        <v>3493</v>
      </c>
      <c r="M1001" s="93">
        <v>250000</v>
      </c>
      <c r="N1001" s="6" t="s">
        <v>3539</v>
      </c>
    </row>
    <row r="1002" spans="1:14">
      <c r="A1002" s="123">
        <v>43</v>
      </c>
      <c r="B1002" s="970"/>
      <c r="C1002" s="369" t="s">
        <v>3789</v>
      </c>
      <c r="D1002" s="4" t="s">
        <v>3554</v>
      </c>
      <c r="E1002" s="4" t="s">
        <v>3588</v>
      </c>
      <c r="F1002" s="31" t="s">
        <v>3542</v>
      </c>
      <c r="G1002" s="31" t="s">
        <v>3790</v>
      </c>
      <c r="H1002" s="16"/>
      <c r="I1002" s="193" t="s">
        <v>3791</v>
      </c>
      <c r="J1002" s="193" t="s">
        <v>3792</v>
      </c>
      <c r="K1002" s="31" t="s">
        <v>3793</v>
      </c>
      <c r="L1002" s="125" t="s">
        <v>3493</v>
      </c>
      <c r="M1002" s="93">
        <v>1500000</v>
      </c>
      <c r="N1002" s="6" t="s">
        <v>3794</v>
      </c>
    </row>
    <row r="1003" spans="1:14">
      <c r="A1003" s="123">
        <v>43</v>
      </c>
      <c r="B1003" s="970"/>
      <c r="C1003" s="369" t="s">
        <v>3795</v>
      </c>
      <c r="D1003" s="4" t="s">
        <v>3540</v>
      </c>
      <c r="E1003" s="4" t="s">
        <v>30</v>
      </c>
      <c r="F1003" s="31" t="s">
        <v>836</v>
      </c>
      <c r="G1003" s="193" t="s">
        <v>3764</v>
      </c>
      <c r="H1003" s="16" t="s">
        <v>3765</v>
      </c>
      <c r="I1003" s="193" t="s">
        <v>3796</v>
      </c>
      <c r="J1003" s="193" t="s">
        <v>3797</v>
      </c>
      <c r="K1003" s="193" t="s">
        <v>794</v>
      </c>
      <c r="L1003" s="125" t="s">
        <v>3798</v>
      </c>
      <c r="M1003" s="93">
        <v>500000</v>
      </c>
      <c r="N1003" s="6" t="s">
        <v>3799</v>
      </c>
    </row>
    <row r="1004" spans="1:14">
      <c r="A1004" s="123">
        <v>43</v>
      </c>
      <c r="B1004" s="970"/>
      <c r="C1004" s="369">
        <v>45953</v>
      </c>
      <c r="D1004" s="4" t="s">
        <v>3512</v>
      </c>
      <c r="E1004" s="4" t="s">
        <v>3541</v>
      </c>
      <c r="F1004" s="31" t="s">
        <v>3699</v>
      </c>
      <c r="G1004" s="16" t="s">
        <v>3800</v>
      </c>
      <c r="H1004" s="4" t="s">
        <v>3801</v>
      </c>
      <c r="I1004" s="193" t="s">
        <v>3802</v>
      </c>
      <c r="J1004" s="31" t="s">
        <v>495</v>
      </c>
      <c r="K1004" s="31" t="s">
        <v>3803</v>
      </c>
      <c r="L1004" s="125" t="s">
        <v>3584</v>
      </c>
      <c r="M1004" s="408">
        <v>300000</v>
      </c>
      <c r="N1004" s="6" t="s">
        <v>3804</v>
      </c>
    </row>
    <row r="1005" spans="1:14">
      <c r="A1005" s="123">
        <v>43</v>
      </c>
      <c r="B1005" s="970"/>
      <c r="C1005" s="369">
        <v>45954</v>
      </c>
      <c r="D1005" s="4" t="s">
        <v>3694</v>
      </c>
      <c r="E1005" s="4" t="s">
        <v>3541</v>
      </c>
      <c r="F1005" s="31" t="s">
        <v>381</v>
      </c>
      <c r="G1005" s="31" t="s">
        <v>2686</v>
      </c>
      <c r="H1005" s="16" t="s">
        <v>3805</v>
      </c>
      <c r="I1005" s="193" t="s">
        <v>3806</v>
      </c>
      <c r="J1005" s="31"/>
      <c r="K1005" s="193" t="s">
        <v>3641</v>
      </c>
      <c r="L1005" s="125" t="s">
        <v>3509</v>
      </c>
      <c r="M1005" s="93">
        <v>500000</v>
      </c>
      <c r="N1005" s="6" t="s">
        <v>3807</v>
      </c>
    </row>
    <row r="1006" spans="1:14">
      <c r="A1006" s="123">
        <v>44</v>
      </c>
      <c r="B1006" s="970" t="s">
        <v>3467</v>
      </c>
      <c r="C1006" s="4" t="s">
        <v>3808</v>
      </c>
      <c r="D1006" s="4" t="s">
        <v>3809</v>
      </c>
      <c r="E1006" s="4" t="s">
        <v>322</v>
      </c>
      <c r="F1006" s="4" t="s">
        <v>3810</v>
      </c>
      <c r="G1006" s="193" t="s">
        <v>3811</v>
      </c>
      <c r="H1006" s="125" t="s">
        <v>3666</v>
      </c>
      <c r="I1006" s="400" t="s">
        <v>3812</v>
      </c>
      <c r="J1006" s="4"/>
      <c r="K1006" s="4" t="s">
        <v>647</v>
      </c>
      <c r="L1006" s="4"/>
      <c r="M1006" s="96">
        <v>1000000</v>
      </c>
      <c r="N1006" s="125" t="s">
        <v>3814</v>
      </c>
    </row>
    <row r="1007" spans="1:14">
      <c r="A1007" s="123">
        <v>44</v>
      </c>
      <c r="B1007" s="970"/>
      <c r="C1007" s="4" t="s">
        <v>3815</v>
      </c>
      <c r="D1007" s="4" t="s">
        <v>3809</v>
      </c>
      <c r="E1007" s="4" t="s">
        <v>322</v>
      </c>
      <c r="F1007" s="4" t="s">
        <v>3816</v>
      </c>
      <c r="G1007" s="193" t="s">
        <v>2890</v>
      </c>
      <c r="H1007" s="125" t="s">
        <v>3666</v>
      </c>
      <c r="I1007" s="400" t="s">
        <v>3817</v>
      </c>
      <c r="J1007" s="4"/>
      <c r="K1007" s="4" t="s">
        <v>3818</v>
      </c>
      <c r="L1007" s="4"/>
      <c r="M1007" s="96">
        <v>2000000</v>
      </c>
      <c r="N1007" s="125" t="s">
        <v>3813</v>
      </c>
    </row>
    <row r="1008" spans="1:14">
      <c r="A1008" s="123">
        <v>44</v>
      </c>
      <c r="B1008" s="970"/>
      <c r="C1008" s="4" t="s">
        <v>3819</v>
      </c>
      <c r="D1008" s="4" t="s">
        <v>306</v>
      </c>
      <c r="E1008" s="4" t="s">
        <v>322</v>
      </c>
      <c r="F1008" s="4" t="s">
        <v>307</v>
      </c>
      <c r="G1008" s="193" t="s">
        <v>3820</v>
      </c>
      <c r="H1008" s="125" t="s">
        <v>3695</v>
      </c>
      <c r="I1008" s="400" t="s">
        <v>3821</v>
      </c>
      <c r="J1008" s="4" t="s">
        <v>737</v>
      </c>
      <c r="K1008" s="4" t="s">
        <v>3633</v>
      </c>
      <c r="L1008" s="4"/>
      <c r="M1008" s="96">
        <v>1250000</v>
      </c>
      <c r="N1008" s="125"/>
    </row>
    <row r="1009" spans="1:14">
      <c r="A1009" s="123">
        <v>44</v>
      </c>
      <c r="B1009" s="970"/>
      <c r="C1009" s="4" t="s">
        <v>3822</v>
      </c>
      <c r="D1009" s="4" t="s">
        <v>306</v>
      </c>
      <c r="E1009" s="4" t="s">
        <v>322</v>
      </c>
      <c r="F1009" s="4" t="s">
        <v>307</v>
      </c>
      <c r="G1009" s="193" t="s">
        <v>3823</v>
      </c>
      <c r="H1009" s="125" t="s">
        <v>3506</v>
      </c>
      <c r="I1009" s="400" t="s">
        <v>3675</v>
      </c>
      <c r="J1009" s="4" t="s">
        <v>3483</v>
      </c>
      <c r="K1009" s="4" t="s">
        <v>3426</v>
      </c>
      <c r="L1009" s="4"/>
      <c r="M1009" s="96">
        <v>1250000</v>
      </c>
      <c r="N1009" s="125"/>
    </row>
    <row r="1010" spans="1:14">
      <c r="A1010" s="123">
        <v>44</v>
      </c>
      <c r="B1010" s="970"/>
      <c r="C1010" s="4" t="s">
        <v>3824</v>
      </c>
      <c r="D1010" s="4" t="s">
        <v>306</v>
      </c>
      <c r="E1010" s="4" t="s">
        <v>322</v>
      </c>
      <c r="F1010" s="4" t="s">
        <v>307</v>
      </c>
      <c r="G1010" s="193" t="s">
        <v>3769</v>
      </c>
      <c r="H1010" s="125" t="s">
        <v>3825</v>
      </c>
      <c r="I1010" s="400" t="s">
        <v>3826</v>
      </c>
      <c r="J1010" s="4" t="s">
        <v>3827</v>
      </c>
      <c r="K1010" s="4" t="s">
        <v>3828</v>
      </c>
      <c r="L1010" s="4"/>
      <c r="M1010" s="96">
        <v>750000</v>
      </c>
      <c r="N1010" s="125"/>
    </row>
    <row r="1011" spans="1:14">
      <c r="A1011" s="123">
        <v>44</v>
      </c>
      <c r="B1011" s="970" t="s">
        <v>3554</v>
      </c>
      <c r="C1011" s="369">
        <v>45952</v>
      </c>
      <c r="D1011" s="4" t="s">
        <v>21</v>
      </c>
      <c r="E1011" s="4" t="s">
        <v>30</v>
      </c>
      <c r="F1011" s="31" t="s">
        <v>2450</v>
      </c>
      <c r="G1011" s="16">
        <v>3307</v>
      </c>
      <c r="H1011" s="4" t="s">
        <v>3829</v>
      </c>
      <c r="I1011" s="193" t="s">
        <v>3830</v>
      </c>
      <c r="J1011" s="193" t="s">
        <v>3831</v>
      </c>
      <c r="K1011" s="193" t="s">
        <v>3644</v>
      </c>
      <c r="L1011" s="125" t="s">
        <v>3649</v>
      </c>
      <c r="M1011" s="93">
        <v>250000</v>
      </c>
      <c r="N1011" s="6" t="s">
        <v>3832</v>
      </c>
    </row>
    <row r="1012" spans="1:14" ht="27">
      <c r="A1012" s="123">
        <v>44</v>
      </c>
      <c r="B1012" s="970"/>
      <c r="C1012" s="369">
        <v>45957</v>
      </c>
      <c r="D1012" s="4" t="s">
        <v>3502</v>
      </c>
      <c r="E1012" s="4" t="s">
        <v>3578</v>
      </c>
      <c r="F1012" s="31" t="s">
        <v>2130</v>
      </c>
      <c r="G1012" s="31" t="s">
        <v>3834</v>
      </c>
      <c r="H1012" s="16" t="s">
        <v>3835</v>
      </c>
      <c r="I1012" s="193" t="s">
        <v>3836</v>
      </c>
      <c r="J1012" s="193" t="s">
        <v>3787</v>
      </c>
      <c r="K1012" s="31" t="s">
        <v>3837</v>
      </c>
      <c r="L1012" s="125" t="s">
        <v>3584</v>
      </c>
      <c r="M1012" s="60" t="s">
        <v>3570</v>
      </c>
      <c r="N1012" s="6"/>
    </row>
    <row r="1013" spans="1:14" ht="22.5">
      <c r="A1013" s="123">
        <v>44</v>
      </c>
      <c r="B1013" s="970"/>
      <c r="C1013" s="369">
        <v>45959</v>
      </c>
      <c r="D1013" s="4" t="s">
        <v>3540</v>
      </c>
      <c r="E1013" s="4" t="s">
        <v>30</v>
      </c>
      <c r="F1013" s="31" t="s">
        <v>3838</v>
      </c>
      <c r="G1013" s="409" t="s">
        <v>3839</v>
      </c>
      <c r="H1013" s="4" t="s">
        <v>3840</v>
      </c>
      <c r="I1013" s="9" t="s">
        <v>3841</v>
      </c>
      <c r="J1013" s="31"/>
      <c r="K1013" s="31" t="s">
        <v>3556</v>
      </c>
      <c r="L1013" s="125" t="s">
        <v>3553</v>
      </c>
      <c r="M1013" s="93">
        <v>250000</v>
      </c>
      <c r="N1013" s="6"/>
    </row>
    <row r="1014" spans="1:14" ht="27">
      <c r="A1014" s="123">
        <v>44</v>
      </c>
      <c r="B1014" s="970"/>
      <c r="C1014" s="369">
        <v>45959</v>
      </c>
      <c r="D1014" s="4" t="s">
        <v>3486</v>
      </c>
      <c r="E1014" s="4" t="s">
        <v>3487</v>
      </c>
      <c r="F1014" s="31" t="s">
        <v>3652</v>
      </c>
      <c r="G1014" s="31" t="s">
        <v>3842</v>
      </c>
      <c r="H1014" s="16" t="s">
        <v>3631</v>
      </c>
      <c r="I1014" s="193" t="s">
        <v>3843</v>
      </c>
      <c r="J1014" s="31"/>
      <c r="K1014" s="193" t="s">
        <v>686</v>
      </c>
      <c r="L1014" s="125" t="s">
        <v>3553</v>
      </c>
      <c r="M1014" s="93">
        <v>250000</v>
      </c>
      <c r="N1014" s="6"/>
    </row>
    <row r="1015" spans="1:14" ht="27">
      <c r="A1015" s="123">
        <v>44</v>
      </c>
      <c r="B1015" s="970"/>
      <c r="C1015" s="369">
        <v>45959</v>
      </c>
      <c r="D1015" s="4" t="s">
        <v>3540</v>
      </c>
      <c r="E1015" s="4" t="s">
        <v>3548</v>
      </c>
      <c r="F1015" s="31" t="s">
        <v>3638</v>
      </c>
      <c r="G1015" s="31" t="s">
        <v>3844</v>
      </c>
      <c r="H1015" s="16" t="s">
        <v>3666</v>
      </c>
      <c r="I1015" s="193" t="s">
        <v>3843</v>
      </c>
      <c r="J1015" s="31"/>
      <c r="K1015" s="193" t="s">
        <v>3845</v>
      </c>
      <c r="L1015" s="125" t="s">
        <v>3523</v>
      </c>
      <c r="M1015" s="60" t="s">
        <v>3585</v>
      </c>
      <c r="N1015" s="6"/>
    </row>
    <row r="1016" spans="1:14">
      <c r="A1016" s="123">
        <v>44</v>
      </c>
      <c r="B1016" s="970"/>
      <c r="C1016" s="369">
        <v>45959</v>
      </c>
      <c r="D1016" s="4" t="s">
        <v>3554</v>
      </c>
      <c r="E1016" s="4" t="s">
        <v>3846</v>
      </c>
      <c r="F1016" s="31" t="s">
        <v>3542</v>
      </c>
      <c r="G1016" s="31" t="s">
        <v>3589</v>
      </c>
      <c r="H1016" s="16"/>
      <c r="I1016" s="193" t="s">
        <v>3847</v>
      </c>
      <c r="J1016" s="193" t="s">
        <v>3848</v>
      </c>
      <c r="K1016" s="31" t="s">
        <v>3849</v>
      </c>
      <c r="L1016" s="125" t="s">
        <v>3703</v>
      </c>
      <c r="M1016" s="93">
        <v>500000</v>
      </c>
      <c r="N1016" s="6"/>
    </row>
    <row r="1017" spans="1:14" ht="27">
      <c r="A1017" s="123">
        <v>44</v>
      </c>
      <c r="B1017" s="970"/>
      <c r="C1017" s="369">
        <v>45960</v>
      </c>
      <c r="D1017" s="4" t="s">
        <v>3694</v>
      </c>
      <c r="E1017" s="4" t="s">
        <v>3496</v>
      </c>
      <c r="F1017" s="31" t="s">
        <v>100</v>
      </c>
      <c r="G1017" s="31" t="s">
        <v>3850</v>
      </c>
      <c r="H1017" s="16" t="s">
        <v>3721</v>
      </c>
      <c r="I1017" s="193" t="s">
        <v>3851</v>
      </c>
      <c r="J1017" s="31" t="s">
        <v>3613</v>
      </c>
      <c r="K1017" s="193" t="s">
        <v>3852</v>
      </c>
      <c r="L1017" s="125" t="s">
        <v>3523</v>
      </c>
      <c r="M1017" s="60" t="s">
        <v>3600</v>
      </c>
      <c r="N1017" s="6"/>
    </row>
    <row r="1018" spans="1:14">
      <c r="A1018" s="123">
        <v>44</v>
      </c>
      <c r="B1018" s="970"/>
      <c r="C1018" s="369">
        <v>45960</v>
      </c>
      <c r="D1018" s="4" t="s">
        <v>3512</v>
      </c>
      <c r="E1018" s="4" t="s">
        <v>3496</v>
      </c>
      <c r="F1018" s="31" t="s">
        <v>3686</v>
      </c>
      <c r="G1018" s="31" t="s">
        <v>3853</v>
      </c>
      <c r="H1018" s="16" t="s">
        <v>3750</v>
      </c>
      <c r="I1018" s="193" t="s">
        <v>3854</v>
      </c>
      <c r="J1018" s="31" t="s">
        <v>3855</v>
      </c>
      <c r="K1018" s="193" t="s">
        <v>3856</v>
      </c>
      <c r="L1018" s="125" t="s">
        <v>84</v>
      </c>
      <c r="M1018" s="93">
        <v>500000</v>
      </c>
      <c r="N1018" s="6"/>
    </row>
    <row r="1019" spans="1:14" ht="27">
      <c r="A1019" s="123">
        <v>44</v>
      </c>
      <c r="B1019" s="970"/>
      <c r="C1019" s="369">
        <v>45961</v>
      </c>
      <c r="D1019" s="4" t="s">
        <v>3433</v>
      </c>
      <c r="E1019" s="4" t="s">
        <v>3578</v>
      </c>
      <c r="F1019" s="31" t="s">
        <v>3857</v>
      </c>
      <c r="G1019" s="31" t="s">
        <v>3858</v>
      </c>
      <c r="H1019" s="16" t="s">
        <v>3504</v>
      </c>
      <c r="I1019" s="125" t="s">
        <v>3859</v>
      </c>
      <c r="J1019" s="31" t="s">
        <v>3860</v>
      </c>
      <c r="K1019" s="193" t="s">
        <v>3861</v>
      </c>
      <c r="L1019" s="125" t="s">
        <v>84</v>
      </c>
      <c r="M1019" s="60" t="s">
        <v>3510</v>
      </c>
      <c r="N1019" s="6"/>
    </row>
    <row r="1020" spans="1:14">
      <c r="A1020" s="123">
        <v>44</v>
      </c>
      <c r="B1020" s="970"/>
      <c r="C1020" s="369">
        <v>45961</v>
      </c>
      <c r="D1020" s="4" t="s">
        <v>3502</v>
      </c>
      <c r="E1020" s="4" t="s">
        <v>3578</v>
      </c>
      <c r="F1020" s="31" t="s">
        <v>3857</v>
      </c>
      <c r="G1020" s="31" t="s">
        <v>3773</v>
      </c>
      <c r="H1020" s="16" t="s">
        <v>3728</v>
      </c>
      <c r="I1020" s="125" t="s">
        <v>3859</v>
      </c>
      <c r="J1020" s="31" t="s">
        <v>3848</v>
      </c>
      <c r="K1020" s="193" t="s">
        <v>3862</v>
      </c>
      <c r="L1020" s="125" t="s">
        <v>84</v>
      </c>
      <c r="M1020" s="93">
        <v>500000</v>
      </c>
      <c r="N1020" s="6"/>
    </row>
    <row r="1021" spans="1:14" ht="27">
      <c r="A1021" s="123">
        <v>44</v>
      </c>
      <c r="B1021" s="970"/>
      <c r="C1021" s="369">
        <v>45961</v>
      </c>
      <c r="D1021" s="4" t="s">
        <v>21</v>
      </c>
      <c r="E1021" s="4" t="s">
        <v>3846</v>
      </c>
      <c r="F1021" s="193" t="s">
        <v>3863</v>
      </c>
      <c r="G1021" s="31">
        <v>1810</v>
      </c>
      <c r="H1021" s="16" t="s">
        <v>3864</v>
      </c>
      <c r="I1021" s="193" t="s">
        <v>3865</v>
      </c>
      <c r="J1021" s="31" t="s">
        <v>3618</v>
      </c>
      <c r="K1021" s="31" t="s">
        <v>3866</v>
      </c>
      <c r="L1021" s="125" t="s">
        <v>3867</v>
      </c>
      <c r="M1021" s="60" t="s">
        <v>3510</v>
      </c>
      <c r="N1021" s="6"/>
    </row>
    <row r="1022" spans="1:14">
      <c r="A1022" s="123">
        <v>45</v>
      </c>
      <c r="B1022" s="970" t="s">
        <v>3621</v>
      </c>
      <c r="C1022" s="4" t="s">
        <v>3868</v>
      </c>
      <c r="D1022" s="4" t="s">
        <v>306</v>
      </c>
      <c r="E1022" s="4" t="s">
        <v>322</v>
      </c>
      <c r="F1022" s="4" t="s">
        <v>307</v>
      </c>
      <c r="G1022" s="193" t="s">
        <v>3844</v>
      </c>
      <c r="H1022" s="125" t="s">
        <v>3666</v>
      </c>
      <c r="I1022" s="400" t="s">
        <v>3771</v>
      </c>
      <c r="J1022" s="4" t="s">
        <v>3748</v>
      </c>
      <c r="K1022" s="4" t="s">
        <v>3869</v>
      </c>
      <c r="L1022" s="4"/>
      <c r="M1022" s="96">
        <v>2250000</v>
      </c>
      <c r="N1022" s="125" t="s">
        <v>3870</v>
      </c>
    </row>
    <row r="1023" spans="1:14">
      <c r="A1023" s="123">
        <v>45</v>
      </c>
      <c r="B1023" s="970"/>
      <c r="C1023" s="401">
        <v>45964</v>
      </c>
      <c r="D1023" s="4" t="s">
        <v>306</v>
      </c>
      <c r="E1023" s="4" t="s">
        <v>322</v>
      </c>
      <c r="F1023" s="4" t="s">
        <v>307</v>
      </c>
      <c r="G1023" s="193" t="s">
        <v>3665</v>
      </c>
      <c r="H1023" s="125" t="s">
        <v>3506</v>
      </c>
      <c r="I1023" s="400" t="s">
        <v>378</v>
      </c>
      <c r="J1023" s="4" t="s">
        <v>3418</v>
      </c>
      <c r="K1023" s="4" t="s">
        <v>3676</v>
      </c>
      <c r="L1023" s="4"/>
      <c r="M1023" s="96">
        <v>750000</v>
      </c>
      <c r="N1023" s="125"/>
    </row>
    <row r="1024" spans="1:14">
      <c r="A1024" s="123">
        <v>45</v>
      </c>
      <c r="B1024" s="970"/>
      <c r="C1024" s="4" t="s">
        <v>3871</v>
      </c>
      <c r="D1024" s="4" t="s">
        <v>306</v>
      </c>
      <c r="E1024" s="4" t="s">
        <v>322</v>
      </c>
      <c r="F1024" s="4" t="s">
        <v>307</v>
      </c>
      <c r="G1024" s="193" t="s">
        <v>3872</v>
      </c>
      <c r="H1024" s="125" t="s">
        <v>3873</v>
      </c>
      <c r="I1024" s="400" t="s">
        <v>751</v>
      </c>
      <c r="J1024" s="4" t="s">
        <v>3418</v>
      </c>
      <c r="K1024" s="4" t="s">
        <v>3874</v>
      </c>
      <c r="L1024" s="4"/>
      <c r="M1024" s="96">
        <v>500000</v>
      </c>
      <c r="N1024" s="125"/>
    </row>
    <row r="1025" spans="1:14">
      <c r="A1025" s="123">
        <v>45</v>
      </c>
      <c r="B1025" s="970"/>
      <c r="C1025" s="401">
        <v>45966</v>
      </c>
      <c r="D1025" s="4" t="s">
        <v>306</v>
      </c>
      <c r="E1025" s="4" t="s">
        <v>322</v>
      </c>
      <c r="F1025" s="4" t="s">
        <v>307</v>
      </c>
      <c r="G1025" s="193" t="s">
        <v>3811</v>
      </c>
      <c r="H1025" s="125" t="s">
        <v>3875</v>
      </c>
      <c r="I1025" s="400" t="s">
        <v>3876</v>
      </c>
      <c r="J1025" s="4" t="s">
        <v>3483</v>
      </c>
      <c r="K1025" s="4" t="s">
        <v>3877</v>
      </c>
      <c r="L1025" s="4"/>
      <c r="M1025" s="96">
        <v>250000</v>
      </c>
      <c r="N1025" s="125"/>
    </row>
    <row r="1026" spans="1:14">
      <c r="A1026" s="123">
        <v>45</v>
      </c>
      <c r="B1026" s="970"/>
      <c r="C1026" s="4" t="s">
        <v>3878</v>
      </c>
      <c r="D1026" s="4" t="s">
        <v>306</v>
      </c>
      <c r="E1026" s="4" t="s">
        <v>322</v>
      </c>
      <c r="F1026" s="4" t="s">
        <v>307</v>
      </c>
      <c r="G1026" s="193" t="s">
        <v>3769</v>
      </c>
      <c r="H1026" s="125" t="s">
        <v>3879</v>
      </c>
      <c r="I1026" s="400" t="s">
        <v>3880</v>
      </c>
      <c r="J1026" s="4" t="s">
        <v>3626</v>
      </c>
      <c r="K1026" s="4" t="s">
        <v>3881</v>
      </c>
      <c r="L1026" s="4"/>
      <c r="M1026" s="96">
        <v>500000</v>
      </c>
      <c r="N1026" s="125"/>
    </row>
    <row r="1027" spans="1:14">
      <c r="A1027" s="123">
        <v>45</v>
      </c>
      <c r="B1027" s="970"/>
      <c r="C1027" s="4" t="s">
        <v>3882</v>
      </c>
      <c r="D1027" s="4" t="s">
        <v>306</v>
      </c>
      <c r="E1027" s="4" t="s">
        <v>322</v>
      </c>
      <c r="F1027" s="4" t="s">
        <v>307</v>
      </c>
      <c r="G1027" s="193" t="s">
        <v>3883</v>
      </c>
      <c r="H1027" s="125" t="s">
        <v>3884</v>
      </c>
      <c r="I1027" s="400" t="s">
        <v>3715</v>
      </c>
      <c r="J1027" s="4" t="s">
        <v>737</v>
      </c>
      <c r="K1027" s="4" t="s">
        <v>3849</v>
      </c>
      <c r="L1027" s="4"/>
      <c r="M1027" s="96">
        <v>500000</v>
      </c>
      <c r="N1027" s="125"/>
    </row>
    <row r="1028" spans="1:14">
      <c r="A1028" s="123">
        <v>45</v>
      </c>
      <c r="B1028" s="970" t="s">
        <v>3885</v>
      </c>
      <c r="C1028" s="369">
        <v>45962</v>
      </c>
      <c r="D1028" s="4" t="s">
        <v>3512</v>
      </c>
      <c r="E1028" s="4" t="s">
        <v>30</v>
      </c>
      <c r="F1028" s="31" t="s">
        <v>3652</v>
      </c>
      <c r="G1028" s="31" t="s">
        <v>2890</v>
      </c>
      <c r="H1028" s="16" t="s">
        <v>3706</v>
      </c>
      <c r="I1028" s="193" t="s">
        <v>3886</v>
      </c>
      <c r="J1028" s="31" t="s">
        <v>3521</v>
      </c>
      <c r="K1028" s="193" t="s">
        <v>3644</v>
      </c>
      <c r="L1028" s="125"/>
      <c r="M1028" s="93">
        <v>250000</v>
      </c>
      <c r="N1028" s="6" t="s">
        <v>3887</v>
      </c>
    </row>
    <row r="1029" spans="1:14" ht="27">
      <c r="A1029" s="123">
        <v>45</v>
      </c>
      <c r="B1029" s="970"/>
      <c r="C1029" s="369">
        <v>45964</v>
      </c>
      <c r="D1029" s="4" t="s">
        <v>3485</v>
      </c>
      <c r="E1029" s="4" t="s">
        <v>3496</v>
      </c>
      <c r="F1029" s="31" t="s">
        <v>3652</v>
      </c>
      <c r="G1029" s="31" t="s">
        <v>2890</v>
      </c>
      <c r="H1029" s="16" t="s">
        <v>207</v>
      </c>
      <c r="I1029" s="193" t="s">
        <v>3888</v>
      </c>
      <c r="J1029" s="193"/>
      <c r="K1029" s="193" t="s">
        <v>3889</v>
      </c>
      <c r="L1029" s="125" t="s">
        <v>3553</v>
      </c>
      <c r="M1029" s="60" t="s">
        <v>3615</v>
      </c>
      <c r="N1029" s="6" t="s">
        <v>3890</v>
      </c>
    </row>
    <row r="1030" spans="1:14">
      <c r="A1030" s="123">
        <v>45</v>
      </c>
      <c r="B1030" s="970"/>
      <c r="C1030" s="369">
        <v>45964</v>
      </c>
      <c r="D1030" s="4" t="s">
        <v>3512</v>
      </c>
      <c r="E1030" s="4" t="s">
        <v>3487</v>
      </c>
      <c r="F1030" s="31" t="s">
        <v>2450</v>
      </c>
      <c r="G1030" s="31" t="s">
        <v>2890</v>
      </c>
      <c r="H1030" s="16" t="s">
        <v>3531</v>
      </c>
      <c r="I1030" s="193" t="s">
        <v>3891</v>
      </c>
      <c r="J1030" s="193"/>
      <c r="K1030" s="193" t="s">
        <v>3644</v>
      </c>
      <c r="L1030" s="125" t="s">
        <v>84</v>
      </c>
      <c r="M1030" s="93">
        <v>250000</v>
      </c>
      <c r="N1030" s="6" t="s">
        <v>3892</v>
      </c>
    </row>
    <row r="1031" spans="1:14" ht="27">
      <c r="A1031" s="123">
        <v>45</v>
      </c>
      <c r="B1031" s="970"/>
      <c r="C1031" s="369">
        <v>45965</v>
      </c>
      <c r="D1031" s="4" t="s">
        <v>3486</v>
      </c>
      <c r="E1031" s="4" t="s">
        <v>3496</v>
      </c>
      <c r="F1031" s="31" t="s">
        <v>3893</v>
      </c>
      <c r="G1031" s="193" t="s">
        <v>3894</v>
      </c>
      <c r="H1031" s="16" t="s">
        <v>3895</v>
      </c>
      <c r="I1031" s="193" t="s">
        <v>3896</v>
      </c>
      <c r="J1031" s="31" t="s">
        <v>3613</v>
      </c>
      <c r="K1031" s="193" t="s">
        <v>3897</v>
      </c>
      <c r="L1031" s="125" t="s">
        <v>3576</v>
      </c>
      <c r="M1031" s="93">
        <v>550000</v>
      </c>
      <c r="N1031" s="6" t="s">
        <v>3898</v>
      </c>
    </row>
    <row r="1032" spans="1:14" ht="27">
      <c r="A1032" s="123">
        <v>45</v>
      </c>
      <c r="B1032" s="970"/>
      <c r="C1032" s="369">
        <v>45965</v>
      </c>
      <c r="D1032" s="4" t="s">
        <v>3502</v>
      </c>
      <c r="E1032" s="4" t="s">
        <v>3899</v>
      </c>
      <c r="F1032" s="31" t="s">
        <v>3504</v>
      </c>
      <c r="G1032" s="193" t="s">
        <v>3900</v>
      </c>
      <c r="H1032" s="16" t="s">
        <v>3902</v>
      </c>
      <c r="I1032" s="125" t="s">
        <v>3903</v>
      </c>
      <c r="J1032" s="31"/>
      <c r="K1032" s="193" t="s">
        <v>3668</v>
      </c>
      <c r="L1032" s="125" t="s">
        <v>3599</v>
      </c>
      <c r="M1032" s="93">
        <v>500000</v>
      </c>
      <c r="N1032" s="6" t="s">
        <v>3904</v>
      </c>
    </row>
    <row r="1033" spans="1:14">
      <c r="A1033" s="123">
        <v>45</v>
      </c>
      <c r="B1033" s="970"/>
      <c r="C1033" s="369">
        <v>45966</v>
      </c>
      <c r="D1033" s="4" t="s">
        <v>3540</v>
      </c>
      <c r="E1033" s="4" t="s">
        <v>3548</v>
      </c>
      <c r="F1033" s="31" t="s">
        <v>3638</v>
      </c>
      <c r="G1033" s="31" t="s">
        <v>3844</v>
      </c>
      <c r="H1033" s="16" t="s">
        <v>3666</v>
      </c>
      <c r="I1033" s="193" t="s">
        <v>3905</v>
      </c>
      <c r="J1033" s="31" t="s">
        <v>3574</v>
      </c>
      <c r="K1033" s="193" t="s">
        <v>3556</v>
      </c>
      <c r="L1033" s="125" t="s">
        <v>3509</v>
      </c>
      <c r="M1033" s="93">
        <v>250000</v>
      </c>
      <c r="N1033" s="6" t="s">
        <v>1206</v>
      </c>
    </row>
    <row r="1034" spans="1:14" ht="27">
      <c r="A1034" s="123">
        <v>45</v>
      </c>
      <c r="B1034" s="970"/>
      <c r="C1034" s="369">
        <v>45967</v>
      </c>
      <c r="D1034" s="4" t="s">
        <v>3486</v>
      </c>
      <c r="E1034" s="4" t="s">
        <v>17</v>
      </c>
      <c r="F1034" s="31" t="s">
        <v>3421</v>
      </c>
      <c r="G1034" s="193" t="s">
        <v>3906</v>
      </c>
      <c r="H1034" s="16" t="s">
        <v>3907</v>
      </c>
      <c r="I1034" s="193" t="s">
        <v>3909</v>
      </c>
      <c r="J1034" s="31" t="s">
        <v>3491</v>
      </c>
      <c r="K1034" s="193" t="s">
        <v>3641</v>
      </c>
      <c r="L1034" s="125" t="s">
        <v>3584</v>
      </c>
      <c r="M1034" s="93">
        <v>500000</v>
      </c>
      <c r="N1034" s="6" t="s">
        <v>3910</v>
      </c>
    </row>
    <row r="1035" spans="1:14">
      <c r="A1035" s="123">
        <v>45</v>
      </c>
      <c r="B1035" s="970"/>
      <c r="C1035" s="369">
        <v>45968</v>
      </c>
      <c r="D1035" s="4" t="s">
        <v>3486</v>
      </c>
      <c r="E1035" s="4" t="s">
        <v>30</v>
      </c>
      <c r="F1035" s="31" t="s">
        <v>3911</v>
      </c>
      <c r="G1035" s="31" t="s">
        <v>3912</v>
      </c>
      <c r="H1035" s="16" t="s">
        <v>3913</v>
      </c>
      <c r="I1035" s="193" t="s">
        <v>3914</v>
      </c>
      <c r="J1035" s="193"/>
      <c r="K1035" s="193" t="s">
        <v>3644</v>
      </c>
      <c r="L1035" s="125" t="s">
        <v>3576</v>
      </c>
      <c r="M1035" s="93">
        <v>250000</v>
      </c>
      <c r="N1035" s="6" t="s">
        <v>1493</v>
      </c>
    </row>
    <row r="1036" spans="1:14">
      <c r="A1036" s="123">
        <v>46</v>
      </c>
      <c r="B1036" s="970" t="s">
        <v>3915</v>
      </c>
      <c r="C1036" s="401">
        <v>45969</v>
      </c>
      <c r="D1036" s="4" t="s">
        <v>306</v>
      </c>
      <c r="E1036" s="4" t="s">
        <v>322</v>
      </c>
      <c r="F1036" s="4" t="s">
        <v>307</v>
      </c>
      <c r="G1036" s="193" t="s">
        <v>3916</v>
      </c>
      <c r="H1036" s="125" t="s">
        <v>3706</v>
      </c>
      <c r="I1036" s="400" t="s">
        <v>3917</v>
      </c>
      <c r="J1036" s="4" t="s">
        <v>3483</v>
      </c>
      <c r="K1036" s="4" t="s">
        <v>2838</v>
      </c>
      <c r="L1036" s="4"/>
      <c r="M1036" s="96">
        <v>500000</v>
      </c>
      <c r="N1036" s="125" t="s">
        <v>3918</v>
      </c>
    </row>
    <row r="1037" spans="1:14">
      <c r="A1037" s="123">
        <v>46</v>
      </c>
      <c r="B1037" s="970"/>
      <c r="C1037" s="4" t="s">
        <v>3919</v>
      </c>
      <c r="D1037" s="4" t="s">
        <v>306</v>
      </c>
      <c r="E1037" s="4" t="s">
        <v>322</v>
      </c>
      <c r="F1037" s="4" t="s">
        <v>307</v>
      </c>
      <c r="G1037" s="193">
        <v>3011</v>
      </c>
      <c r="H1037" s="125" t="s">
        <v>3840</v>
      </c>
      <c r="I1037" s="400" t="s">
        <v>3920</v>
      </c>
      <c r="J1037" s="4" t="s">
        <v>3827</v>
      </c>
      <c r="K1037" s="4" t="s">
        <v>3473</v>
      </c>
      <c r="L1037" s="4"/>
      <c r="M1037" s="96">
        <v>1250000</v>
      </c>
      <c r="N1037" s="125"/>
    </row>
    <row r="1038" spans="1:14">
      <c r="A1038" s="123">
        <v>46</v>
      </c>
      <c r="B1038" s="970"/>
      <c r="C1038" s="401" t="s">
        <v>3921</v>
      </c>
      <c r="D1038" s="4" t="s">
        <v>306</v>
      </c>
      <c r="E1038" s="4" t="s">
        <v>322</v>
      </c>
      <c r="F1038" s="4" t="s">
        <v>307</v>
      </c>
      <c r="G1038" s="193" t="s">
        <v>3769</v>
      </c>
      <c r="H1038" s="125" t="s">
        <v>3922</v>
      </c>
      <c r="I1038" s="400" t="s">
        <v>3402</v>
      </c>
      <c r="J1038" s="4" t="s">
        <v>3683</v>
      </c>
      <c r="K1038" s="4" t="s">
        <v>3923</v>
      </c>
      <c r="L1038" s="4"/>
      <c r="M1038" s="96">
        <v>750000</v>
      </c>
      <c r="N1038" s="125"/>
    </row>
    <row r="1039" spans="1:14">
      <c r="A1039" s="123">
        <v>46</v>
      </c>
      <c r="B1039" s="970"/>
      <c r="C1039" s="4" t="s">
        <v>3924</v>
      </c>
      <c r="D1039" s="4" t="s">
        <v>306</v>
      </c>
      <c r="E1039" s="4" t="s">
        <v>322</v>
      </c>
      <c r="F1039" s="4" t="s">
        <v>307</v>
      </c>
      <c r="G1039" s="193">
        <v>3006</v>
      </c>
      <c r="H1039" s="125" t="s">
        <v>23</v>
      </c>
      <c r="I1039" s="400" t="s">
        <v>3925</v>
      </c>
      <c r="J1039" s="4" t="s">
        <v>737</v>
      </c>
      <c r="K1039" s="4" t="s">
        <v>3874</v>
      </c>
      <c r="L1039" s="4"/>
      <c r="M1039" s="96">
        <v>500000</v>
      </c>
      <c r="N1039" s="125"/>
    </row>
    <row r="1040" spans="1:14" ht="27">
      <c r="A1040" s="123">
        <v>46</v>
      </c>
      <c r="B1040" s="970" t="s">
        <v>21</v>
      </c>
      <c r="C1040" s="369">
        <v>45965</v>
      </c>
      <c r="D1040" s="4" t="s">
        <v>21</v>
      </c>
      <c r="E1040" s="4" t="s">
        <v>3578</v>
      </c>
      <c r="F1040" s="31" t="s">
        <v>3691</v>
      </c>
      <c r="G1040" s="31" t="s">
        <v>3530</v>
      </c>
      <c r="H1040" s="16" t="s">
        <v>3531</v>
      </c>
      <c r="I1040" s="193" t="s">
        <v>3926</v>
      </c>
      <c r="J1040" s="193"/>
      <c r="K1040" s="193" t="s">
        <v>184</v>
      </c>
      <c r="L1040" s="125" t="s">
        <v>3798</v>
      </c>
      <c r="M1040" s="60" t="s">
        <v>3761</v>
      </c>
      <c r="N1040" s="6" t="s">
        <v>3927</v>
      </c>
    </row>
    <row r="1041" spans="1:14" ht="27">
      <c r="A1041" s="123">
        <v>46</v>
      </c>
      <c r="B1041" s="970"/>
      <c r="C1041" s="369">
        <v>45971</v>
      </c>
      <c r="D1041" s="4" t="s">
        <v>3512</v>
      </c>
      <c r="E1041" s="4" t="s">
        <v>3487</v>
      </c>
      <c r="F1041" s="31" t="s">
        <v>3928</v>
      </c>
      <c r="G1041" s="31" t="s">
        <v>3929</v>
      </c>
      <c r="H1041" s="16" t="s">
        <v>143</v>
      </c>
      <c r="I1041" s="193" t="s">
        <v>3930</v>
      </c>
      <c r="J1041" s="193"/>
      <c r="K1041" s="193" t="s">
        <v>794</v>
      </c>
      <c r="L1041" s="125" t="s">
        <v>84</v>
      </c>
      <c r="M1041" s="96">
        <v>500000</v>
      </c>
      <c r="N1041" s="6" t="s">
        <v>1651</v>
      </c>
    </row>
    <row r="1042" spans="1:14" ht="27">
      <c r="A1042" s="123">
        <v>46</v>
      </c>
      <c r="B1042" s="970"/>
      <c r="C1042" s="369">
        <v>45971</v>
      </c>
      <c r="D1042" s="4" t="s">
        <v>3502</v>
      </c>
      <c r="E1042" s="4" t="s">
        <v>3541</v>
      </c>
      <c r="F1042" s="31" t="s">
        <v>3652</v>
      </c>
      <c r="G1042" s="31" t="s">
        <v>2890</v>
      </c>
      <c r="H1042" s="16" t="s">
        <v>3631</v>
      </c>
      <c r="I1042" s="193" t="s">
        <v>3931</v>
      </c>
      <c r="J1042" s="193"/>
      <c r="K1042" s="193" t="s">
        <v>3932</v>
      </c>
      <c r="L1042" s="125" t="s">
        <v>3576</v>
      </c>
      <c r="M1042" s="60" t="s">
        <v>3570</v>
      </c>
      <c r="N1042" s="6" t="s">
        <v>3933</v>
      </c>
    </row>
    <row r="1043" spans="1:14" ht="27">
      <c r="A1043" s="123">
        <v>46</v>
      </c>
      <c r="B1043" s="970"/>
      <c r="C1043" s="369">
        <v>45971</v>
      </c>
      <c r="D1043" s="4" t="s">
        <v>3540</v>
      </c>
      <c r="E1043" s="4" t="s">
        <v>3555</v>
      </c>
      <c r="F1043" s="31" t="s">
        <v>3728</v>
      </c>
      <c r="G1043" s="16">
        <v>3307</v>
      </c>
      <c r="H1043" s="4" t="s">
        <v>811</v>
      </c>
      <c r="I1043" s="193" t="s">
        <v>3934</v>
      </c>
      <c r="J1043" s="193" t="s">
        <v>3935</v>
      </c>
      <c r="K1043" s="193" t="s">
        <v>3936</v>
      </c>
      <c r="L1043" s="125" t="s">
        <v>3937</v>
      </c>
      <c r="M1043" s="60" t="s">
        <v>3510</v>
      </c>
      <c r="N1043" s="6" t="s">
        <v>3650</v>
      </c>
    </row>
    <row r="1044" spans="1:14" ht="27">
      <c r="A1044" s="123">
        <v>46</v>
      </c>
      <c r="B1044" s="970"/>
      <c r="C1044" s="369">
        <v>45971</v>
      </c>
      <c r="D1044" s="4" t="s">
        <v>21</v>
      </c>
      <c r="E1044" s="4" t="s">
        <v>3541</v>
      </c>
      <c r="F1044" s="31" t="s">
        <v>2130</v>
      </c>
      <c r="G1044" s="16" t="s">
        <v>3938</v>
      </c>
      <c r="H1044" s="4" t="s">
        <v>3875</v>
      </c>
      <c r="I1044" s="193" t="s">
        <v>3939</v>
      </c>
      <c r="J1044" s="31" t="s">
        <v>495</v>
      </c>
      <c r="K1044" s="193" t="s">
        <v>3940</v>
      </c>
      <c r="L1044" s="125" t="s">
        <v>84</v>
      </c>
      <c r="M1044" s="60" t="s">
        <v>3570</v>
      </c>
      <c r="N1044" s="6" t="s">
        <v>3941</v>
      </c>
    </row>
    <row r="1045" spans="1:14" ht="27">
      <c r="A1045" s="123">
        <v>46</v>
      </c>
      <c r="B1045" s="970"/>
      <c r="C1045" s="369">
        <v>45972</v>
      </c>
      <c r="D1045" s="4" t="s">
        <v>3566</v>
      </c>
      <c r="E1045" s="4" t="s">
        <v>3899</v>
      </c>
      <c r="F1045" s="31" t="s">
        <v>3658</v>
      </c>
      <c r="G1045" s="193" t="s">
        <v>3942</v>
      </c>
      <c r="H1045" s="16" t="s">
        <v>3943</v>
      </c>
      <c r="I1045" s="193" t="s">
        <v>3945</v>
      </c>
      <c r="J1045" s="31"/>
      <c r="K1045" s="193" t="s">
        <v>686</v>
      </c>
      <c r="L1045" s="125" t="s">
        <v>3523</v>
      </c>
      <c r="M1045" s="93">
        <v>250000</v>
      </c>
      <c r="N1045" s="6" t="s">
        <v>3946</v>
      </c>
    </row>
    <row r="1046" spans="1:14" ht="27">
      <c r="A1046" s="123">
        <v>46</v>
      </c>
      <c r="B1046" s="970"/>
      <c r="C1046" s="369">
        <v>45972</v>
      </c>
      <c r="D1046" s="4" t="s">
        <v>3512</v>
      </c>
      <c r="E1046" s="4" t="s">
        <v>3899</v>
      </c>
      <c r="F1046" s="31" t="s">
        <v>3728</v>
      </c>
      <c r="G1046" s="193" t="s">
        <v>3947</v>
      </c>
      <c r="H1046" s="16" t="s">
        <v>3901</v>
      </c>
      <c r="I1046" s="193" t="s">
        <v>3944</v>
      </c>
      <c r="J1046" s="31"/>
      <c r="K1046" s="193" t="s">
        <v>3948</v>
      </c>
      <c r="L1046" s="125" t="s">
        <v>3798</v>
      </c>
      <c r="M1046" s="60" t="s">
        <v>3440</v>
      </c>
      <c r="N1046" s="6" t="s">
        <v>3949</v>
      </c>
    </row>
    <row r="1047" spans="1:14" ht="27">
      <c r="A1047" s="123">
        <v>46</v>
      </c>
      <c r="B1047" s="970"/>
      <c r="C1047" s="369">
        <v>45972</v>
      </c>
      <c r="D1047" s="4" t="s">
        <v>3694</v>
      </c>
      <c r="E1047" s="4" t="s">
        <v>3578</v>
      </c>
      <c r="F1047" s="31" t="s">
        <v>3686</v>
      </c>
      <c r="G1047" s="193" t="s">
        <v>3894</v>
      </c>
      <c r="H1047" s="16" t="s">
        <v>3658</v>
      </c>
      <c r="I1047" s="193" t="s">
        <v>3950</v>
      </c>
      <c r="J1047" s="31" t="s">
        <v>120</v>
      </c>
      <c r="K1047" s="193" t="s">
        <v>3803</v>
      </c>
      <c r="L1047" s="125" t="s">
        <v>3584</v>
      </c>
      <c r="M1047" s="93">
        <v>300000</v>
      </c>
      <c r="N1047" s="6" t="s">
        <v>3946</v>
      </c>
    </row>
    <row r="1048" spans="1:14">
      <c r="A1048" s="123">
        <v>46</v>
      </c>
      <c r="B1048" s="970"/>
      <c r="C1048" s="369">
        <v>45972</v>
      </c>
      <c r="D1048" s="4" t="s">
        <v>3694</v>
      </c>
      <c r="E1048" s="4" t="s">
        <v>3487</v>
      </c>
      <c r="F1048" s="31" t="s">
        <v>3504</v>
      </c>
      <c r="G1048" s="31" t="s">
        <v>3844</v>
      </c>
      <c r="H1048" s="16" t="s">
        <v>3692</v>
      </c>
      <c r="I1048" s="193" t="s">
        <v>3951</v>
      </c>
      <c r="J1048" s="31"/>
      <c r="K1048" s="193" t="s">
        <v>3952</v>
      </c>
      <c r="L1048" s="125" t="s">
        <v>3599</v>
      </c>
      <c r="M1048" s="93">
        <v>250000</v>
      </c>
      <c r="N1048" s="6" t="s">
        <v>3539</v>
      </c>
    </row>
    <row r="1049" spans="1:14">
      <c r="A1049" s="123">
        <v>47</v>
      </c>
      <c r="B1049" s="970" t="s">
        <v>175</v>
      </c>
      <c r="C1049" s="401">
        <v>45976</v>
      </c>
      <c r="D1049" s="4" t="s">
        <v>306</v>
      </c>
      <c r="E1049" s="4" t="s">
        <v>322</v>
      </c>
      <c r="F1049" s="4" t="s">
        <v>3953</v>
      </c>
      <c r="G1049" s="193" t="s">
        <v>3630</v>
      </c>
      <c r="H1049" s="125" t="s">
        <v>3706</v>
      </c>
      <c r="I1049" s="400" t="s">
        <v>3954</v>
      </c>
      <c r="J1049" s="4" t="s">
        <v>737</v>
      </c>
      <c r="K1049" s="4" t="s">
        <v>3955</v>
      </c>
      <c r="L1049" s="4"/>
      <c r="M1049" s="96">
        <v>250000</v>
      </c>
      <c r="N1049" s="125" t="s">
        <v>3956</v>
      </c>
    </row>
    <row r="1050" spans="1:14">
      <c r="A1050" s="123">
        <v>47</v>
      </c>
      <c r="B1050" s="970"/>
      <c r="C1050" s="401">
        <v>45978</v>
      </c>
      <c r="D1050" s="4" t="s">
        <v>306</v>
      </c>
      <c r="E1050" s="4" t="s">
        <v>322</v>
      </c>
      <c r="F1050" s="4" t="s">
        <v>3957</v>
      </c>
      <c r="G1050" s="193" t="s">
        <v>3958</v>
      </c>
      <c r="H1050" s="125" t="s">
        <v>3959</v>
      </c>
      <c r="I1050" s="400" t="s">
        <v>3960</v>
      </c>
      <c r="J1050" s="4" t="s">
        <v>3418</v>
      </c>
      <c r="K1050" s="4" t="s">
        <v>3522</v>
      </c>
      <c r="L1050" s="4"/>
      <c r="M1050" s="96">
        <v>250000</v>
      </c>
      <c r="N1050" s="125"/>
    </row>
    <row r="1051" spans="1:14">
      <c r="A1051" s="123">
        <v>47</v>
      </c>
      <c r="B1051" s="970"/>
      <c r="C1051" s="401" t="s">
        <v>3961</v>
      </c>
      <c r="D1051" s="4" t="s">
        <v>306</v>
      </c>
      <c r="E1051" s="4" t="s">
        <v>322</v>
      </c>
      <c r="F1051" s="4" t="s">
        <v>307</v>
      </c>
      <c r="G1051" s="193">
        <v>3006</v>
      </c>
      <c r="H1051" s="125" t="s">
        <v>3416</v>
      </c>
      <c r="I1051" s="400" t="s">
        <v>3400</v>
      </c>
      <c r="J1051" s="4" t="s">
        <v>3683</v>
      </c>
      <c r="K1051" s="4" t="s">
        <v>3676</v>
      </c>
      <c r="L1051" s="4"/>
      <c r="M1051" s="96">
        <v>750000</v>
      </c>
      <c r="N1051" s="125"/>
    </row>
    <row r="1052" spans="1:14">
      <c r="A1052" s="123">
        <v>47</v>
      </c>
      <c r="B1052" s="970"/>
      <c r="C1052" s="401" t="s">
        <v>3962</v>
      </c>
      <c r="D1052" s="4" t="s">
        <v>306</v>
      </c>
      <c r="E1052" s="4" t="s">
        <v>322</v>
      </c>
      <c r="F1052" s="4" t="s">
        <v>307</v>
      </c>
      <c r="G1052" s="193" t="s">
        <v>3769</v>
      </c>
      <c r="H1052" s="125" t="s">
        <v>3963</v>
      </c>
      <c r="I1052" s="400" t="s">
        <v>3964</v>
      </c>
      <c r="J1052" s="4" t="s">
        <v>737</v>
      </c>
      <c r="K1052" s="4" t="s">
        <v>3965</v>
      </c>
      <c r="L1052" s="4"/>
      <c r="M1052" s="96">
        <v>500000</v>
      </c>
      <c r="N1052" s="125"/>
    </row>
    <row r="1053" spans="1:14" ht="15.75" customHeight="1">
      <c r="A1053" s="123">
        <v>47</v>
      </c>
      <c r="B1053" s="970"/>
      <c r="C1053" s="4" t="s">
        <v>3966</v>
      </c>
      <c r="D1053" s="4" t="s">
        <v>306</v>
      </c>
      <c r="E1053" s="4" t="s">
        <v>322</v>
      </c>
      <c r="F1053" s="4" t="s">
        <v>307</v>
      </c>
      <c r="G1053" s="193" t="s">
        <v>3967</v>
      </c>
      <c r="H1053" s="125" t="s">
        <v>3875</v>
      </c>
      <c r="I1053" s="400" t="s">
        <v>3675</v>
      </c>
      <c r="J1053" s="4" t="s">
        <v>3560</v>
      </c>
      <c r="K1053" s="4" t="s">
        <v>3968</v>
      </c>
      <c r="L1053" s="4"/>
      <c r="M1053" s="96">
        <v>750000</v>
      </c>
      <c r="N1053" s="125"/>
    </row>
    <row r="1054" spans="1:14" ht="27">
      <c r="A1054" s="123">
        <v>47</v>
      </c>
      <c r="B1054" s="970" t="s">
        <v>3554</v>
      </c>
      <c r="C1054" s="369">
        <v>45975</v>
      </c>
      <c r="D1054" s="4" t="s">
        <v>3485</v>
      </c>
      <c r="E1054" s="4" t="s">
        <v>30</v>
      </c>
      <c r="F1054" s="31" t="s">
        <v>3969</v>
      </c>
      <c r="G1054" s="193" t="s">
        <v>3971</v>
      </c>
      <c r="H1054" s="16" t="s">
        <v>3972</v>
      </c>
      <c r="I1054" s="193" t="s">
        <v>3973</v>
      </c>
      <c r="J1054" s="193" t="s">
        <v>3766</v>
      </c>
      <c r="K1054" s="193" t="s">
        <v>3974</v>
      </c>
      <c r="L1054" s="125" t="s">
        <v>84</v>
      </c>
      <c r="M1054" s="93">
        <v>600000</v>
      </c>
      <c r="N1054" s="6" t="s">
        <v>3975</v>
      </c>
    </row>
    <row r="1055" spans="1:14">
      <c r="A1055" s="123">
        <v>47</v>
      </c>
      <c r="B1055" s="970"/>
      <c r="C1055" s="369">
        <v>45975</v>
      </c>
      <c r="D1055" s="4" t="s">
        <v>3554</v>
      </c>
      <c r="E1055" s="4" t="s">
        <v>30</v>
      </c>
      <c r="F1055" s="31" t="s">
        <v>3976</v>
      </c>
      <c r="G1055" s="31" t="s">
        <v>3736</v>
      </c>
      <c r="H1055" s="16" t="s">
        <v>3977</v>
      </c>
      <c r="I1055" s="193" t="s">
        <v>3978</v>
      </c>
      <c r="J1055" s="193"/>
      <c r="K1055" s="193" t="s">
        <v>3614</v>
      </c>
      <c r="L1055" s="125" t="s">
        <v>3599</v>
      </c>
      <c r="M1055" s="93">
        <v>300000</v>
      </c>
      <c r="N1055" s="6" t="s">
        <v>3979</v>
      </c>
    </row>
    <row r="1056" spans="1:14" ht="27">
      <c r="A1056" s="123">
        <v>47</v>
      </c>
      <c r="B1056" s="970"/>
      <c r="C1056" s="369">
        <v>45976</v>
      </c>
      <c r="D1056" s="4" t="s">
        <v>21</v>
      </c>
      <c r="E1056" s="4" t="s">
        <v>3548</v>
      </c>
      <c r="F1056" s="31" t="s">
        <v>3969</v>
      </c>
      <c r="G1056" s="193" t="s">
        <v>3971</v>
      </c>
      <c r="H1056" s="16" t="s">
        <v>3980</v>
      </c>
      <c r="I1056" s="193" t="s">
        <v>3981</v>
      </c>
      <c r="J1056" s="193" t="s">
        <v>3797</v>
      </c>
      <c r="K1056" s="193" t="s">
        <v>3955</v>
      </c>
      <c r="L1056" s="125" t="s">
        <v>84</v>
      </c>
      <c r="M1056" s="93">
        <v>250000</v>
      </c>
      <c r="N1056" s="6" t="s">
        <v>3982</v>
      </c>
    </row>
    <row r="1057" spans="1:14">
      <c r="A1057" s="123">
        <v>47</v>
      </c>
      <c r="B1057" s="970"/>
      <c r="C1057" s="369">
        <v>45976</v>
      </c>
      <c r="D1057" s="4" t="s">
        <v>3694</v>
      </c>
      <c r="E1057" s="4" t="s">
        <v>3518</v>
      </c>
      <c r="F1057" s="31" t="s">
        <v>3691</v>
      </c>
      <c r="G1057" s="31">
        <v>3307</v>
      </c>
      <c r="H1057" s="16" t="s">
        <v>3659</v>
      </c>
      <c r="I1057" s="193" t="s">
        <v>3983</v>
      </c>
      <c r="J1057" s="193"/>
      <c r="K1057" s="193" t="s">
        <v>3644</v>
      </c>
      <c r="L1057" s="125" t="s">
        <v>566</v>
      </c>
      <c r="M1057" s="93">
        <v>250000</v>
      </c>
      <c r="N1057" s="6" t="s">
        <v>3984</v>
      </c>
    </row>
    <row r="1058" spans="1:14" ht="27">
      <c r="A1058" s="123">
        <v>47</v>
      </c>
      <c r="B1058" s="970"/>
      <c r="C1058" s="369">
        <v>45976</v>
      </c>
      <c r="D1058" s="4" t="s">
        <v>21</v>
      </c>
      <c r="E1058" s="4" t="s">
        <v>3555</v>
      </c>
      <c r="F1058" s="31" t="s">
        <v>3985</v>
      </c>
      <c r="G1058" s="193" t="s">
        <v>3986</v>
      </c>
      <c r="H1058" s="16" t="s">
        <v>3987</v>
      </c>
      <c r="I1058" s="193" t="s">
        <v>3988</v>
      </c>
      <c r="J1058" s="193" t="s">
        <v>120</v>
      </c>
      <c r="K1058" s="193" t="s">
        <v>686</v>
      </c>
      <c r="L1058" s="125" t="s">
        <v>3523</v>
      </c>
      <c r="M1058" s="93">
        <v>250000</v>
      </c>
      <c r="N1058" s="6" t="s">
        <v>3989</v>
      </c>
    </row>
    <row r="1059" spans="1:14">
      <c r="A1059" s="123">
        <v>47</v>
      </c>
      <c r="B1059" s="970"/>
      <c r="C1059" s="369">
        <v>45978</v>
      </c>
      <c r="D1059" s="4" t="s">
        <v>3433</v>
      </c>
      <c r="E1059" s="4" t="s">
        <v>3555</v>
      </c>
      <c r="F1059" s="31" t="s">
        <v>3990</v>
      </c>
      <c r="G1059" s="31" t="s">
        <v>3929</v>
      </c>
      <c r="H1059" s="16" t="s">
        <v>3606</v>
      </c>
      <c r="I1059" s="193" t="s">
        <v>3991</v>
      </c>
      <c r="J1059" s="193"/>
      <c r="K1059" s="193" t="s">
        <v>3552</v>
      </c>
      <c r="L1059" s="125" t="s">
        <v>3523</v>
      </c>
      <c r="M1059" s="93">
        <v>250000</v>
      </c>
      <c r="N1059" s="6" t="s">
        <v>3794</v>
      </c>
    </row>
    <row r="1060" spans="1:14">
      <c r="A1060" s="123">
        <v>47</v>
      </c>
      <c r="B1060" s="970"/>
      <c r="C1060" s="369">
        <v>45978</v>
      </c>
      <c r="D1060" s="4" t="s">
        <v>21</v>
      </c>
      <c r="E1060" s="4" t="s">
        <v>3496</v>
      </c>
      <c r="F1060" s="193" t="s">
        <v>3992</v>
      </c>
      <c r="G1060" s="31" t="s">
        <v>3993</v>
      </c>
      <c r="H1060" s="16" t="s">
        <v>3581</v>
      </c>
      <c r="I1060" s="193" t="s">
        <v>3994</v>
      </c>
      <c r="J1060" s="31" t="s">
        <v>3491</v>
      </c>
      <c r="K1060" s="31" t="s">
        <v>3952</v>
      </c>
      <c r="L1060" s="125" t="s">
        <v>3599</v>
      </c>
      <c r="M1060" s="93">
        <v>250000</v>
      </c>
      <c r="N1060" s="6" t="s">
        <v>3799</v>
      </c>
    </row>
    <row r="1061" spans="1:14" ht="27">
      <c r="A1061" s="123">
        <v>47</v>
      </c>
      <c r="B1061" s="970"/>
      <c r="C1061" s="369">
        <v>45978</v>
      </c>
      <c r="D1061" s="4" t="s">
        <v>3885</v>
      </c>
      <c r="E1061" s="4" t="s">
        <v>30</v>
      </c>
      <c r="F1061" s="31" t="s">
        <v>3995</v>
      </c>
      <c r="G1061" s="193" t="s">
        <v>3970</v>
      </c>
      <c r="H1061" s="16" t="s">
        <v>3581</v>
      </c>
      <c r="I1061" s="193" t="s">
        <v>3996</v>
      </c>
      <c r="J1061" s="193"/>
      <c r="K1061" s="193" t="s">
        <v>3997</v>
      </c>
      <c r="L1061" s="125" t="s">
        <v>84</v>
      </c>
      <c r="M1061" s="93">
        <v>300000</v>
      </c>
      <c r="N1061" s="6" t="s">
        <v>3603</v>
      </c>
    </row>
    <row r="1062" spans="1:14">
      <c r="A1062" s="123">
        <v>47</v>
      </c>
      <c r="B1062" s="970"/>
      <c r="C1062" s="369">
        <v>45979</v>
      </c>
      <c r="D1062" s="4" t="s">
        <v>3540</v>
      </c>
      <c r="E1062" s="4" t="s">
        <v>3434</v>
      </c>
      <c r="F1062" s="291" t="s">
        <v>3998</v>
      </c>
      <c r="G1062" s="31" t="s">
        <v>3999</v>
      </c>
      <c r="H1062" s="16" t="s">
        <v>3581</v>
      </c>
      <c r="I1062" s="314" t="s">
        <v>4000</v>
      </c>
      <c r="J1062" s="31"/>
      <c r="K1062" s="193" t="s">
        <v>3575</v>
      </c>
      <c r="L1062" s="125" t="s">
        <v>3523</v>
      </c>
      <c r="M1062" s="93">
        <v>300000</v>
      </c>
      <c r="N1062" s="6" t="s">
        <v>3243</v>
      </c>
    </row>
    <row r="1063" spans="1:14">
      <c r="A1063" s="123">
        <v>47</v>
      </c>
      <c r="B1063" s="970"/>
      <c r="C1063" s="369">
        <v>45979</v>
      </c>
      <c r="D1063" s="4" t="s">
        <v>3486</v>
      </c>
      <c r="E1063" s="4" t="s">
        <v>3555</v>
      </c>
      <c r="F1063" s="291" t="s">
        <v>3549</v>
      </c>
      <c r="G1063" s="31" t="s">
        <v>3524</v>
      </c>
      <c r="H1063" s="16" t="s">
        <v>4001</v>
      </c>
      <c r="I1063" s="314" t="s">
        <v>4002</v>
      </c>
      <c r="J1063" s="31"/>
      <c r="K1063" s="193" t="s">
        <v>3644</v>
      </c>
      <c r="L1063" s="125" t="s">
        <v>3509</v>
      </c>
      <c r="M1063" s="93">
        <v>250000</v>
      </c>
      <c r="N1063" s="6" t="s">
        <v>3243</v>
      </c>
    </row>
    <row r="1064" spans="1:14" ht="27">
      <c r="A1064" s="123">
        <v>47</v>
      </c>
      <c r="B1064" s="970"/>
      <c r="C1064" s="369">
        <v>45979</v>
      </c>
      <c r="D1064" s="4" t="s">
        <v>3694</v>
      </c>
      <c r="E1064" s="4" t="s">
        <v>3503</v>
      </c>
      <c r="F1064" s="31" t="s">
        <v>158</v>
      </c>
      <c r="G1064" s="193" t="s">
        <v>4003</v>
      </c>
      <c r="H1064" s="16" t="s">
        <v>4001</v>
      </c>
      <c r="I1064" s="193" t="s">
        <v>3390</v>
      </c>
      <c r="J1064" s="193" t="s">
        <v>3797</v>
      </c>
      <c r="K1064" s="193" t="s">
        <v>686</v>
      </c>
      <c r="L1064" s="125" t="s">
        <v>84</v>
      </c>
      <c r="M1064" s="93">
        <v>250000</v>
      </c>
      <c r="N1064" s="6" t="s">
        <v>3794</v>
      </c>
    </row>
    <row r="1065" spans="1:14" ht="27">
      <c r="A1065" s="123">
        <v>47</v>
      </c>
      <c r="B1065" s="970"/>
      <c r="C1065" s="369">
        <v>45979</v>
      </c>
      <c r="D1065" s="4" t="s">
        <v>3486</v>
      </c>
      <c r="E1065" s="4" t="s">
        <v>3548</v>
      </c>
      <c r="F1065" s="31" t="s">
        <v>4004</v>
      </c>
      <c r="G1065" s="193" t="s">
        <v>3970</v>
      </c>
      <c r="H1065" s="16" t="s">
        <v>4001</v>
      </c>
      <c r="I1065" s="193" t="s">
        <v>4005</v>
      </c>
      <c r="J1065" s="193" t="s">
        <v>3797</v>
      </c>
      <c r="K1065" s="193" t="s">
        <v>4006</v>
      </c>
      <c r="L1065" s="125" t="s">
        <v>3553</v>
      </c>
      <c r="M1065" s="93">
        <v>300000</v>
      </c>
      <c r="N1065" s="6" t="s">
        <v>3610</v>
      </c>
    </row>
    <row r="1066" spans="1:14">
      <c r="A1066" s="123">
        <v>47</v>
      </c>
      <c r="B1066" s="970"/>
      <c r="C1066" s="369" t="s">
        <v>4007</v>
      </c>
      <c r="D1066" s="4" t="s">
        <v>3512</v>
      </c>
      <c r="E1066" s="4" t="s">
        <v>3518</v>
      </c>
      <c r="F1066" s="31" t="s">
        <v>4008</v>
      </c>
      <c r="G1066" s="193" t="s">
        <v>4009</v>
      </c>
      <c r="H1066" s="16" t="s">
        <v>3489</v>
      </c>
      <c r="I1066" s="193" t="s">
        <v>4011</v>
      </c>
      <c r="J1066" s="193" t="s">
        <v>3521</v>
      </c>
      <c r="K1066" s="193" t="s">
        <v>4012</v>
      </c>
      <c r="L1066" s="125" t="s">
        <v>84</v>
      </c>
      <c r="M1066" s="93">
        <v>600000</v>
      </c>
      <c r="N1066" s="6" t="s">
        <v>3547</v>
      </c>
    </row>
    <row r="1067" spans="1:14">
      <c r="A1067" s="123">
        <v>47</v>
      </c>
      <c r="B1067" s="970"/>
      <c r="C1067" s="369" t="s">
        <v>4013</v>
      </c>
      <c r="D1067" s="4" t="s">
        <v>3502</v>
      </c>
      <c r="E1067" s="4" t="s">
        <v>3578</v>
      </c>
      <c r="F1067" s="31" t="s">
        <v>4014</v>
      </c>
      <c r="G1067" s="193" t="s">
        <v>4009</v>
      </c>
      <c r="H1067" s="16" t="s">
        <v>3499</v>
      </c>
      <c r="I1067" s="193" t="s">
        <v>4010</v>
      </c>
      <c r="J1067" s="193" t="s">
        <v>3613</v>
      </c>
      <c r="K1067" s="193" t="s">
        <v>3668</v>
      </c>
      <c r="L1067" s="125" t="s">
        <v>3523</v>
      </c>
      <c r="M1067" s="93">
        <v>500000</v>
      </c>
      <c r="N1067" s="6" t="s">
        <v>3799</v>
      </c>
    </row>
    <row r="1068" spans="1:14" ht="27">
      <c r="A1068" s="123">
        <v>47</v>
      </c>
      <c r="B1068" s="970"/>
      <c r="C1068" s="369">
        <v>45980</v>
      </c>
      <c r="D1068" s="4" t="s">
        <v>3512</v>
      </c>
      <c r="E1068" s="4" t="s">
        <v>17</v>
      </c>
      <c r="F1068" s="31" t="s">
        <v>3652</v>
      </c>
      <c r="G1068" s="193" t="s">
        <v>3900</v>
      </c>
      <c r="H1068" s="16" t="s">
        <v>3902</v>
      </c>
      <c r="I1068" s="193" t="s">
        <v>3908</v>
      </c>
      <c r="J1068" s="31"/>
      <c r="K1068" s="193" t="s">
        <v>3614</v>
      </c>
      <c r="L1068" s="125" t="s">
        <v>84</v>
      </c>
      <c r="M1068" s="93">
        <v>300000</v>
      </c>
      <c r="N1068" s="6" t="s">
        <v>3910</v>
      </c>
    </row>
    <row r="1069" spans="1:14">
      <c r="A1069" s="123">
        <v>47</v>
      </c>
      <c r="B1069" s="970"/>
      <c r="C1069" s="369">
        <v>45982</v>
      </c>
      <c r="D1069" s="4" t="s">
        <v>3694</v>
      </c>
      <c r="E1069" s="4" t="s">
        <v>3541</v>
      </c>
      <c r="F1069" s="31" t="s">
        <v>381</v>
      </c>
      <c r="G1069" s="31" t="s">
        <v>3735</v>
      </c>
      <c r="H1069" s="16" t="s">
        <v>4015</v>
      </c>
      <c r="I1069" s="193" t="s">
        <v>4016</v>
      </c>
      <c r="J1069" s="193"/>
      <c r="K1069" s="31" t="s">
        <v>3641</v>
      </c>
      <c r="L1069" s="125" t="s">
        <v>3509</v>
      </c>
      <c r="M1069" s="93">
        <v>500000</v>
      </c>
      <c r="N1069" s="6" t="s">
        <v>3397</v>
      </c>
    </row>
    <row r="1070" spans="1:14" ht="24">
      <c r="A1070" s="123">
        <v>47</v>
      </c>
      <c r="B1070" s="970"/>
      <c r="C1070" s="369">
        <v>45982</v>
      </c>
      <c r="D1070" s="4" t="s">
        <v>3433</v>
      </c>
      <c r="E1070" s="4" t="s">
        <v>3555</v>
      </c>
      <c r="F1070" s="291" t="s">
        <v>3542</v>
      </c>
      <c r="G1070" s="31" t="s">
        <v>3572</v>
      </c>
      <c r="H1070" s="16" t="s">
        <v>4017</v>
      </c>
      <c r="I1070" s="314" t="s">
        <v>4018</v>
      </c>
      <c r="J1070" s="31"/>
      <c r="K1070" s="193" t="s">
        <v>4019</v>
      </c>
      <c r="L1070" s="125" t="s">
        <v>309</v>
      </c>
      <c r="M1070" s="93">
        <v>300000</v>
      </c>
      <c r="N1070" s="6" t="s">
        <v>3557</v>
      </c>
    </row>
    <row r="1071" spans="1:14" ht="24">
      <c r="A1071" s="123">
        <v>47</v>
      </c>
      <c r="B1071" s="970"/>
      <c r="C1071" s="369">
        <v>45982</v>
      </c>
      <c r="D1071" s="4" t="s">
        <v>21</v>
      </c>
      <c r="E1071" s="4" t="s">
        <v>3503</v>
      </c>
      <c r="F1071" s="291" t="s">
        <v>3567</v>
      </c>
      <c r="G1071" s="31" t="s">
        <v>3572</v>
      </c>
      <c r="H1071" s="16" t="s">
        <v>4020</v>
      </c>
      <c r="I1071" s="314" t="s">
        <v>4021</v>
      </c>
      <c r="J1071" s="31"/>
      <c r="K1071" s="193" t="s">
        <v>3877</v>
      </c>
      <c r="L1071" s="125" t="s">
        <v>309</v>
      </c>
      <c r="M1071" s="93">
        <v>250000</v>
      </c>
      <c r="N1071" s="6" t="s">
        <v>3557</v>
      </c>
    </row>
    <row r="1072" spans="1:14">
      <c r="A1072" s="123">
        <v>48</v>
      </c>
      <c r="B1072" s="970" t="s">
        <v>4022</v>
      </c>
      <c r="C1072" s="401" t="s">
        <v>4023</v>
      </c>
      <c r="D1072" s="4" t="s">
        <v>306</v>
      </c>
      <c r="E1072" s="4" t="s">
        <v>322</v>
      </c>
      <c r="F1072" s="4" t="s">
        <v>307</v>
      </c>
      <c r="G1072" s="193">
        <v>3011</v>
      </c>
      <c r="H1072" s="125" t="s">
        <v>3581</v>
      </c>
      <c r="I1072" s="400" t="s">
        <v>1874</v>
      </c>
      <c r="J1072" s="4" t="s">
        <v>3626</v>
      </c>
      <c r="K1072" s="4" t="s">
        <v>4024</v>
      </c>
      <c r="L1072" s="4"/>
      <c r="M1072" s="96">
        <v>1000000</v>
      </c>
      <c r="N1072" s="125" t="s">
        <v>4025</v>
      </c>
    </row>
    <row r="1073" spans="1:14">
      <c r="A1073" s="123">
        <v>48</v>
      </c>
      <c r="B1073" s="970"/>
      <c r="C1073" s="401" t="s">
        <v>4026</v>
      </c>
      <c r="D1073" s="4" t="s">
        <v>306</v>
      </c>
      <c r="E1073" s="4" t="s">
        <v>322</v>
      </c>
      <c r="F1073" s="4" t="s">
        <v>307</v>
      </c>
      <c r="G1073" s="193" t="s">
        <v>4027</v>
      </c>
      <c r="H1073" s="125" t="s">
        <v>23</v>
      </c>
      <c r="I1073" s="400" t="s">
        <v>4028</v>
      </c>
      <c r="J1073" s="4" t="s">
        <v>3560</v>
      </c>
      <c r="K1073" s="4" t="s">
        <v>3923</v>
      </c>
      <c r="L1073" s="4"/>
      <c r="M1073" s="96">
        <v>750000</v>
      </c>
      <c r="N1073" s="125"/>
    </row>
    <row r="1074" spans="1:14">
      <c r="A1074" s="123">
        <v>48</v>
      </c>
      <c r="B1074" s="970"/>
      <c r="C1074" s="401" t="s">
        <v>4026</v>
      </c>
      <c r="D1074" s="4" t="s">
        <v>306</v>
      </c>
      <c r="E1074" s="4" t="s">
        <v>322</v>
      </c>
      <c r="F1074" s="4" t="s">
        <v>307</v>
      </c>
      <c r="G1074" s="193">
        <v>3006</v>
      </c>
      <c r="H1074" s="125" t="s">
        <v>3666</v>
      </c>
      <c r="I1074" s="400" t="s">
        <v>4029</v>
      </c>
      <c r="J1074" s="4" t="s">
        <v>3418</v>
      </c>
      <c r="K1074" s="4" t="s">
        <v>4030</v>
      </c>
      <c r="L1074" s="4"/>
      <c r="M1074" s="96">
        <v>500000</v>
      </c>
      <c r="N1074" s="125"/>
    </row>
    <row r="1075" spans="1:14" ht="27">
      <c r="A1075" s="123">
        <v>48</v>
      </c>
      <c r="B1075" s="970" t="s">
        <v>3540</v>
      </c>
      <c r="C1075" s="369">
        <v>45978</v>
      </c>
      <c r="D1075" s="4" t="s">
        <v>3554</v>
      </c>
      <c r="E1075" s="4" t="s">
        <v>3578</v>
      </c>
      <c r="F1075" s="31" t="s">
        <v>4031</v>
      </c>
      <c r="G1075" s="193" t="s">
        <v>3986</v>
      </c>
      <c r="H1075" s="16" t="s">
        <v>23</v>
      </c>
      <c r="I1075" s="193" t="s">
        <v>4032</v>
      </c>
      <c r="J1075" s="193"/>
      <c r="K1075" s="193" t="s">
        <v>3583</v>
      </c>
      <c r="L1075" s="125" t="s">
        <v>84</v>
      </c>
      <c r="M1075" s="93">
        <v>300000</v>
      </c>
      <c r="N1075" s="6" t="s">
        <v>4033</v>
      </c>
    </row>
    <row r="1076" spans="1:14">
      <c r="A1076" s="123">
        <v>48</v>
      </c>
      <c r="B1076" s="970"/>
      <c r="C1076" s="369">
        <v>45979</v>
      </c>
      <c r="D1076" s="4" t="s">
        <v>3512</v>
      </c>
      <c r="E1076" s="4" t="s">
        <v>3496</v>
      </c>
      <c r="F1076" s="193" t="s">
        <v>4034</v>
      </c>
      <c r="G1076" s="31" t="s">
        <v>4035</v>
      </c>
      <c r="H1076" s="16" t="s">
        <v>3840</v>
      </c>
      <c r="I1076" s="193" t="s">
        <v>4036</v>
      </c>
      <c r="J1076" s="31"/>
      <c r="K1076" s="31" t="s">
        <v>4037</v>
      </c>
      <c r="L1076" s="125" t="s">
        <v>3576</v>
      </c>
      <c r="M1076" s="93">
        <v>300000</v>
      </c>
      <c r="N1076" s="6" t="s">
        <v>4038</v>
      </c>
    </row>
    <row r="1077" spans="1:14" ht="27">
      <c r="A1077" s="123">
        <v>48</v>
      </c>
      <c r="B1077" s="970"/>
      <c r="C1077" s="369">
        <v>45980</v>
      </c>
      <c r="D1077" s="4" t="s">
        <v>3502</v>
      </c>
      <c r="E1077" s="4" t="s">
        <v>3496</v>
      </c>
      <c r="F1077" s="31" t="s">
        <v>3549</v>
      </c>
      <c r="G1077" s="193" t="s">
        <v>4039</v>
      </c>
      <c r="H1077" s="16" t="s">
        <v>1382</v>
      </c>
      <c r="I1077" s="193" t="s">
        <v>4040</v>
      </c>
      <c r="J1077" s="31" t="s">
        <v>495</v>
      </c>
      <c r="K1077" s="125" t="s">
        <v>686</v>
      </c>
      <c r="L1077" s="125" t="s">
        <v>3798</v>
      </c>
      <c r="M1077" s="93">
        <v>250000</v>
      </c>
      <c r="N1077" s="6" t="s">
        <v>4042</v>
      </c>
    </row>
    <row r="1078" spans="1:14" ht="27">
      <c r="A1078" s="123">
        <v>48</v>
      </c>
      <c r="B1078" s="970"/>
      <c r="C1078" s="369">
        <v>45981</v>
      </c>
      <c r="D1078" s="4" t="s">
        <v>3502</v>
      </c>
      <c r="E1078" s="4" t="s">
        <v>3578</v>
      </c>
      <c r="F1078" s="31" t="s">
        <v>158</v>
      </c>
      <c r="G1078" s="193" t="s">
        <v>4043</v>
      </c>
      <c r="H1078" s="16" t="s">
        <v>3581</v>
      </c>
      <c r="I1078" s="193" t="s">
        <v>4044</v>
      </c>
      <c r="J1078" s="31"/>
      <c r="K1078" s="125" t="s">
        <v>3952</v>
      </c>
      <c r="L1078" s="125" t="s">
        <v>3576</v>
      </c>
      <c r="M1078" s="93">
        <v>250000</v>
      </c>
      <c r="N1078" s="6" t="s">
        <v>4045</v>
      </c>
    </row>
    <row r="1079" spans="1:14">
      <c r="A1079" s="123">
        <v>48</v>
      </c>
      <c r="B1079" s="970"/>
      <c r="C1079" s="369">
        <v>45981</v>
      </c>
      <c r="D1079" s="4" t="s">
        <v>3540</v>
      </c>
      <c r="E1079" s="4" t="s">
        <v>30</v>
      </c>
      <c r="F1079" s="193" t="s">
        <v>4046</v>
      </c>
      <c r="G1079" s="31" t="s">
        <v>4047</v>
      </c>
      <c r="H1079" s="16" t="s">
        <v>3499</v>
      </c>
      <c r="I1079" s="193" t="s">
        <v>4048</v>
      </c>
      <c r="J1079" s="31"/>
      <c r="K1079" s="31" t="s">
        <v>4049</v>
      </c>
      <c r="L1079" s="125" t="s">
        <v>3553</v>
      </c>
      <c r="M1079" s="93">
        <v>300000</v>
      </c>
      <c r="N1079" s="6" t="s">
        <v>4050</v>
      </c>
    </row>
    <row r="1080" spans="1:14" ht="27">
      <c r="A1080" s="123">
        <v>48</v>
      </c>
      <c r="B1080" s="970"/>
      <c r="C1080" s="369">
        <v>45983</v>
      </c>
      <c r="D1080" s="4" t="s">
        <v>3540</v>
      </c>
      <c r="E1080" s="4" t="s">
        <v>3555</v>
      </c>
      <c r="F1080" s="31" t="s">
        <v>4051</v>
      </c>
      <c r="G1080" s="193" t="s">
        <v>3971</v>
      </c>
      <c r="H1080" s="16" t="s">
        <v>4052</v>
      </c>
      <c r="I1080" s="193" t="s">
        <v>4053</v>
      </c>
      <c r="J1080" s="31"/>
      <c r="K1080" s="125" t="s">
        <v>4054</v>
      </c>
      <c r="L1080" s="125" t="s">
        <v>3523</v>
      </c>
      <c r="M1080" s="93">
        <v>750000</v>
      </c>
      <c r="N1080" s="6" t="s">
        <v>4041</v>
      </c>
    </row>
    <row r="1081" spans="1:14">
      <c r="A1081" s="123">
        <v>48</v>
      </c>
      <c r="B1081" s="970"/>
      <c r="C1081" s="369">
        <v>45984</v>
      </c>
      <c r="D1081" s="4" t="s">
        <v>3485</v>
      </c>
      <c r="E1081" s="4" t="s">
        <v>3555</v>
      </c>
      <c r="F1081" s="193" t="s">
        <v>3529</v>
      </c>
      <c r="G1081" s="31">
        <v>3307</v>
      </c>
      <c r="H1081" s="4" t="s">
        <v>811</v>
      </c>
      <c r="I1081" s="193" t="s">
        <v>4055</v>
      </c>
      <c r="J1081" s="31" t="s">
        <v>3608</v>
      </c>
      <c r="K1081" s="125" t="s">
        <v>4056</v>
      </c>
      <c r="L1081" s="125" t="s">
        <v>566</v>
      </c>
      <c r="M1081" s="93">
        <v>500000</v>
      </c>
      <c r="N1081" s="6" t="s">
        <v>4057</v>
      </c>
    </row>
    <row r="1082" spans="1:14">
      <c r="A1082" s="123">
        <v>48</v>
      </c>
      <c r="B1082" s="970"/>
      <c r="C1082" s="369">
        <v>45985</v>
      </c>
      <c r="D1082" s="4" t="s">
        <v>3502</v>
      </c>
      <c r="E1082" s="4" t="s">
        <v>3518</v>
      </c>
      <c r="F1082" s="193" t="s">
        <v>4058</v>
      </c>
      <c r="G1082" s="31" t="s">
        <v>4059</v>
      </c>
      <c r="H1082" s="16" t="s">
        <v>3543</v>
      </c>
      <c r="I1082" s="193" t="s">
        <v>4060</v>
      </c>
      <c r="J1082" s="31" t="s">
        <v>4061</v>
      </c>
      <c r="K1082" s="31" t="s">
        <v>686</v>
      </c>
      <c r="L1082" s="125" t="s">
        <v>84</v>
      </c>
      <c r="M1082" s="93">
        <v>250000</v>
      </c>
      <c r="N1082" s="6" t="s">
        <v>1651</v>
      </c>
    </row>
    <row r="1083" spans="1:14">
      <c r="A1083" s="123">
        <v>48</v>
      </c>
      <c r="B1083" s="970"/>
      <c r="C1083" s="369" t="s">
        <v>4062</v>
      </c>
      <c r="D1083" s="4" t="s">
        <v>3502</v>
      </c>
      <c r="E1083" s="4" t="s">
        <v>3541</v>
      </c>
      <c r="F1083" s="31" t="s">
        <v>3488</v>
      </c>
      <c r="G1083" s="31" t="s">
        <v>3833</v>
      </c>
      <c r="H1083" s="16" t="s">
        <v>4063</v>
      </c>
      <c r="I1083" s="193" t="s">
        <v>4064</v>
      </c>
      <c r="J1083" s="31" t="s">
        <v>3787</v>
      </c>
      <c r="K1083" s="31" t="s">
        <v>3035</v>
      </c>
      <c r="L1083" s="125" t="s">
        <v>3576</v>
      </c>
      <c r="M1083" s="93">
        <v>1500000</v>
      </c>
      <c r="N1083" s="6" t="s">
        <v>3539</v>
      </c>
    </row>
    <row r="1084" spans="1:14">
      <c r="A1084" s="123">
        <v>48</v>
      </c>
      <c r="B1084" s="970"/>
      <c r="C1084" s="369">
        <v>45986</v>
      </c>
      <c r="D1084" s="4" t="s">
        <v>3486</v>
      </c>
      <c r="E1084" s="4" t="s">
        <v>3518</v>
      </c>
      <c r="F1084" s="31" t="s">
        <v>3549</v>
      </c>
      <c r="G1084" s="31" t="s">
        <v>4065</v>
      </c>
      <c r="H1084" s="16" t="s">
        <v>1382</v>
      </c>
      <c r="I1084" s="193" t="s">
        <v>4066</v>
      </c>
      <c r="J1084" s="31" t="s">
        <v>3707</v>
      </c>
      <c r="K1084" s="125" t="s">
        <v>3556</v>
      </c>
      <c r="L1084" s="125" t="s">
        <v>84</v>
      </c>
      <c r="M1084" s="93">
        <v>250000</v>
      </c>
      <c r="N1084" s="6" t="s">
        <v>3610</v>
      </c>
    </row>
    <row r="1085" spans="1:14" ht="27">
      <c r="A1085" s="123">
        <v>48</v>
      </c>
      <c r="B1085" s="970"/>
      <c r="C1085" s="369" t="s">
        <v>4067</v>
      </c>
      <c r="D1085" s="4" t="s">
        <v>21</v>
      </c>
      <c r="E1085" s="4" t="s">
        <v>3503</v>
      </c>
      <c r="F1085" s="31" t="s">
        <v>4031</v>
      </c>
      <c r="G1085" s="193" t="s">
        <v>4068</v>
      </c>
      <c r="H1085" s="16" t="s">
        <v>4069</v>
      </c>
      <c r="I1085" s="193" t="s">
        <v>4070</v>
      </c>
      <c r="J1085" s="31" t="s">
        <v>3608</v>
      </c>
      <c r="K1085" s="125" t="s">
        <v>3641</v>
      </c>
      <c r="L1085" s="125" t="s">
        <v>84</v>
      </c>
      <c r="M1085" s="93">
        <v>500000</v>
      </c>
      <c r="N1085" s="6" t="s">
        <v>3547</v>
      </c>
    </row>
    <row r="1086" spans="1:14" ht="27">
      <c r="A1086" s="123">
        <v>48</v>
      </c>
      <c r="B1086" s="970"/>
      <c r="C1086" s="369">
        <v>45986</v>
      </c>
      <c r="D1086" s="4" t="s">
        <v>3540</v>
      </c>
      <c r="E1086" s="4" t="s">
        <v>4071</v>
      </c>
      <c r="F1086" s="31" t="s">
        <v>3504</v>
      </c>
      <c r="G1086" s="193" t="s">
        <v>4072</v>
      </c>
      <c r="H1086" s="16" t="s">
        <v>4073</v>
      </c>
      <c r="I1086" s="193" t="s">
        <v>4074</v>
      </c>
      <c r="J1086" s="31"/>
      <c r="K1086" s="193" t="s">
        <v>4075</v>
      </c>
      <c r="L1086" s="125" t="s">
        <v>84</v>
      </c>
      <c r="M1086" s="93">
        <v>300000</v>
      </c>
      <c r="N1086" s="6" t="s">
        <v>4076</v>
      </c>
    </row>
    <row r="1087" spans="1:14" ht="27">
      <c r="A1087" s="123">
        <v>48</v>
      </c>
      <c r="B1087" s="970"/>
      <c r="C1087" s="369">
        <v>45986</v>
      </c>
      <c r="D1087" s="4" t="s">
        <v>3694</v>
      </c>
      <c r="E1087" s="4" t="s">
        <v>3593</v>
      </c>
      <c r="F1087" s="31" t="s">
        <v>3658</v>
      </c>
      <c r="G1087" s="193" t="s">
        <v>4077</v>
      </c>
      <c r="H1087" s="16" t="s">
        <v>4078</v>
      </c>
      <c r="I1087" s="193" t="s">
        <v>4079</v>
      </c>
      <c r="J1087" s="31" t="s">
        <v>4081</v>
      </c>
      <c r="K1087" s="125" t="s">
        <v>3775</v>
      </c>
      <c r="L1087" s="125" t="s">
        <v>3439</v>
      </c>
      <c r="M1087" s="93">
        <v>250000</v>
      </c>
      <c r="N1087" s="6" t="s">
        <v>4076</v>
      </c>
    </row>
    <row r="1088" spans="1:14" ht="27">
      <c r="A1088" s="123">
        <v>48</v>
      </c>
      <c r="B1088" s="970"/>
      <c r="C1088" s="369">
        <v>45987</v>
      </c>
      <c r="D1088" s="4" t="s">
        <v>21</v>
      </c>
      <c r="E1088" s="4" t="s">
        <v>3846</v>
      </c>
      <c r="F1088" s="31" t="s">
        <v>3638</v>
      </c>
      <c r="G1088" s="193" t="s">
        <v>4077</v>
      </c>
      <c r="H1088" s="16" t="s">
        <v>3901</v>
      </c>
      <c r="I1088" s="193" t="s">
        <v>4082</v>
      </c>
      <c r="J1088" s="31" t="s">
        <v>120</v>
      </c>
      <c r="K1088" s="193" t="s">
        <v>3552</v>
      </c>
      <c r="L1088" s="125" t="s">
        <v>3798</v>
      </c>
      <c r="M1088" s="93">
        <v>250000</v>
      </c>
      <c r="N1088" s="6" t="s">
        <v>4083</v>
      </c>
    </row>
    <row r="1089" spans="1:14" ht="27">
      <c r="A1089" s="123">
        <v>48</v>
      </c>
      <c r="B1089" s="970"/>
      <c r="C1089" s="369">
        <v>45987</v>
      </c>
      <c r="D1089" s="4" t="s">
        <v>21</v>
      </c>
      <c r="E1089" s="4" t="s">
        <v>3588</v>
      </c>
      <c r="F1089" s="31" t="s">
        <v>3728</v>
      </c>
      <c r="G1089" s="193" t="s">
        <v>4072</v>
      </c>
      <c r="H1089" s="16" t="s">
        <v>4084</v>
      </c>
      <c r="I1089" s="193" t="s">
        <v>4085</v>
      </c>
      <c r="J1089" s="31" t="s">
        <v>3521</v>
      </c>
      <c r="K1089" s="193" t="s">
        <v>3328</v>
      </c>
      <c r="L1089" s="125" t="s">
        <v>3584</v>
      </c>
      <c r="M1089" s="93">
        <v>300000</v>
      </c>
      <c r="N1089" s="6" t="s">
        <v>4086</v>
      </c>
    </row>
    <row r="1090" spans="1:14">
      <c r="A1090" s="123">
        <v>48</v>
      </c>
      <c r="B1090" s="970"/>
      <c r="C1090" s="369">
        <v>45988</v>
      </c>
      <c r="D1090" s="4" t="s">
        <v>3433</v>
      </c>
      <c r="E1090" s="4" t="s">
        <v>3593</v>
      </c>
      <c r="F1090" s="31" t="s">
        <v>3634</v>
      </c>
      <c r="G1090" s="31" t="s">
        <v>1062</v>
      </c>
      <c r="H1090" s="16" t="s">
        <v>3465</v>
      </c>
      <c r="I1090" s="193" t="s">
        <v>4087</v>
      </c>
      <c r="J1090" s="31" t="s">
        <v>3574</v>
      </c>
      <c r="K1090" s="193" t="s">
        <v>3952</v>
      </c>
      <c r="L1090" s="125" t="s">
        <v>3493</v>
      </c>
      <c r="M1090" s="93">
        <v>250000</v>
      </c>
      <c r="N1090" s="6" t="s">
        <v>4076</v>
      </c>
    </row>
    <row r="1091" spans="1:14">
      <c r="A1091" s="123">
        <v>49</v>
      </c>
      <c r="B1091" s="970" t="s">
        <v>175</v>
      </c>
      <c r="C1091" s="401">
        <v>45966</v>
      </c>
      <c r="D1091" s="4" t="s">
        <v>306</v>
      </c>
      <c r="E1091" s="4" t="s">
        <v>322</v>
      </c>
      <c r="F1091" s="4" t="s">
        <v>307</v>
      </c>
      <c r="G1091" s="193" t="s">
        <v>3475</v>
      </c>
      <c r="H1091" s="125" t="s">
        <v>482</v>
      </c>
      <c r="I1091" s="400" t="s">
        <v>4088</v>
      </c>
      <c r="J1091" s="4" t="s">
        <v>3483</v>
      </c>
      <c r="K1091" s="4" t="s">
        <v>3516</v>
      </c>
      <c r="L1091" s="4"/>
      <c r="M1091" s="96">
        <v>250000</v>
      </c>
      <c r="N1091" s="6" t="s">
        <v>4089</v>
      </c>
    </row>
    <row r="1092" spans="1:14">
      <c r="A1092" s="123">
        <v>49</v>
      </c>
      <c r="B1092" s="970"/>
      <c r="C1092" s="401">
        <v>45967</v>
      </c>
      <c r="D1092" s="4" t="s">
        <v>306</v>
      </c>
      <c r="E1092" s="4" t="s">
        <v>322</v>
      </c>
      <c r="F1092" s="4" t="s">
        <v>307</v>
      </c>
      <c r="G1092" s="193" t="s">
        <v>4090</v>
      </c>
      <c r="H1092" s="125" t="s">
        <v>4091</v>
      </c>
      <c r="I1092" s="400" t="s">
        <v>4092</v>
      </c>
      <c r="J1092" s="4" t="s">
        <v>3748</v>
      </c>
      <c r="K1092" s="4" t="s">
        <v>3556</v>
      </c>
      <c r="L1092" s="4"/>
      <c r="M1092" s="96">
        <v>250000</v>
      </c>
      <c r="N1092" s="6" t="s">
        <v>4093</v>
      </c>
    </row>
    <row r="1093" spans="1:14">
      <c r="A1093" s="123">
        <v>49</v>
      </c>
      <c r="B1093" s="970"/>
      <c r="C1093" s="401">
        <v>45968</v>
      </c>
      <c r="D1093" s="4" t="s">
        <v>306</v>
      </c>
      <c r="E1093" s="4" t="s">
        <v>322</v>
      </c>
      <c r="F1093" s="4" t="s">
        <v>307</v>
      </c>
      <c r="G1093" s="193">
        <v>3011</v>
      </c>
      <c r="H1093" s="125" t="s">
        <v>3581</v>
      </c>
      <c r="I1093" s="400" t="s">
        <v>4028</v>
      </c>
      <c r="J1093" s="4" t="s">
        <v>737</v>
      </c>
      <c r="K1093" s="4" t="s">
        <v>3552</v>
      </c>
      <c r="L1093" s="4"/>
      <c r="M1093" s="96">
        <v>250000</v>
      </c>
      <c r="N1093" s="6" t="s">
        <v>4094</v>
      </c>
    </row>
    <row r="1094" spans="1:14">
      <c r="A1094" s="123">
        <v>49</v>
      </c>
      <c r="B1094" s="970"/>
      <c r="C1094" s="401">
        <v>45982</v>
      </c>
      <c r="D1094" s="4" t="s">
        <v>306</v>
      </c>
      <c r="E1094" s="4" t="s">
        <v>322</v>
      </c>
      <c r="F1094" s="4" t="s">
        <v>4095</v>
      </c>
      <c r="G1094" s="193" t="s">
        <v>4096</v>
      </c>
      <c r="H1094" s="125" t="s">
        <v>3631</v>
      </c>
      <c r="I1094" s="400" t="s">
        <v>4097</v>
      </c>
      <c r="J1094" s="4" t="s">
        <v>3483</v>
      </c>
      <c r="K1094" s="4" t="s">
        <v>686</v>
      </c>
      <c r="L1094" s="4"/>
      <c r="M1094" s="96">
        <v>250000</v>
      </c>
      <c r="N1094" s="6" t="s">
        <v>4025</v>
      </c>
    </row>
    <row r="1095" spans="1:14">
      <c r="A1095" s="123">
        <v>49</v>
      </c>
      <c r="B1095" s="970"/>
      <c r="C1095" s="401" t="s">
        <v>4098</v>
      </c>
      <c r="D1095" s="4" t="s">
        <v>306</v>
      </c>
      <c r="E1095" s="4" t="s">
        <v>322</v>
      </c>
      <c r="F1095" s="4" t="s">
        <v>307</v>
      </c>
      <c r="G1095" s="193">
        <v>3011</v>
      </c>
      <c r="H1095" s="125" t="s">
        <v>3543</v>
      </c>
      <c r="I1095" s="400" t="s">
        <v>1874</v>
      </c>
      <c r="J1095" s="4" t="s">
        <v>3560</v>
      </c>
      <c r="K1095" s="4" t="s">
        <v>4099</v>
      </c>
      <c r="L1095" s="4"/>
      <c r="M1095" s="96">
        <v>1000000</v>
      </c>
      <c r="N1095" s="125"/>
    </row>
    <row r="1096" spans="1:14">
      <c r="A1096" s="123">
        <v>49</v>
      </c>
      <c r="B1096" s="970"/>
      <c r="C1096" s="401">
        <v>45992</v>
      </c>
      <c r="D1096" s="4" t="s">
        <v>306</v>
      </c>
      <c r="E1096" s="4" t="s">
        <v>322</v>
      </c>
      <c r="F1096" s="4" t="s">
        <v>307</v>
      </c>
      <c r="G1096" s="193">
        <v>3006</v>
      </c>
      <c r="H1096" s="125" t="s">
        <v>3840</v>
      </c>
      <c r="I1096" s="400" t="s">
        <v>3964</v>
      </c>
      <c r="J1096" s="4" t="s">
        <v>737</v>
      </c>
      <c r="K1096" s="4" t="s">
        <v>4100</v>
      </c>
      <c r="L1096" s="4"/>
      <c r="M1096" s="96">
        <v>250000</v>
      </c>
      <c r="N1096" s="125"/>
    </row>
    <row r="1097" spans="1:14">
      <c r="A1097" s="123">
        <v>49</v>
      </c>
      <c r="B1097" s="970"/>
      <c r="C1097" s="401">
        <v>45992</v>
      </c>
      <c r="D1097" s="4" t="s">
        <v>306</v>
      </c>
      <c r="E1097" s="4" t="s">
        <v>322</v>
      </c>
      <c r="F1097" s="4" t="s">
        <v>307</v>
      </c>
      <c r="G1097" s="193" t="s">
        <v>4027</v>
      </c>
      <c r="H1097" s="125" t="s">
        <v>23</v>
      </c>
      <c r="I1097" s="400" t="s">
        <v>3771</v>
      </c>
      <c r="J1097" s="4" t="s">
        <v>737</v>
      </c>
      <c r="K1097" s="4" t="s">
        <v>3877</v>
      </c>
      <c r="L1097" s="4"/>
      <c r="M1097" s="96">
        <v>250000</v>
      </c>
      <c r="N1097" s="125"/>
    </row>
    <row r="1098" spans="1:14">
      <c r="A1098" s="123">
        <v>49</v>
      </c>
      <c r="B1098" s="970"/>
      <c r="C1098" s="401" t="s">
        <v>4101</v>
      </c>
      <c r="D1098" s="4" t="s">
        <v>306</v>
      </c>
      <c r="E1098" s="4" t="s">
        <v>322</v>
      </c>
      <c r="F1098" s="4" t="s">
        <v>307</v>
      </c>
      <c r="G1098" s="193">
        <v>3006</v>
      </c>
      <c r="H1098" s="125" t="s">
        <v>3416</v>
      </c>
      <c r="I1098" s="400" t="s">
        <v>3964</v>
      </c>
      <c r="J1098" s="4" t="s">
        <v>3560</v>
      </c>
      <c r="K1098" s="4" t="s">
        <v>3004</v>
      </c>
      <c r="L1098" s="4"/>
      <c r="M1098" s="96">
        <v>750000</v>
      </c>
      <c r="N1098" s="125"/>
    </row>
    <row r="1099" spans="1:14" ht="17.25" customHeight="1">
      <c r="A1099" s="123">
        <v>49</v>
      </c>
      <c r="B1099" s="970"/>
      <c r="C1099" s="401" t="s">
        <v>4102</v>
      </c>
      <c r="D1099" s="4" t="s">
        <v>306</v>
      </c>
      <c r="E1099" s="4" t="s">
        <v>322</v>
      </c>
      <c r="F1099" s="4" t="s">
        <v>307</v>
      </c>
      <c r="G1099" s="193" t="s">
        <v>3958</v>
      </c>
      <c r="H1099" s="125" t="s">
        <v>3525</v>
      </c>
      <c r="I1099" s="400" t="s">
        <v>4028</v>
      </c>
      <c r="J1099" s="4" t="s">
        <v>737</v>
      </c>
      <c r="K1099" s="4" t="s">
        <v>3828</v>
      </c>
      <c r="L1099" s="4"/>
      <c r="M1099" s="96">
        <v>750000</v>
      </c>
      <c r="N1099" s="125"/>
    </row>
    <row r="1100" spans="1:14" ht="27">
      <c r="A1100" s="123">
        <v>49</v>
      </c>
      <c r="B1100" s="970" t="s">
        <v>3554</v>
      </c>
      <c r="C1100" s="369">
        <v>45987</v>
      </c>
      <c r="D1100" s="4" t="s">
        <v>3502</v>
      </c>
      <c r="E1100" s="4" t="s">
        <v>30</v>
      </c>
      <c r="F1100" s="31" t="s">
        <v>158</v>
      </c>
      <c r="G1100" s="193" t="s">
        <v>3971</v>
      </c>
      <c r="H1100" s="16" t="s">
        <v>3543</v>
      </c>
      <c r="I1100" s="193" t="s">
        <v>4103</v>
      </c>
      <c r="J1100" s="31" t="s">
        <v>3491</v>
      </c>
      <c r="K1100" s="125" t="s">
        <v>686</v>
      </c>
      <c r="L1100" s="125" t="s">
        <v>3798</v>
      </c>
      <c r="M1100" s="93">
        <v>250000</v>
      </c>
      <c r="N1100" s="6" t="s">
        <v>4104</v>
      </c>
    </row>
    <row r="1101" spans="1:14">
      <c r="A1101" s="123">
        <v>49</v>
      </c>
      <c r="B1101" s="970"/>
      <c r="C1101" s="369">
        <v>45990</v>
      </c>
      <c r="D1101" s="4" t="s">
        <v>3694</v>
      </c>
      <c r="E1101" s="4" t="s">
        <v>3518</v>
      </c>
      <c r="F1101" s="31" t="s">
        <v>3638</v>
      </c>
      <c r="G1101" s="31">
        <v>3307</v>
      </c>
      <c r="H1101" s="16" t="s">
        <v>811</v>
      </c>
      <c r="I1101" s="193" t="s">
        <v>4105</v>
      </c>
      <c r="J1101" s="193" t="s">
        <v>3935</v>
      </c>
      <c r="K1101" s="125" t="s">
        <v>3552</v>
      </c>
      <c r="L1101" s="125" t="s">
        <v>3782</v>
      </c>
      <c r="M1101" s="93">
        <v>250000</v>
      </c>
      <c r="N1101" s="6" t="s">
        <v>4106</v>
      </c>
    </row>
    <row r="1102" spans="1:14">
      <c r="A1102" s="123">
        <v>49</v>
      </c>
      <c r="B1102" s="970"/>
      <c r="C1102" s="369">
        <v>45992</v>
      </c>
      <c r="D1102" s="4" t="s">
        <v>3502</v>
      </c>
      <c r="E1102" s="4" t="s">
        <v>3518</v>
      </c>
      <c r="F1102" s="31" t="s">
        <v>4107</v>
      </c>
      <c r="G1102" s="31" t="s">
        <v>2462</v>
      </c>
      <c r="H1102" s="16" t="s">
        <v>4108</v>
      </c>
      <c r="I1102" s="193" t="s">
        <v>4109</v>
      </c>
      <c r="J1102" s="31"/>
      <c r="K1102" s="193" t="s">
        <v>4110</v>
      </c>
      <c r="L1102" s="125" t="s">
        <v>3553</v>
      </c>
      <c r="M1102" s="60">
        <v>300000</v>
      </c>
      <c r="N1102" s="6" t="s">
        <v>3557</v>
      </c>
    </row>
    <row r="1103" spans="1:14">
      <c r="A1103" s="123">
        <v>49</v>
      </c>
      <c r="B1103" s="970"/>
      <c r="C1103" s="369">
        <v>45992</v>
      </c>
      <c r="D1103" s="4" t="s">
        <v>21</v>
      </c>
      <c r="E1103" s="4" t="s">
        <v>3899</v>
      </c>
      <c r="F1103" s="31" t="s">
        <v>4111</v>
      </c>
      <c r="G1103" s="31" t="s">
        <v>4112</v>
      </c>
      <c r="H1103" s="16" t="s">
        <v>4113</v>
      </c>
      <c r="I1103" s="193" t="s">
        <v>4114</v>
      </c>
      <c r="J1103" s="31" t="s">
        <v>3491</v>
      </c>
      <c r="K1103" s="193" t="s">
        <v>3952</v>
      </c>
      <c r="L1103" s="125" t="s">
        <v>3599</v>
      </c>
      <c r="M1103" s="93">
        <v>250000</v>
      </c>
      <c r="N1103" s="6" t="s">
        <v>4115</v>
      </c>
    </row>
    <row r="1104" spans="1:14">
      <c r="A1104" s="123">
        <v>49</v>
      </c>
      <c r="B1104" s="970"/>
      <c r="C1104" s="369">
        <v>45992</v>
      </c>
      <c r="D1104" s="4" t="s">
        <v>21</v>
      </c>
      <c r="E1104" s="4" t="s">
        <v>3503</v>
      </c>
      <c r="F1104" s="31" t="s">
        <v>2450</v>
      </c>
      <c r="G1104" s="31">
        <v>3307</v>
      </c>
      <c r="H1104" s="16" t="s">
        <v>4116</v>
      </c>
      <c r="I1104" s="193" t="s">
        <v>4117</v>
      </c>
      <c r="J1104" s="193" t="s">
        <v>1948</v>
      </c>
      <c r="K1104" s="125" t="s">
        <v>3619</v>
      </c>
      <c r="L1104" s="125" t="s">
        <v>566</v>
      </c>
      <c r="M1104" s="93">
        <v>250000</v>
      </c>
      <c r="N1104" s="6" t="s">
        <v>3698</v>
      </c>
    </row>
    <row r="1105" spans="1:14" ht="27">
      <c r="A1105" s="123">
        <v>49</v>
      </c>
      <c r="B1105" s="970"/>
      <c r="C1105" s="369">
        <v>45993</v>
      </c>
      <c r="D1105" s="4" t="s">
        <v>3512</v>
      </c>
      <c r="E1105" s="4" t="s">
        <v>3588</v>
      </c>
      <c r="F1105" s="31" t="s">
        <v>3638</v>
      </c>
      <c r="G1105" s="193" t="s">
        <v>4077</v>
      </c>
      <c r="H1105" s="16" t="s">
        <v>4118</v>
      </c>
      <c r="I1105" s="193" t="s">
        <v>4119</v>
      </c>
      <c r="J1105" s="31" t="s">
        <v>120</v>
      </c>
      <c r="K1105" s="31" t="s">
        <v>3708</v>
      </c>
      <c r="L1105" s="125" t="s">
        <v>3584</v>
      </c>
      <c r="M1105" s="93">
        <v>250000</v>
      </c>
      <c r="N1105" s="6" t="s">
        <v>4120</v>
      </c>
    </row>
    <row r="1106" spans="1:14" ht="27">
      <c r="A1106" s="123">
        <v>49</v>
      </c>
      <c r="B1106" s="970"/>
      <c r="C1106" s="369">
        <v>45993</v>
      </c>
      <c r="D1106" s="4" t="s">
        <v>3566</v>
      </c>
      <c r="E1106" s="4" t="s">
        <v>4121</v>
      </c>
      <c r="F1106" s="31" t="s">
        <v>2450</v>
      </c>
      <c r="G1106" s="193" t="s">
        <v>4122</v>
      </c>
      <c r="H1106" s="16" t="s">
        <v>4123</v>
      </c>
      <c r="I1106" s="193" t="s">
        <v>4124</v>
      </c>
      <c r="J1106" s="31"/>
      <c r="K1106" s="31" t="s">
        <v>3932</v>
      </c>
      <c r="L1106" s="125" t="s">
        <v>3576</v>
      </c>
      <c r="M1106" s="93">
        <v>300000</v>
      </c>
      <c r="N1106" s="6" t="s">
        <v>4115</v>
      </c>
    </row>
    <row r="1107" spans="1:14" ht="27">
      <c r="A1107" s="123">
        <v>49</v>
      </c>
      <c r="B1107" s="970"/>
      <c r="C1107" s="369">
        <v>45993</v>
      </c>
      <c r="D1107" s="4" t="s">
        <v>3512</v>
      </c>
      <c r="E1107" s="4" t="s">
        <v>17</v>
      </c>
      <c r="F1107" s="31" t="s">
        <v>3504</v>
      </c>
      <c r="G1107" s="193" t="s">
        <v>4125</v>
      </c>
      <c r="H1107" s="16" t="s">
        <v>4126</v>
      </c>
      <c r="I1107" s="193" t="s">
        <v>4127</v>
      </c>
      <c r="J1107" s="31" t="s">
        <v>120</v>
      </c>
      <c r="K1107" s="31" t="s">
        <v>4128</v>
      </c>
      <c r="L1107" s="125" t="s">
        <v>3584</v>
      </c>
      <c r="M1107" s="93">
        <v>300000</v>
      </c>
      <c r="N1107" s="6" t="s">
        <v>4129</v>
      </c>
    </row>
    <row r="1108" spans="1:14" ht="27">
      <c r="A1108" s="123">
        <v>49</v>
      </c>
      <c r="B1108" s="970"/>
      <c r="C1108" s="369">
        <v>45993</v>
      </c>
      <c r="D1108" s="4" t="s">
        <v>3566</v>
      </c>
      <c r="E1108" s="4" t="s">
        <v>17</v>
      </c>
      <c r="F1108" s="31" t="s">
        <v>3638</v>
      </c>
      <c r="G1108" s="193" t="s">
        <v>3942</v>
      </c>
      <c r="H1108" s="16" t="s">
        <v>4130</v>
      </c>
      <c r="I1108" s="193" t="s">
        <v>4131</v>
      </c>
      <c r="J1108" s="31" t="s">
        <v>4080</v>
      </c>
      <c r="K1108" s="193" t="s">
        <v>4030</v>
      </c>
      <c r="L1108" s="125"/>
      <c r="M1108" s="93">
        <v>500000</v>
      </c>
      <c r="N1108" s="6" t="s">
        <v>4086</v>
      </c>
    </row>
    <row r="1109" spans="1:14">
      <c r="A1109" s="123">
        <v>49</v>
      </c>
      <c r="B1109" s="970"/>
      <c r="C1109" s="369" t="s">
        <v>4132</v>
      </c>
      <c r="D1109" s="4" t="s">
        <v>3485</v>
      </c>
      <c r="E1109" s="4" t="s">
        <v>3434</v>
      </c>
      <c r="F1109" s="31" t="s">
        <v>3549</v>
      </c>
      <c r="G1109" s="31" t="s">
        <v>4133</v>
      </c>
      <c r="H1109" s="16" t="s">
        <v>4134</v>
      </c>
      <c r="I1109" s="193" t="s">
        <v>4135</v>
      </c>
      <c r="J1109" s="31" t="s">
        <v>3792</v>
      </c>
      <c r="K1109" s="31" t="s">
        <v>4136</v>
      </c>
      <c r="L1109" s="125" t="s">
        <v>3523</v>
      </c>
      <c r="M1109" s="93">
        <v>600000</v>
      </c>
      <c r="N1109" s="6" t="s">
        <v>3794</v>
      </c>
    </row>
    <row r="1110" spans="1:14">
      <c r="A1110" s="123">
        <v>49</v>
      </c>
      <c r="B1110" s="970"/>
      <c r="C1110" s="369">
        <v>45994</v>
      </c>
      <c r="D1110" s="4" t="s">
        <v>21</v>
      </c>
      <c r="E1110" s="4" t="s">
        <v>3496</v>
      </c>
      <c r="F1110" s="31" t="s">
        <v>2130</v>
      </c>
      <c r="G1110" s="31" t="s">
        <v>4137</v>
      </c>
      <c r="H1110" s="16" t="s">
        <v>4063</v>
      </c>
      <c r="I1110" s="193" t="s">
        <v>4138</v>
      </c>
      <c r="J1110" s="31" t="s">
        <v>3860</v>
      </c>
      <c r="K1110" s="31" t="s">
        <v>3641</v>
      </c>
      <c r="L1110" s="125" t="s">
        <v>3576</v>
      </c>
      <c r="M1110" s="93">
        <v>500000</v>
      </c>
      <c r="N1110" s="6" t="s">
        <v>3610</v>
      </c>
    </row>
    <row r="1111" spans="1:14">
      <c r="A1111" s="123">
        <v>49</v>
      </c>
      <c r="B1111" s="970"/>
      <c r="C1111" s="369" t="s">
        <v>4139</v>
      </c>
      <c r="D1111" s="4" t="s">
        <v>3540</v>
      </c>
      <c r="E1111" s="4" t="s">
        <v>3588</v>
      </c>
      <c r="F1111" s="31" t="s">
        <v>4140</v>
      </c>
      <c r="G1111" s="31" t="s">
        <v>4141</v>
      </c>
      <c r="H1111" s="16" t="s">
        <v>4113</v>
      </c>
      <c r="I1111" s="193" t="s">
        <v>4142</v>
      </c>
      <c r="J1111" s="31" t="s">
        <v>120</v>
      </c>
      <c r="K1111" s="193" t="s">
        <v>3668</v>
      </c>
      <c r="L1111" s="125" t="s">
        <v>3493</v>
      </c>
      <c r="M1111" s="93">
        <v>500000</v>
      </c>
      <c r="N1111" s="6" t="s">
        <v>4143</v>
      </c>
    </row>
    <row r="1112" spans="1:14">
      <c r="A1112" s="123">
        <v>49</v>
      </c>
      <c r="B1112" s="970"/>
      <c r="C1112" s="369" t="s">
        <v>4144</v>
      </c>
      <c r="D1112" s="4" t="s">
        <v>3502</v>
      </c>
      <c r="E1112" s="4" t="s">
        <v>4071</v>
      </c>
      <c r="F1112" s="31" t="s">
        <v>1787</v>
      </c>
      <c r="G1112" s="31" t="s">
        <v>4145</v>
      </c>
      <c r="H1112" s="16" t="s">
        <v>4146</v>
      </c>
      <c r="I1112" s="193" t="s">
        <v>4147</v>
      </c>
      <c r="J1112" s="31" t="s">
        <v>3491</v>
      </c>
      <c r="K1112" s="193" t="s">
        <v>4148</v>
      </c>
      <c r="L1112" s="125" t="s">
        <v>3538</v>
      </c>
      <c r="M1112" s="93">
        <v>600000</v>
      </c>
      <c r="N1112" s="6" t="s">
        <v>4115</v>
      </c>
    </row>
    <row r="1113" spans="1:14">
      <c r="A1113" s="123">
        <v>49</v>
      </c>
      <c r="B1113" s="970"/>
      <c r="C1113" s="369">
        <v>45995</v>
      </c>
      <c r="D1113" s="4" t="s">
        <v>21</v>
      </c>
      <c r="E1113" s="4" t="s">
        <v>3578</v>
      </c>
      <c r="F1113" s="31" t="s">
        <v>4107</v>
      </c>
      <c r="G1113" s="193" t="s">
        <v>4149</v>
      </c>
      <c r="H1113" s="16" t="s">
        <v>4150</v>
      </c>
      <c r="I1113" s="410" t="s">
        <v>4151</v>
      </c>
      <c r="J1113" s="193" t="s">
        <v>3608</v>
      </c>
      <c r="K1113" s="193" t="s">
        <v>3644</v>
      </c>
      <c r="L1113" s="125" t="s">
        <v>3523</v>
      </c>
      <c r="M1113" s="93">
        <v>250000</v>
      </c>
      <c r="N1113" s="6" t="s">
        <v>1651</v>
      </c>
    </row>
    <row r="1114" spans="1:14">
      <c r="A1114" s="123">
        <v>49</v>
      </c>
      <c r="B1114" s="970"/>
      <c r="C1114" s="369">
        <v>45996</v>
      </c>
      <c r="D1114" s="4" t="s">
        <v>3694</v>
      </c>
      <c r="E1114" s="4" t="s">
        <v>3555</v>
      </c>
      <c r="F1114" s="31" t="s">
        <v>2130</v>
      </c>
      <c r="G1114" s="31" t="s">
        <v>4152</v>
      </c>
      <c r="H1114" s="16" t="s">
        <v>3692</v>
      </c>
      <c r="I1114" s="193" t="s">
        <v>4153</v>
      </c>
      <c r="J1114" s="31"/>
      <c r="K1114" s="31" t="s">
        <v>686</v>
      </c>
      <c r="L1114" s="125" t="s">
        <v>3798</v>
      </c>
      <c r="M1114" s="93">
        <v>250000</v>
      </c>
      <c r="N1114" s="6" t="s">
        <v>3464</v>
      </c>
    </row>
    <row r="1115" spans="1:14">
      <c r="A1115" s="123">
        <v>50</v>
      </c>
      <c r="B1115" s="970" t="s">
        <v>3412</v>
      </c>
      <c r="C1115" s="401">
        <v>45995</v>
      </c>
      <c r="D1115" s="4" t="s">
        <v>306</v>
      </c>
      <c r="E1115" s="4" t="s">
        <v>322</v>
      </c>
      <c r="F1115" s="4" t="s">
        <v>307</v>
      </c>
      <c r="G1115" s="193">
        <v>3006</v>
      </c>
      <c r="H1115" s="125" t="s">
        <v>3581</v>
      </c>
      <c r="I1115" s="400" t="s">
        <v>3675</v>
      </c>
      <c r="J1115" s="4" t="s">
        <v>3418</v>
      </c>
      <c r="K1115" s="4" t="s">
        <v>686</v>
      </c>
      <c r="L1115" s="4"/>
      <c r="M1115" s="96">
        <v>250000</v>
      </c>
      <c r="N1115" s="6" t="s">
        <v>4154</v>
      </c>
    </row>
    <row r="1116" spans="1:14">
      <c r="A1116" s="123">
        <v>50</v>
      </c>
      <c r="B1116" s="970"/>
      <c r="C1116" s="401">
        <v>45996</v>
      </c>
      <c r="D1116" s="4" t="s">
        <v>306</v>
      </c>
      <c r="E1116" s="4" t="s">
        <v>322</v>
      </c>
      <c r="F1116" s="4" t="s">
        <v>307</v>
      </c>
      <c r="G1116" s="193" t="s">
        <v>3386</v>
      </c>
      <c r="H1116" s="125" t="s">
        <v>3489</v>
      </c>
      <c r="I1116" s="400" t="s">
        <v>4028</v>
      </c>
      <c r="J1116" s="4" t="s">
        <v>3564</v>
      </c>
      <c r="K1116" s="4" t="s">
        <v>3708</v>
      </c>
      <c r="L1116" s="4"/>
      <c r="M1116" s="411">
        <v>250000</v>
      </c>
      <c r="N1116" s="412" t="s">
        <v>4155</v>
      </c>
    </row>
    <row r="1117" spans="1:14">
      <c r="A1117" s="123">
        <v>50</v>
      </c>
      <c r="B1117" s="970"/>
      <c r="C1117" s="413">
        <v>45997</v>
      </c>
      <c r="D1117" s="243" t="s">
        <v>306</v>
      </c>
      <c r="E1117" s="243" t="s">
        <v>322</v>
      </c>
      <c r="F1117" s="243" t="s">
        <v>307</v>
      </c>
      <c r="G1117" s="149" t="s">
        <v>3401</v>
      </c>
      <c r="H1117" s="148" t="s">
        <v>662</v>
      </c>
      <c r="I1117" s="400" t="s">
        <v>4156</v>
      </c>
      <c r="J1117" s="4" t="s">
        <v>664</v>
      </c>
      <c r="K1117" s="4" t="s">
        <v>4158</v>
      </c>
      <c r="L1117" s="4"/>
      <c r="M1117" s="414">
        <v>500000</v>
      </c>
      <c r="N1117" s="4" t="s">
        <v>4155</v>
      </c>
    </row>
    <row r="1118" spans="1:14">
      <c r="A1118" s="123">
        <v>50</v>
      </c>
      <c r="B1118" s="970"/>
      <c r="C1118" s="401" t="s">
        <v>4159</v>
      </c>
      <c r="D1118" s="4" t="s">
        <v>306</v>
      </c>
      <c r="E1118" s="4" t="s">
        <v>322</v>
      </c>
      <c r="F1118" s="4" t="s">
        <v>307</v>
      </c>
      <c r="G1118" s="193" t="s">
        <v>3958</v>
      </c>
      <c r="H1118" s="125" t="s">
        <v>4146</v>
      </c>
      <c r="I1118" s="400" t="s">
        <v>3771</v>
      </c>
      <c r="J1118" s="4" t="s">
        <v>737</v>
      </c>
      <c r="K1118" s="4" t="s">
        <v>3828</v>
      </c>
      <c r="L1118" s="4"/>
      <c r="M1118" s="411">
        <v>750000</v>
      </c>
      <c r="N1118" s="412"/>
    </row>
    <row r="1119" spans="1:14">
      <c r="A1119" s="123">
        <v>50</v>
      </c>
      <c r="B1119" s="970"/>
      <c r="C1119" s="401" t="s">
        <v>4160</v>
      </c>
      <c r="D1119" s="4" t="s">
        <v>306</v>
      </c>
      <c r="E1119" s="4" t="s">
        <v>322</v>
      </c>
      <c r="F1119" s="4" t="s">
        <v>307</v>
      </c>
      <c r="G1119" s="193" t="s">
        <v>4161</v>
      </c>
      <c r="H1119" s="125" t="s">
        <v>3581</v>
      </c>
      <c r="I1119" s="400" t="s">
        <v>4162</v>
      </c>
      <c r="J1119" s="4" t="s">
        <v>3626</v>
      </c>
      <c r="K1119" s="4" t="s">
        <v>3923</v>
      </c>
      <c r="L1119" s="4"/>
      <c r="M1119" s="96">
        <v>750000</v>
      </c>
      <c r="N1119" s="125"/>
    </row>
    <row r="1120" spans="1:14" ht="27">
      <c r="A1120" s="123">
        <v>50</v>
      </c>
      <c r="B1120" s="970" t="s">
        <v>21</v>
      </c>
      <c r="C1120" s="369">
        <v>45997</v>
      </c>
      <c r="D1120" s="4" t="s">
        <v>3485</v>
      </c>
      <c r="E1120" s="4" t="s">
        <v>3518</v>
      </c>
      <c r="F1120" s="31" t="s">
        <v>3995</v>
      </c>
      <c r="G1120" s="193" t="s">
        <v>4163</v>
      </c>
      <c r="H1120" s="16" t="s">
        <v>3980</v>
      </c>
      <c r="I1120" s="193" t="s">
        <v>4164</v>
      </c>
      <c r="J1120" s="31" t="s">
        <v>3618</v>
      </c>
      <c r="K1120" s="31" t="s">
        <v>3845</v>
      </c>
      <c r="L1120" s="125" t="s">
        <v>3523</v>
      </c>
      <c r="M1120" s="93">
        <v>600000</v>
      </c>
      <c r="N1120" s="6" t="s">
        <v>4165</v>
      </c>
    </row>
    <row r="1121" spans="1:14" ht="27">
      <c r="A1121" s="123">
        <v>50</v>
      </c>
      <c r="B1121" s="970"/>
      <c r="C1121" s="369">
        <v>45997</v>
      </c>
      <c r="D1121" s="4" t="s">
        <v>3512</v>
      </c>
      <c r="E1121" s="4" t="s">
        <v>17</v>
      </c>
      <c r="F1121" s="31" t="s">
        <v>3691</v>
      </c>
      <c r="G1121" s="193" t="s">
        <v>3900</v>
      </c>
      <c r="H1121" s="16" t="s">
        <v>4130</v>
      </c>
      <c r="I1121" s="193" t="s">
        <v>4167</v>
      </c>
      <c r="J1121" s="31" t="s">
        <v>4168</v>
      </c>
      <c r="K1121" s="193" t="s">
        <v>4100</v>
      </c>
      <c r="L1121" s="125" t="s">
        <v>3576</v>
      </c>
      <c r="M1121" s="93">
        <v>250000</v>
      </c>
      <c r="N1121" s="6" t="s">
        <v>4169</v>
      </c>
    </row>
    <row r="1122" spans="1:14" ht="27">
      <c r="A1122" s="123">
        <v>50</v>
      </c>
      <c r="B1122" s="970"/>
      <c r="C1122" s="369">
        <v>45997</v>
      </c>
      <c r="D1122" s="4" t="s">
        <v>21</v>
      </c>
      <c r="E1122" s="4" t="s">
        <v>3784</v>
      </c>
      <c r="F1122" s="31" t="s">
        <v>2450</v>
      </c>
      <c r="G1122" s="193" t="s">
        <v>4122</v>
      </c>
      <c r="H1122" s="16" t="s">
        <v>37</v>
      </c>
      <c r="I1122" s="193" t="s">
        <v>4166</v>
      </c>
      <c r="J1122" s="31" t="s">
        <v>4170</v>
      </c>
      <c r="K1122" s="193" t="s">
        <v>4171</v>
      </c>
      <c r="L1122" s="125" t="s">
        <v>3584</v>
      </c>
      <c r="M1122" s="93">
        <v>300000</v>
      </c>
      <c r="N1122" s="6" t="s">
        <v>4172</v>
      </c>
    </row>
    <row r="1123" spans="1:14">
      <c r="A1123" s="123">
        <v>50</v>
      </c>
      <c r="B1123" s="970"/>
      <c r="C1123" s="369">
        <v>45999</v>
      </c>
      <c r="D1123" s="4" t="s">
        <v>3502</v>
      </c>
      <c r="E1123" s="4" t="s">
        <v>3541</v>
      </c>
      <c r="F1123" s="31" t="s">
        <v>381</v>
      </c>
      <c r="G1123" s="31" t="s">
        <v>4173</v>
      </c>
      <c r="H1123" s="16" t="s">
        <v>4174</v>
      </c>
      <c r="I1123" s="193" t="s">
        <v>4175</v>
      </c>
      <c r="J1123" s="31"/>
      <c r="K1123" s="193" t="s">
        <v>3328</v>
      </c>
      <c r="L1123" s="125" t="s">
        <v>3584</v>
      </c>
      <c r="M1123" s="93">
        <v>300000</v>
      </c>
      <c r="N1123" s="6" t="s">
        <v>3243</v>
      </c>
    </row>
    <row r="1124" spans="1:14">
      <c r="A1124" s="123">
        <v>50</v>
      </c>
      <c r="B1124" s="970"/>
      <c r="C1124" s="369">
        <v>45999</v>
      </c>
      <c r="D1124" s="4" t="s">
        <v>21</v>
      </c>
      <c r="E1124" s="4" t="s">
        <v>3578</v>
      </c>
      <c r="F1124" s="31" t="s">
        <v>3756</v>
      </c>
      <c r="G1124" s="31" t="s">
        <v>4176</v>
      </c>
      <c r="H1124" s="16" t="s">
        <v>3825</v>
      </c>
      <c r="I1124" s="193" t="s">
        <v>4177</v>
      </c>
      <c r="J1124" s="31"/>
      <c r="K1124" s="193" t="s">
        <v>794</v>
      </c>
      <c r="L1124" s="125" t="s">
        <v>3798</v>
      </c>
      <c r="M1124" s="93">
        <v>500000</v>
      </c>
      <c r="N1124" s="6" t="s">
        <v>4178</v>
      </c>
    </row>
    <row r="1125" spans="1:14" ht="27">
      <c r="A1125" s="123">
        <v>50</v>
      </c>
      <c r="B1125" s="970"/>
      <c r="C1125" s="369" t="s">
        <v>4179</v>
      </c>
      <c r="D1125" s="4" t="s">
        <v>3502</v>
      </c>
      <c r="E1125" s="4" t="s">
        <v>3846</v>
      </c>
      <c r="F1125" s="31" t="s">
        <v>3750</v>
      </c>
      <c r="G1125" s="193" t="s">
        <v>4072</v>
      </c>
      <c r="H1125" s="16" t="s">
        <v>4180</v>
      </c>
      <c r="I1125" s="193" t="s">
        <v>4181</v>
      </c>
      <c r="J1125" s="31" t="s">
        <v>737</v>
      </c>
      <c r="K1125" s="193" t="s">
        <v>3716</v>
      </c>
      <c r="L1125" s="125" t="s">
        <v>84</v>
      </c>
      <c r="M1125" s="93">
        <v>1000000</v>
      </c>
      <c r="N1125" s="6" t="s">
        <v>4143</v>
      </c>
    </row>
    <row r="1126" spans="1:14" ht="22.5">
      <c r="A1126" s="123">
        <v>50</v>
      </c>
      <c r="B1126" s="970"/>
      <c r="C1126" s="369">
        <v>46000</v>
      </c>
      <c r="D1126" s="4" t="s">
        <v>3566</v>
      </c>
      <c r="E1126" s="4" t="s">
        <v>4071</v>
      </c>
      <c r="F1126" s="31" t="s">
        <v>4182</v>
      </c>
      <c r="G1126" s="291" t="s">
        <v>4183</v>
      </c>
      <c r="H1126" s="16" t="s">
        <v>4001</v>
      </c>
      <c r="I1126" s="193" t="s">
        <v>4184</v>
      </c>
      <c r="J1126" s="31" t="s">
        <v>3521</v>
      </c>
      <c r="K1126" s="31" t="s">
        <v>3552</v>
      </c>
      <c r="L1126" s="125" t="s">
        <v>3493</v>
      </c>
      <c r="M1126" s="93">
        <v>250000</v>
      </c>
      <c r="N1126" s="6" t="s">
        <v>3603</v>
      </c>
    </row>
    <row r="1127" spans="1:14" ht="27">
      <c r="A1127" s="123">
        <v>50</v>
      </c>
      <c r="B1127" s="970"/>
      <c r="C1127" s="369">
        <v>46000</v>
      </c>
      <c r="D1127" s="4" t="s">
        <v>3554</v>
      </c>
      <c r="E1127" s="4" t="s">
        <v>3518</v>
      </c>
      <c r="F1127" s="193" t="s">
        <v>4185</v>
      </c>
      <c r="G1127" s="31" t="s">
        <v>4186</v>
      </c>
      <c r="H1127" s="16" t="s">
        <v>23</v>
      </c>
      <c r="I1127" s="193" t="s">
        <v>4187</v>
      </c>
      <c r="J1127" s="31"/>
      <c r="K1127" s="31" t="s">
        <v>4188</v>
      </c>
      <c r="L1127" s="125" t="s">
        <v>3523</v>
      </c>
      <c r="M1127" s="93">
        <v>600000</v>
      </c>
      <c r="N1127" s="6" t="s">
        <v>3698</v>
      </c>
    </row>
    <row r="1128" spans="1:14">
      <c r="A1128" s="123">
        <v>50</v>
      </c>
      <c r="B1128" s="970"/>
      <c r="C1128" s="369">
        <v>46001</v>
      </c>
      <c r="D1128" s="4" t="s">
        <v>3566</v>
      </c>
      <c r="E1128" s="4" t="s">
        <v>3555</v>
      </c>
      <c r="F1128" s="31" t="s">
        <v>635</v>
      </c>
      <c r="G1128" s="193" t="s">
        <v>4189</v>
      </c>
      <c r="H1128" s="16" t="s">
        <v>3514</v>
      </c>
      <c r="I1128" s="193" t="s">
        <v>4190</v>
      </c>
      <c r="J1128" s="193"/>
      <c r="K1128" s="193" t="s">
        <v>4191</v>
      </c>
      <c r="L1128" s="125" t="s">
        <v>3584</v>
      </c>
      <c r="M1128" s="93">
        <v>300000</v>
      </c>
      <c r="N1128" s="6" t="s">
        <v>3399</v>
      </c>
    </row>
    <row r="1129" spans="1:14">
      <c r="A1129" s="123">
        <v>50</v>
      </c>
      <c r="B1129" s="970"/>
      <c r="C1129" s="369">
        <v>46001</v>
      </c>
      <c r="D1129" s="4" t="s">
        <v>3554</v>
      </c>
      <c r="E1129" s="4" t="s">
        <v>3578</v>
      </c>
      <c r="F1129" s="31" t="s">
        <v>4192</v>
      </c>
      <c r="G1129" s="193">
        <v>7064</v>
      </c>
      <c r="H1129" s="16" t="s">
        <v>3706</v>
      </c>
      <c r="I1129" s="193" t="s">
        <v>4193</v>
      </c>
      <c r="J1129" s="193"/>
      <c r="K1129" s="193" t="s">
        <v>4194</v>
      </c>
      <c r="L1129" s="125" t="s">
        <v>84</v>
      </c>
      <c r="M1129" s="93">
        <v>300000</v>
      </c>
      <c r="N1129" s="6" t="s">
        <v>3620</v>
      </c>
    </row>
    <row r="1130" spans="1:14">
      <c r="A1130" s="123">
        <v>50</v>
      </c>
      <c r="B1130" s="970"/>
      <c r="C1130" s="369">
        <v>46002</v>
      </c>
      <c r="D1130" s="4" t="s">
        <v>3554</v>
      </c>
      <c r="E1130" s="4" t="s">
        <v>3578</v>
      </c>
      <c r="F1130" s="31" t="s">
        <v>635</v>
      </c>
      <c r="G1130" s="193" t="s">
        <v>4195</v>
      </c>
      <c r="H1130" s="16" t="s">
        <v>142</v>
      </c>
      <c r="I1130" s="193" t="s">
        <v>4196</v>
      </c>
      <c r="J1130" s="193" t="s">
        <v>3608</v>
      </c>
      <c r="K1130" s="193" t="s">
        <v>4110</v>
      </c>
      <c r="L1130" s="125" t="s">
        <v>3509</v>
      </c>
      <c r="M1130" s="93">
        <v>300000</v>
      </c>
      <c r="N1130" s="6" t="s">
        <v>1651</v>
      </c>
    </row>
    <row r="1131" spans="1:14">
      <c r="A1131" s="123">
        <v>50</v>
      </c>
      <c r="B1131" s="970"/>
      <c r="C1131" s="369">
        <v>46002</v>
      </c>
      <c r="D1131" s="4" t="s">
        <v>3694</v>
      </c>
      <c r="E1131" s="4" t="s">
        <v>3503</v>
      </c>
      <c r="F1131" s="31" t="s">
        <v>2130</v>
      </c>
      <c r="G1131" s="31" t="s">
        <v>4065</v>
      </c>
      <c r="H1131" s="16" t="s">
        <v>4197</v>
      </c>
      <c r="I1131" s="193" t="s">
        <v>4135</v>
      </c>
      <c r="J1131" s="193" t="s">
        <v>3848</v>
      </c>
      <c r="K1131" s="31" t="s">
        <v>3708</v>
      </c>
      <c r="L1131" s="125" t="s">
        <v>3523</v>
      </c>
      <c r="M1131" s="93">
        <v>250000</v>
      </c>
      <c r="N1131" s="6" t="s">
        <v>3794</v>
      </c>
    </row>
    <row r="1132" spans="1:14">
      <c r="A1132" s="123">
        <v>51</v>
      </c>
      <c r="B1132" s="970" t="s">
        <v>3733</v>
      </c>
      <c r="C1132" s="401">
        <v>46003</v>
      </c>
      <c r="D1132" s="4" t="s">
        <v>306</v>
      </c>
      <c r="E1132" s="4" t="s">
        <v>322</v>
      </c>
      <c r="F1132" s="4" t="s">
        <v>307</v>
      </c>
      <c r="G1132" s="193" t="s">
        <v>4198</v>
      </c>
      <c r="H1132" s="125" t="s">
        <v>1247</v>
      </c>
      <c r="I1132" s="400" t="s">
        <v>4199</v>
      </c>
      <c r="J1132" s="4" t="s">
        <v>737</v>
      </c>
      <c r="K1132" s="4" t="s">
        <v>4157</v>
      </c>
      <c r="L1132" s="4"/>
      <c r="M1132" s="96">
        <v>500000</v>
      </c>
      <c r="N1132" s="6" t="s">
        <v>4200</v>
      </c>
    </row>
    <row r="1133" spans="1:14">
      <c r="A1133" s="123">
        <v>51</v>
      </c>
      <c r="B1133" s="970"/>
      <c r="C1133" s="401">
        <v>46004</v>
      </c>
      <c r="D1133" s="4" t="s">
        <v>306</v>
      </c>
      <c r="E1133" s="4" t="s">
        <v>322</v>
      </c>
      <c r="F1133" s="4" t="s">
        <v>307</v>
      </c>
      <c r="G1133" s="193" t="s">
        <v>3386</v>
      </c>
      <c r="H1133" s="125" t="s">
        <v>3840</v>
      </c>
      <c r="I1133" s="400" t="s">
        <v>4201</v>
      </c>
      <c r="J1133" s="4" t="s">
        <v>3748</v>
      </c>
      <c r="K1133" s="4" t="s">
        <v>4202</v>
      </c>
      <c r="L1133" s="4"/>
      <c r="M1133" s="96">
        <v>500000</v>
      </c>
      <c r="N1133" s="6" t="s">
        <v>4203</v>
      </c>
    </row>
    <row r="1134" spans="1:14">
      <c r="A1134" s="123">
        <v>51</v>
      </c>
      <c r="B1134" s="970"/>
      <c r="C1134" s="401" t="s">
        <v>4204</v>
      </c>
      <c r="D1134" s="4" t="s">
        <v>306</v>
      </c>
      <c r="E1134" s="4" t="s">
        <v>322</v>
      </c>
      <c r="F1134" s="4" t="s">
        <v>307</v>
      </c>
      <c r="G1134" s="193" t="s">
        <v>3386</v>
      </c>
      <c r="H1134" s="125" t="s">
        <v>3489</v>
      </c>
      <c r="I1134" s="400" t="s">
        <v>4205</v>
      </c>
      <c r="J1134" s="4" t="s">
        <v>3748</v>
      </c>
      <c r="K1134" s="4" t="s">
        <v>4206</v>
      </c>
      <c r="L1134" s="4"/>
      <c r="M1134" s="96">
        <v>1000000</v>
      </c>
      <c r="N1134" s="6"/>
    </row>
    <row r="1135" spans="1:14">
      <c r="A1135" s="123">
        <v>51</v>
      </c>
      <c r="B1135" s="970"/>
      <c r="C1135" s="401">
        <v>46006</v>
      </c>
      <c r="D1135" s="4" t="s">
        <v>306</v>
      </c>
      <c r="E1135" s="4" t="s">
        <v>322</v>
      </c>
      <c r="F1135" s="4" t="s">
        <v>307</v>
      </c>
      <c r="G1135" s="193" t="s">
        <v>4207</v>
      </c>
      <c r="H1135" s="125" t="s">
        <v>4208</v>
      </c>
      <c r="I1135" s="400" t="s">
        <v>378</v>
      </c>
      <c r="J1135" s="4" t="s">
        <v>3418</v>
      </c>
      <c r="K1135" s="4" t="s">
        <v>4209</v>
      </c>
      <c r="L1135" s="4"/>
      <c r="M1135" s="96">
        <v>250000</v>
      </c>
      <c r="N1135" s="6"/>
    </row>
    <row r="1136" spans="1:14">
      <c r="A1136" s="123">
        <v>51</v>
      </c>
      <c r="B1136" s="970"/>
      <c r="C1136" s="401">
        <v>46007</v>
      </c>
      <c r="D1136" s="4" t="s">
        <v>306</v>
      </c>
      <c r="E1136" s="4" t="s">
        <v>322</v>
      </c>
      <c r="F1136" s="4" t="s">
        <v>307</v>
      </c>
      <c r="G1136" s="193" t="s">
        <v>4207</v>
      </c>
      <c r="H1136" s="125" t="s">
        <v>3581</v>
      </c>
      <c r="I1136" s="400" t="s">
        <v>3876</v>
      </c>
      <c r="J1136" s="4" t="s">
        <v>3483</v>
      </c>
      <c r="K1136" s="4" t="s">
        <v>3877</v>
      </c>
      <c r="L1136" s="4"/>
      <c r="M1136" s="96">
        <v>250000</v>
      </c>
      <c r="N1136" s="6"/>
    </row>
    <row r="1137" spans="1:14">
      <c r="A1137" s="123">
        <v>51</v>
      </c>
      <c r="B1137" s="970"/>
      <c r="C1137" s="401">
        <v>46009</v>
      </c>
      <c r="D1137" s="4" t="s">
        <v>306</v>
      </c>
      <c r="E1137" s="4" t="s">
        <v>322</v>
      </c>
      <c r="F1137" s="4" t="s">
        <v>307</v>
      </c>
      <c r="G1137" s="193" t="s">
        <v>3622</v>
      </c>
      <c r="H1137" s="125" t="s">
        <v>3499</v>
      </c>
      <c r="I1137" s="400" t="s">
        <v>3402</v>
      </c>
      <c r="J1137" s="4" t="s">
        <v>3483</v>
      </c>
      <c r="K1137" s="4" t="s">
        <v>4210</v>
      </c>
      <c r="L1137" s="4"/>
      <c r="M1137" s="96">
        <v>250000</v>
      </c>
      <c r="N1137" s="125"/>
    </row>
    <row r="1138" spans="1:14">
      <c r="A1138" s="123">
        <v>51</v>
      </c>
      <c r="B1138" s="970" t="s">
        <v>21</v>
      </c>
      <c r="C1138" s="401">
        <v>46002</v>
      </c>
      <c r="D1138" s="4" t="s">
        <v>3502</v>
      </c>
      <c r="E1138" s="4" t="s">
        <v>3555</v>
      </c>
      <c r="F1138" s="31" t="s">
        <v>3534</v>
      </c>
      <c r="G1138" s="31" t="s">
        <v>4065</v>
      </c>
      <c r="H1138" s="16" t="s">
        <v>4211</v>
      </c>
      <c r="I1138" s="193" t="s">
        <v>3994</v>
      </c>
      <c r="J1138" s="4" t="s">
        <v>3632</v>
      </c>
      <c r="K1138" s="4" t="s">
        <v>3856</v>
      </c>
      <c r="L1138" s="125" t="s">
        <v>3576</v>
      </c>
      <c r="M1138" s="96">
        <v>500000</v>
      </c>
      <c r="N1138" s="6" t="s">
        <v>4212</v>
      </c>
    </row>
    <row r="1139" spans="1:14">
      <c r="A1139" s="123">
        <v>51</v>
      </c>
      <c r="B1139" s="970"/>
      <c r="C1139" s="369">
        <v>46006</v>
      </c>
      <c r="D1139" s="4" t="s">
        <v>3502</v>
      </c>
      <c r="E1139" s="4" t="s">
        <v>3578</v>
      </c>
      <c r="F1139" s="31" t="s">
        <v>4213</v>
      </c>
      <c r="G1139" s="193">
        <v>7064</v>
      </c>
      <c r="H1139" s="16" t="s">
        <v>3692</v>
      </c>
      <c r="I1139" s="193" t="s">
        <v>4214</v>
      </c>
      <c r="J1139" s="193" t="s">
        <v>120</v>
      </c>
      <c r="K1139" s="31" t="s">
        <v>3803</v>
      </c>
      <c r="L1139" s="125" t="s">
        <v>3599</v>
      </c>
      <c r="M1139" s="60">
        <v>300000</v>
      </c>
      <c r="N1139" s="6" t="s">
        <v>3698</v>
      </c>
    </row>
    <row r="1140" spans="1:14">
      <c r="A1140" s="123">
        <v>51</v>
      </c>
      <c r="B1140" s="970"/>
      <c r="C1140" s="369">
        <v>46006</v>
      </c>
      <c r="D1140" s="4" t="s">
        <v>3694</v>
      </c>
      <c r="E1140" s="4" t="s">
        <v>30</v>
      </c>
      <c r="F1140" s="31" t="s">
        <v>3542</v>
      </c>
      <c r="G1140" s="31" t="s">
        <v>4215</v>
      </c>
      <c r="H1140" s="16" t="s">
        <v>4197</v>
      </c>
      <c r="I1140" s="193" t="s">
        <v>4216</v>
      </c>
      <c r="J1140" s="193" t="s">
        <v>3545</v>
      </c>
      <c r="K1140" s="31" t="s">
        <v>3454</v>
      </c>
      <c r="L1140" s="125" t="s">
        <v>3523</v>
      </c>
      <c r="M1140" s="93">
        <v>250000</v>
      </c>
      <c r="N1140" s="6" t="s">
        <v>3799</v>
      </c>
    </row>
    <row r="1141" spans="1:14">
      <c r="A1141" s="123">
        <v>51</v>
      </c>
      <c r="B1141" s="970"/>
      <c r="C1141" s="369" t="s">
        <v>4217</v>
      </c>
      <c r="D1141" s="4" t="s">
        <v>3512</v>
      </c>
      <c r="E1141" s="4" t="s">
        <v>3541</v>
      </c>
      <c r="F1141" s="31" t="s">
        <v>3976</v>
      </c>
      <c r="G1141" s="31" t="s">
        <v>3912</v>
      </c>
      <c r="H1141" s="16" t="s">
        <v>3356</v>
      </c>
      <c r="I1141" s="193" t="s">
        <v>3743</v>
      </c>
      <c r="J1141" s="31"/>
      <c r="K1141" s="193" t="s">
        <v>4218</v>
      </c>
      <c r="L1141" s="125" t="s">
        <v>84</v>
      </c>
      <c r="M1141" s="93">
        <v>1000000</v>
      </c>
      <c r="N1141" s="6" t="s">
        <v>1651</v>
      </c>
    </row>
    <row r="1142" spans="1:14">
      <c r="A1142" s="123">
        <v>51</v>
      </c>
      <c r="B1142" s="970"/>
      <c r="C1142" s="369">
        <v>46007</v>
      </c>
      <c r="D1142" s="4" t="s">
        <v>3485</v>
      </c>
      <c r="E1142" s="4" t="s">
        <v>3503</v>
      </c>
      <c r="F1142" s="31" t="s">
        <v>635</v>
      </c>
      <c r="G1142" s="193" t="s">
        <v>4219</v>
      </c>
      <c r="H1142" s="16" t="s">
        <v>4220</v>
      </c>
      <c r="I1142" s="193" t="s">
        <v>4221</v>
      </c>
      <c r="J1142" s="31" t="s">
        <v>4222</v>
      </c>
      <c r="K1142" s="31" t="s">
        <v>3837</v>
      </c>
      <c r="L1142" s="125" t="s">
        <v>3523</v>
      </c>
      <c r="M1142" s="93">
        <v>300000</v>
      </c>
      <c r="N1142" s="6" t="s">
        <v>3243</v>
      </c>
    </row>
    <row r="1143" spans="1:14" ht="27">
      <c r="A1143" s="123">
        <v>51</v>
      </c>
      <c r="B1143" s="970"/>
      <c r="C1143" s="369">
        <v>46008</v>
      </c>
      <c r="D1143" s="4" t="s">
        <v>21</v>
      </c>
      <c r="E1143" s="4" t="s">
        <v>30</v>
      </c>
      <c r="F1143" s="31" t="s">
        <v>3995</v>
      </c>
      <c r="G1143" s="193" t="s">
        <v>4223</v>
      </c>
      <c r="H1143" s="16" t="s">
        <v>4001</v>
      </c>
      <c r="I1143" s="193" t="s">
        <v>4224</v>
      </c>
      <c r="J1143" s="31" t="s">
        <v>3613</v>
      </c>
      <c r="K1143" s="31" t="s">
        <v>4225</v>
      </c>
      <c r="L1143" s="125" t="s">
        <v>3798</v>
      </c>
      <c r="M1143" s="93">
        <v>600000</v>
      </c>
      <c r="N1143" s="6" t="s">
        <v>3603</v>
      </c>
    </row>
    <row r="1144" spans="1:14" ht="27">
      <c r="A1144" s="123">
        <v>51</v>
      </c>
      <c r="B1144" s="970"/>
      <c r="C1144" s="369">
        <v>46008</v>
      </c>
      <c r="D1144" s="4" t="s">
        <v>3502</v>
      </c>
      <c r="E1144" s="4" t="s">
        <v>4121</v>
      </c>
      <c r="F1144" s="31" t="s">
        <v>3504</v>
      </c>
      <c r="G1144" s="193" t="s">
        <v>3900</v>
      </c>
      <c r="H1144" s="16" t="s">
        <v>4130</v>
      </c>
      <c r="I1144" s="193" t="s">
        <v>4226</v>
      </c>
      <c r="J1144" s="31" t="s">
        <v>4227</v>
      </c>
      <c r="K1144" s="193" t="s">
        <v>3775</v>
      </c>
      <c r="L1144" s="125" t="s">
        <v>3584</v>
      </c>
      <c r="M1144" s="93">
        <v>250000</v>
      </c>
      <c r="N1144" s="6" t="s">
        <v>3398</v>
      </c>
    </row>
    <row r="1145" spans="1:14" ht="27">
      <c r="A1145" s="123">
        <v>51</v>
      </c>
      <c r="B1145" s="970"/>
      <c r="C1145" s="369">
        <v>46009</v>
      </c>
      <c r="D1145" s="4" t="s">
        <v>3540</v>
      </c>
      <c r="E1145" s="4" t="s">
        <v>3518</v>
      </c>
      <c r="F1145" s="31" t="s">
        <v>158</v>
      </c>
      <c r="G1145" s="193" t="s">
        <v>4228</v>
      </c>
      <c r="H1145" s="16" t="s">
        <v>3223</v>
      </c>
      <c r="I1145" s="193" t="s">
        <v>4229</v>
      </c>
      <c r="J1145" s="31" t="s">
        <v>120</v>
      </c>
      <c r="K1145" s="31" t="s">
        <v>3516</v>
      </c>
      <c r="L1145" s="125" t="s">
        <v>3509</v>
      </c>
      <c r="M1145" s="93">
        <v>250000</v>
      </c>
      <c r="N1145" s="6" t="s">
        <v>3610</v>
      </c>
    </row>
    <row r="1146" spans="1:14" ht="27">
      <c r="A1146" s="123">
        <v>51</v>
      </c>
      <c r="B1146" s="970"/>
      <c r="C1146" s="369">
        <v>46009</v>
      </c>
      <c r="D1146" s="4" t="s">
        <v>21</v>
      </c>
      <c r="E1146" s="4" t="s">
        <v>3588</v>
      </c>
      <c r="F1146" s="31" t="s">
        <v>100</v>
      </c>
      <c r="G1146" s="31" t="s">
        <v>4230</v>
      </c>
      <c r="H1146" s="16" t="s">
        <v>3416</v>
      </c>
      <c r="I1146" s="193" t="s">
        <v>4231</v>
      </c>
      <c r="J1146" s="31"/>
      <c r="K1146" s="31" t="s">
        <v>4232</v>
      </c>
      <c r="L1146" s="125" t="s">
        <v>84</v>
      </c>
      <c r="M1146" s="93">
        <v>300000</v>
      </c>
      <c r="N1146" s="6" t="s">
        <v>4233</v>
      </c>
    </row>
    <row r="1147" spans="1:14" ht="27">
      <c r="A1147" s="123">
        <v>51</v>
      </c>
      <c r="B1147" s="970"/>
      <c r="C1147" s="369">
        <v>46010</v>
      </c>
      <c r="D1147" s="4" t="s">
        <v>3540</v>
      </c>
      <c r="E1147" s="4" t="s">
        <v>17</v>
      </c>
      <c r="F1147" s="31" t="s">
        <v>3504</v>
      </c>
      <c r="G1147" s="193" t="s">
        <v>3906</v>
      </c>
      <c r="H1147" s="16" t="s">
        <v>37</v>
      </c>
      <c r="I1147" s="193" t="s">
        <v>4166</v>
      </c>
      <c r="J1147" s="31" t="s">
        <v>3560</v>
      </c>
      <c r="K1147" s="193" t="s">
        <v>3877</v>
      </c>
      <c r="L1147" s="125" t="s">
        <v>3599</v>
      </c>
      <c r="M1147" s="93">
        <v>250000</v>
      </c>
      <c r="N1147" s="6" t="s">
        <v>3398</v>
      </c>
    </row>
    <row r="1148" spans="1:14" ht="22.5">
      <c r="A1148" s="123">
        <v>51</v>
      </c>
      <c r="B1148" s="970"/>
      <c r="C1148" s="369">
        <v>46010</v>
      </c>
      <c r="D1148" s="4" t="s">
        <v>3566</v>
      </c>
      <c r="E1148" s="4" t="s">
        <v>675</v>
      </c>
      <c r="F1148" s="31" t="s">
        <v>1788</v>
      </c>
      <c r="G1148" s="291" t="s">
        <v>3332</v>
      </c>
      <c r="H1148" s="16" t="s">
        <v>4001</v>
      </c>
      <c r="I1148" s="193" t="s">
        <v>4234</v>
      </c>
      <c r="J1148" s="31" t="s">
        <v>3491</v>
      </c>
      <c r="K1148" s="193" t="s">
        <v>3644</v>
      </c>
      <c r="L1148" s="125" t="s">
        <v>3576</v>
      </c>
      <c r="M1148" s="93">
        <v>250000</v>
      </c>
      <c r="N1148" s="6" t="s">
        <v>2556</v>
      </c>
    </row>
    <row r="1149" spans="1:14" ht="22.5">
      <c r="A1149" s="123">
        <v>51</v>
      </c>
      <c r="B1149" s="970"/>
      <c r="C1149" s="369">
        <v>46010</v>
      </c>
      <c r="D1149" s="4" t="s">
        <v>3502</v>
      </c>
      <c r="E1149" s="4" t="s">
        <v>675</v>
      </c>
      <c r="F1149" s="31" t="s">
        <v>4235</v>
      </c>
      <c r="G1149" s="291" t="s">
        <v>4236</v>
      </c>
      <c r="H1149" s="16" t="s">
        <v>3840</v>
      </c>
      <c r="I1149" s="193" t="s">
        <v>4237</v>
      </c>
      <c r="J1149" s="31" t="s">
        <v>3574</v>
      </c>
      <c r="K1149" s="193" t="s">
        <v>4238</v>
      </c>
      <c r="L1149" s="125" t="s">
        <v>3493</v>
      </c>
      <c r="M1149" s="93">
        <v>300000</v>
      </c>
      <c r="N1149" s="6" t="s">
        <v>4120</v>
      </c>
    </row>
    <row r="1150" spans="1:14">
      <c r="A1150" s="123">
        <v>52</v>
      </c>
      <c r="B1150" s="970" t="s">
        <v>3467</v>
      </c>
      <c r="C1150" s="369" t="s">
        <v>4239</v>
      </c>
      <c r="D1150" s="4" t="s">
        <v>306</v>
      </c>
      <c r="E1150" s="4" t="s">
        <v>322</v>
      </c>
      <c r="F1150" s="4" t="s">
        <v>307</v>
      </c>
      <c r="G1150" s="193" t="s">
        <v>3386</v>
      </c>
      <c r="H1150" s="125" t="s">
        <v>115</v>
      </c>
      <c r="I1150" s="400" t="s">
        <v>3400</v>
      </c>
      <c r="J1150" s="4" t="s">
        <v>3626</v>
      </c>
      <c r="K1150" s="4" t="s">
        <v>2806</v>
      </c>
      <c r="L1150" s="4"/>
      <c r="M1150" s="96">
        <v>750000</v>
      </c>
      <c r="N1150" s="6" t="s">
        <v>4240</v>
      </c>
    </row>
    <row r="1151" spans="1:14">
      <c r="A1151" s="123">
        <v>52</v>
      </c>
      <c r="B1151" s="970"/>
      <c r="C1151" s="401" t="s">
        <v>4241</v>
      </c>
      <c r="D1151" s="4" t="s">
        <v>306</v>
      </c>
      <c r="E1151" s="4" t="s">
        <v>322</v>
      </c>
      <c r="F1151" s="4" t="s">
        <v>307</v>
      </c>
      <c r="G1151" s="193" t="s">
        <v>3386</v>
      </c>
      <c r="H1151" s="125" t="s">
        <v>23</v>
      </c>
      <c r="I1151" s="400" t="s">
        <v>3402</v>
      </c>
      <c r="J1151" s="4" t="s">
        <v>737</v>
      </c>
      <c r="K1151" s="4" t="s">
        <v>3004</v>
      </c>
      <c r="L1151" s="4"/>
      <c r="M1151" s="96">
        <v>750000</v>
      </c>
      <c r="N1151" s="6"/>
    </row>
    <row r="1152" spans="1:14">
      <c r="A1152" s="123">
        <v>52</v>
      </c>
      <c r="B1152" s="970"/>
      <c r="C1152" s="401">
        <v>46014</v>
      </c>
      <c r="D1152" s="4" t="s">
        <v>306</v>
      </c>
      <c r="E1152" s="4" t="s">
        <v>322</v>
      </c>
      <c r="F1152" s="4" t="s">
        <v>307</v>
      </c>
      <c r="G1152" s="193" t="s">
        <v>3386</v>
      </c>
      <c r="H1152" s="125" t="s">
        <v>115</v>
      </c>
      <c r="I1152" s="400" t="s">
        <v>4242</v>
      </c>
      <c r="J1152" s="4" t="s">
        <v>737</v>
      </c>
      <c r="K1152" s="4" t="s">
        <v>686</v>
      </c>
      <c r="L1152" s="4"/>
      <c r="M1152" s="96">
        <v>250000</v>
      </c>
      <c r="N1152" s="6"/>
    </row>
    <row r="1153" spans="1:14">
      <c r="A1153" s="123">
        <v>52</v>
      </c>
      <c r="B1153" s="970"/>
      <c r="C1153" s="401">
        <v>46017</v>
      </c>
      <c r="D1153" s="4" t="s">
        <v>306</v>
      </c>
      <c r="E1153" s="4" t="s">
        <v>322</v>
      </c>
      <c r="F1153" s="4" t="s">
        <v>307</v>
      </c>
      <c r="G1153" s="193" t="s">
        <v>4243</v>
      </c>
      <c r="H1153" s="125" t="s">
        <v>23</v>
      </c>
      <c r="I1153" s="400" t="s">
        <v>4244</v>
      </c>
      <c r="J1153" s="4" t="s">
        <v>3429</v>
      </c>
      <c r="K1153" s="4" t="s">
        <v>4245</v>
      </c>
      <c r="L1153" s="4"/>
      <c r="M1153" s="96">
        <v>500000</v>
      </c>
      <c r="N1153" s="6"/>
    </row>
    <row r="1154" spans="1:14">
      <c r="A1154" s="123">
        <v>52</v>
      </c>
      <c r="B1154" s="970"/>
      <c r="C1154" s="401">
        <v>46017</v>
      </c>
      <c r="D1154" s="4" t="s">
        <v>306</v>
      </c>
      <c r="E1154" s="4" t="s">
        <v>322</v>
      </c>
      <c r="F1154" s="4" t="s">
        <v>307</v>
      </c>
      <c r="G1154" s="193">
        <v>1569</v>
      </c>
      <c r="H1154" s="125" t="s">
        <v>3384</v>
      </c>
      <c r="I1154" s="400" t="s">
        <v>378</v>
      </c>
      <c r="J1154" s="4" t="s">
        <v>737</v>
      </c>
      <c r="K1154" s="4" t="s">
        <v>2828</v>
      </c>
      <c r="L1154" s="4"/>
      <c r="M1154" s="96">
        <v>250000</v>
      </c>
      <c r="N1154" s="6"/>
    </row>
    <row r="1155" spans="1:14">
      <c r="A1155" s="123">
        <v>52</v>
      </c>
      <c r="B1155" s="970"/>
      <c r="C1155" s="401" t="s">
        <v>4246</v>
      </c>
      <c r="D1155" s="4" t="s">
        <v>306</v>
      </c>
      <c r="E1155" s="4" t="s">
        <v>322</v>
      </c>
      <c r="F1155" s="4" t="s">
        <v>307</v>
      </c>
      <c r="G1155" s="193">
        <v>8262</v>
      </c>
      <c r="H1155" s="125" t="s">
        <v>3469</v>
      </c>
      <c r="I1155" s="400" t="s">
        <v>4247</v>
      </c>
      <c r="J1155" s="4" t="s">
        <v>3626</v>
      </c>
      <c r="K1155" s="4" t="s">
        <v>4248</v>
      </c>
      <c r="L1155" s="4"/>
      <c r="M1155" s="96">
        <v>500000</v>
      </c>
      <c r="N1155" s="6"/>
    </row>
    <row r="1156" spans="1:14">
      <c r="A1156" s="123">
        <v>52</v>
      </c>
      <c r="B1156" s="970"/>
      <c r="C1156" s="401">
        <v>46017</v>
      </c>
      <c r="D1156" s="4" t="s">
        <v>306</v>
      </c>
      <c r="E1156" s="4" t="s">
        <v>322</v>
      </c>
      <c r="F1156" s="4" t="s">
        <v>307</v>
      </c>
      <c r="G1156" s="193">
        <v>8262</v>
      </c>
      <c r="H1156" s="125" t="s">
        <v>3384</v>
      </c>
      <c r="I1156" s="400" t="s">
        <v>3390</v>
      </c>
      <c r="J1156" s="4" t="s">
        <v>737</v>
      </c>
      <c r="K1156" s="4" t="s">
        <v>999</v>
      </c>
      <c r="L1156" s="4"/>
      <c r="M1156" s="96">
        <v>250000</v>
      </c>
      <c r="N1156" s="6"/>
    </row>
    <row r="1157" spans="1:14" ht="27">
      <c r="A1157" s="123">
        <v>52</v>
      </c>
      <c r="B1157" s="970" t="s">
        <v>21</v>
      </c>
      <c r="C1157" s="369">
        <v>46009</v>
      </c>
      <c r="D1157" s="4" t="s">
        <v>3694</v>
      </c>
      <c r="E1157" s="4" t="s">
        <v>30</v>
      </c>
      <c r="F1157" s="31" t="s">
        <v>158</v>
      </c>
      <c r="G1157" s="193" t="s">
        <v>4223</v>
      </c>
      <c r="H1157" s="16" t="s">
        <v>3416</v>
      </c>
      <c r="I1157" s="193" t="s">
        <v>4249</v>
      </c>
      <c r="J1157" s="125" t="s">
        <v>120</v>
      </c>
      <c r="K1157" s="31" t="s">
        <v>184</v>
      </c>
      <c r="L1157" s="125" t="s">
        <v>3439</v>
      </c>
      <c r="M1157" s="96">
        <v>300000</v>
      </c>
      <c r="N1157" s="6" t="s">
        <v>4250</v>
      </c>
    </row>
    <row r="1158" spans="1:14" ht="27">
      <c r="A1158" s="123">
        <v>52</v>
      </c>
      <c r="B1158" s="970"/>
      <c r="C1158" s="369">
        <v>46008</v>
      </c>
      <c r="D1158" s="4" t="s">
        <v>3694</v>
      </c>
      <c r="E1158" s="4" t="s">
        <v>3784</v>
      </c>
      <c r="F1158" s="31" t="s">
        <v>2450</v>
      </c>
      <c r="G1158" s="193" t="s">
        <v>3900</v>
      </c>
      <c r="H1158" s="16" t="s">
        <v>4251</v>
      </c>
      <c r="I1158" s="193" t="s">
        <v>4166</v>
      </c>
      <c r="J1158" s="193" t="s">
        <v>3855</v>
      </c>
      <c r="K1158" s="193" t="s">
        <v>686</v>
      </c>
      <c r="L1158" s="125" t="s">
        <v>3439</v>
      </c>
      <c r="M1158" s="60">
        <v>250000</v>
      </c>
      <c r="N1158" s="6" t="s">
        <v>4252</v>
      </c>
    </row>
    <row r="1159" spans="1:14" ht="27">
      <c r="A1159" s="123">
        <v>52</v>
      </c>
      <c r="B1159" s="970"/>
      <c r="C1159" s="369">
        <v>46010</v>
      </c>
      <c r="D1159" s="4" t="s">
        <v>4253</v>
      </c>
      <c r="E1159" s="4" t="s">
        <v>17</v>
      </c>
      <c r="F1159" s="31" t="s">
        <v>4254</v>
      </c>
      <c r="G1159" s="193" t="s">
        <v>4255</v>
      </c>
      <c r="H1159" s="16" t="s">
        <v>4251</v>
      </c>
      <c r="I1159" s="193" t="s">
        <v>4256</v>
      </c>
      <c r="J1159" s="193" t="s">
        <v>495</v>
      </c>
      <c r="K1159" s="193" t="s">
        <v>3460</v>
      </c>
      <c r="L1159" s="125" t="s">
        <v>84</v>
      </c>
      <c r="M1159" s="60">
        <v>250000</v>
      </c>
      <c r="N1159" s="6" t="s">
        <v>4252</v>
      </c>
    </row>
    <row r="1160" spans="1:14">
      <c r="A1160" s="123">
        <v>52</v>
      </c>
      <c r="B1160" s="970"/>
      <c r="C1160" s="369">
        <v>46013</v>
      </c>
      <c r="D1160" s="4" t="s">
        <v>21</v>
      </c>
      <c r="E1160" s="4" t="s">
        <v>30</v>
      </c>
      <c r="F1160" s="31" t="s">
        <v>381</v>
      </c>
      <c r="G1160" s="31" t="s">
        <v>3735</v>
      </c>
      <c r="H1160" s="16" t="s">
        <v>3737</v>
      </c>
      <c r="I1160" s="193" t="s">
        <v>4257</v>
      </c>
      <c r="J1160" s="31"/>
      <c r="K1160" s="193" t="s">
        <v>184</v>
      </c>
      <c r="L1160" s="125" t="s">
        <v>3439</v>
      </c>
      <c r="M1160" s="60">
        <v>300000</v>
      </c>
      <c r="N1160" s="6" t="s">
        <v>3243</v>
      </c>
    </row>
    <row r="1161" spans="1:14" ht="27">
      <c r="A1161" s="123">
        <v>52</v>
      </c>
      <c r="B1161" s="970"/>
      <c r="C1161" s="369">
        <v>46013</v>
      </c>
      <c r="D1161" s="4" t="s">
        <v>3433</v>
      </c>
      <c r="E1161" s="4" t="s">
        <v>3548</v>
      </c>
      <c r="F1161" s="31" t="s">
        <v>158</v>
      </c>
      <c r="G1161" s="193" t="s">
        <v>3970</v>
      </c>
      <c r="H1161" s="16" t="s">
        <v>3777</v>
      </c>
      <c r="I1161" s="193" t="s">
        <v>4258</v>
      </c>
      <c r="J1161" s="31" t="s">
        <v>120</v>
      </c>
      <c r="K1161" s="31" t="s">
        <v>3516</v>
      </c>
      <c r="L1161" s="125" t="s">
        <v>3439</v>
      </c>
      <c r="M1161" s="60">
        <v>250000</v>
      </c>
      <c r="N1161" s="6" t="s">
        <v>3464</v>
      </c>
    </row>
    <row r="1162" spans="1:14">
      <c r="A1162" s="123">
        <v>52</v>
      </c>
      <c r="B1162" s="970"/>
      <c r="C1162" s="369">
        <v>46013</v>
      </c>
      <c r="D1162" s="4" t="s">
        <v>21</v>
      </c>
      <c r="E1162" s="4" t="s">
        <v>30</v>
      </c>
      <c r="F1162" s="31" t="s">
        <v>3372</v>
      </c>
      <c r="G1162" s="193">
        <v>7064</v>
      </c>
      <c r="H1162" s="16" t="s">
        <v>207</v>
      </c>
      <c r="I1162" s="193" t="s">
        <v>4259</v>
      </c>
      <c r="J1162" s="193"/>
      <c r="K1162" s="31" t="s">
        <v>999</v>
      </c>
      <c r="L1162" s="125" t="s">
        <v>3439</v>
      </c>
      <c r="M1162" s="60">
        <v>300000</v>
      </c>
      <c r="N1162" s="6" t="s">
        <v>3243</v>
      </c>
    </row>
    <row r="1163" spans="1:14">
      <c r="A1163" s="123">
        <v>52</v>
      </c>
      <c r="B1163" s="970"/>
      <c r="C1163" s="369">
        <v>46013</v>
      </c>
      <c r="D1163" s="4" t="s">
        <v>3433</v>
      </c>
      <c r="E1163" s="4" t="s">
        <v>3548</v>
      </c>
      <c r="F1163" s="31" t="s">
        <v>4192</v>
      </c>
      <c r="G1163" s="193">
        <v>7064</v>
      </c>
      <c r="H1163" s="16" t="s">
        <v>207</v>
      </c>
      <c r="I1163" s="193" t="s">
        <v>4260</v>
      </c>
      <c r="J1163" s="193"/>
      <c r="K1163" s="31" t="s">
        <v>3460</v>
      </c>
      <c r="L1163" s="125" t="s">
        <v>84</v>
      </c>
      <c r="M1163" s="60">
        <v>250000</v>
      </c>
      <c r="N1163" s="6" t="s">
        <v>3399</v>
      </c>
    </row>
    <row r="1164" spans="1:14" ht="27">
      <c r="A1164" s="123">
        <v>52</v>
      </c>
      <c r="B1164" s="970"/>
      <c r="C1164" s="369" t="s">
        <v>4261</v>
      </c>
      <c r="D1164" s="4" t="s">
        <v>3433</v>
      </c>
      <c r="E1164" s="4" t="s">
        <v>30</v>
      </c>
      <c r="F1164" s="31" t="s">
        <v>381</v>
      </c>
      <c r="G1164" s="31" t="s">
        <v>3735</v>
      </c>
      <c r="H1164" s="16" t="s">
        <v>3737</v>
      </c>
      <c r="I1164" s="193" t="s">
        <v>3425</v>
      </c>
      <c r="J1164" s="31"/>
      <c r="K1164" s="193" t="s">
        <v>3716</v>
      </c>
      <c r="L1164" s="125" t="s">
        <v>84</v>
      </c>
      <c r="M1164" s="60">
        <v>1000000</v>
      </c>
      <c r="N1164" s="6" t="s">
        <v>1651</v>
      </c>
    </row>
    <row r="1165" spans="1:14">
      <c r="A1165" s="123">
        <v>52</v>
      </c>
      <c r="B1165" s="970"/>
      <c r="C1165" s="369">
        <v>46014</v>
      </c>
      <c r="D1165" s="4" t="s">
        <v>3433</v>
      </c>
      <c r="E1165" s="4" t="s">
        <v>3548</v>
      </c>
      <c r="F1165" s="31" t="s">
        <v>2130</v>
      </c>
      <c r="G1165" s="31" t="s">
        <v>2713</v>
      </c>
      <c r="H1165" s="16" t="s">
        <v>115</v>
      </c>
      <c r="I1165" s="193" t="s">
        <v>4262</v>
      </c>
      <c r="J1165" s="31"/>
      <c r="K1165" s="193" t="s">
        <v>794</v>
      </c>
      <c r="L1165" s="125" t="s">
        <v>84</v>
      </c>
      <c r="M1165" s="60">
        <v>500000</v>
      </c>
      <c r="N1165" s="6" t="s">
        <v>3243</v>
      </c>
    </row>
    <row r="1166" spans="1:14">
      <c r="A1166" s="123">
        <v>52</v>
      </c>
      <c r="B1166" s="970"/>
      <c r="C1166" s="369">
        <v>46014</v>
      </c>
      <c r="D1166" s="4" t="s">
        <v>3485</v>
      </c>
      <c r="E1166" s="4" t="s">
        <v>30</v>
      </c>
      <c r="F1166" s="31" t="s">
        <v>3455</v>
      </c>
      <c r="G1166" s="31" t="s">
        <v>2713</v>
      </c>
      <c r="H1166" s="16" t="s">
        <v>115</v>
      </c>
      <c r="I1166" s="193" t="s">
        <v>4262</v>
      </c>
      <c r="J1166" s="31" t="s">
        <v>120</v>
      </c>
      <c r="K1166" s="193" t="s">
        <v>3697</v>
      </c>
      <c r="L1166" s="125" t="s">
        <v>84</v>
      </c>
      <c r="M1166" s="60">
        <v>600000</v>
      </c>
      <c r="N1166" s="6" t="s">
        <v>3243</v>
      </c>
    </row>
    <row r="1167" spans="1:14">
      <c r="A1167" s="123">
        <v>52</v>
      </c>
      <c r="B1167" s="970"/>
      <c r="C1167" s="369">
        <v>46015</v>
      </c>
      <c r="D1167" s="4" t="s">
        <v>3433</v>
      </c>
      <c r="E1167" s="4" t="s">
        <v>3434</v>
      </c>
      <c r="F1167" s="31" t="s">
        <v>381</v>
      </c>
      <c r="G1167" s="31" t="s">
        <v>3735</v>
      </c>
      <c r="H1167" s="16" t="s">
        <v>3356</v>
      </c>
      <c r="I1167" s="193" t="s">
        <v>4263</v>
      </c>
      <c r="J1167" s="31"/>
      <c r="K1167" s="193" t="s">
        <v>794</v>
      </c>
      <c r="L1167" s="125" t="s">
        <v>3439</v>
      </c>
      <c r="M1167" s="60">
        <v>500000</v>
      </c>
      <c r="N1167" s="6" t="s">
        <v>3464</v>
      </c>
    </row>
    <row r="1168" spans="1:14">
      <c r="A1168" s="123">
        <v>52</v>
      </c>
      <c r="B1168" s="970"/>
      <c r="C1168" s="369">
        <v>46017</v>
      </c>
      <c r="D1168" s="4" t="s">
        <v>21</v>
      </c>
      <c r="E1168" s="4" t="s">
        <v>3496</v>
      </c>
      <c r="F1168" s="31" t="s">
        <v>381</v>
      </c>
      <c r="G1168" s="31" t="s">
        <v>4264</v>
      </c>
      <c r="H1168" s="16" t="s">
        <v>4265</v>
      </c>
      <c r="I1168" s="193" t="s">
        <v>4266</v>
      </c>
      <c r="J1168" s="31"/>
      <c r="K1168" s="31" t="s">
        <v>4267</v>
      </c>
      <c r="L1168" s="125" t="s">
        <v>84</v>
      </c>
      <c r="M1168" s="60">
        <v>500000</v>
      </c>
      <c r="N1168" s="6" t="s">
        <v>4268</v>
      </c>
    </row>
    <row r="1169" spans="1:14">
      <c r="A1169" s="123">
        <v>53</v>
      </c>
      <c r="B1169" s="970" t="s">
        <v>175</v>
      </c>
      <c r="C1169" s="369">
        <v>46016</v>
      </c>
      <c r="D1169" s="4" t="s">
        <v>306</v>
      </c>
      <c r="E1169" s="4" t="s">
        <v>322</v>
      </c>
      <c r="F1169" s="4" t="s">
        <v>307</v>
      </c>
      <c r="G1169" s="193">
        <v>8262</v>
      </c>
      <c r="H1169" s="125" t="s">
        <v>3384</v>
      </c>
      <c r="I1169" s="400" t="s">
        <v>4269</v>
      </c>
      <c r="J1169" s="4"/>
      <c r="K1169" s="4" t="s">
        <v>3516</v>
      </c>
      <c r="L1169" s="4"/>
      <c r="M1169" s="96">
        <v>250000</v>
      </c>
      <c r="N1169" s="6" t="s">
        <v>3385</v>
      </c>
    </row>
    <row r="1170" spans="1:14">
      <c r="A1170" s="123">
        <v>53</v>
      </c>
      <c r="B1170" s="970"/>
      <c r="C1170" s="369">
        <v>46020</v>
      </c>
      <c r="D1170" s="4" t="s">
        <v>306</v>
      </c>
      <c r="E1170" s="4" t="s">
        <v>322</v>
      </c>
      <c r="F1170" s="4" t="s">
        <v>307</v>
      </c>
      <c r="G1170" s="193" t="s">
        <v>3386</v>
      </c>
      <c r="H1170" s="125" t="s">
        <v>4113</v>
      </c>
      <c r="I1170" s="400" t="s">
        <v>378</v>
      </c>
      <c r="J1170" s="4"/>
      <c r="K1170" s="4" t="s">
        <v>4270</v>
      </c>
      <c r="L1170" s="4"/>
      <c r="M1170" s="96">
        <v>250000</v>
      </c>
      <c r="N1170" s="6"/>
    </row>
    <row r="1171" spans="1:14" ht="27">
      <c r="A1171" s="123">
        <v>53</v>
      </c>
      <c r="B1171" s="970"/>
      <c r="C1171" s="369">
        <v>46020</v>
      </c>
      <c r="D1171" s="4" t="s">
        <v>306</v>
      </c>
      <c r="E1171" s="4" t="s">
        <v>322</v>
      </c>
      <c r="F1171" s="4" t="s">
        <v>307</v>
      </c>
      <c r="G1171" s="193">
        <v>8262</v>
      </c>
      <c r="H1171" s="125" t="s">
        <v>4271</v>
      </c>
      <c r="I1171" s="400" t="s">
        <v>4272</v>
      </c>
      <c r="J1171" s="4"/>
      <c r="K1171" s="4" t="s">
        <v>4273</v>
      </c>
      <c r="L1171" s="4"/>
      <c r="M1171" s="96">
        <v>500000</v>
      </c>
      <c r="N1171" s="6"/>
    </row>
    <row r="1172" spans="1:14">
      <c r="A1172" s="123">
        <v>53</v>
      </c>
      <c r="B1172" s="970"/>
      <c r="C1172" s="369">
        <v>46021</v>
      </c>
      <c r="D1172" s="4" t="s">
        <v>306</v>
      </c>
      <c r="E1172" s="4" t="s">
        <v>322</v>
      </c>
      <c r="F1172" s="4" t="s">
        <v>307</v>
      </c>
      <c r="G1172" s="193" t="s">
        <v>4274</v>
      </c>
      <c r="H1172" s="125" t="s">
        <v>4276</v>
      </c>
      <c r="I1172" s="400" t="s">
        <v>4269</v>
      </c>
      <c r="J1172" s="4"/>
      <c r="K1172" s="4" t="s">
        <v>4277</v>
      </c>
      <c r="L1172" s="4"/>
      <c r="M1172" s="96">
        <v>250000</v>
      </c>
      <c r="N1172" s="6"/>
    </row>
    <row r="1173" spans="1:14">
      <c r="A1173" s="123">
        <v>53</v>
      </c>
      <c r="B1173" s="970"/>
      <c r="C1173" s="401">
        <v>46021</v>
      </c>
      <c r="D1173" s="4" t="s">
        <v>306</v>
      </c>
      <c r="E1173" s="4" t="s">
        <v>322</v>
      </c>
      <c r="F1173" s="4" t="s">
        <v>307</v>
      </c>
      <c r="G1173" s="193">
        <v>8262</v>
      </c>
      <c r="H1173" s="125" t="s">
        <v>4271</v>
      </c>
      <c r="I1173" s="400" t="s">
        <v>4278</v>
      </c>
      <c r="J1173" s="4"/>
      <c r="K1173" s="4" t="s">
        <v>3775</v>
      </c>
      <c r="L1173" s="4"/>
      <c r="M1173" s="96">
        <v>250000</v>
      </c>
      <c r="N1173" s="6"/>
    </row>
    <row r="1174" spans="1:14">
      <c r="A1174" s="123">
        <v>53</v>
      </c>
      <c r="B1174" s="970"/>
      <c r="C1174" s="401">
        <v>46021</v>
      </c>
      <c r="D1174" s="4" t="s">
        <v>306</v>
      </c>
      <c r="E1174" s="4" t="s">
        <v>322</v>
      </c>
      <c r="F1174" s="4" t="s">
        <v>307</v>
      </c>
      <c r="G1174" s="193" t="s">
        <v>4279</v>
      </c>
      <c r="H1174" s="125" t="s">
        <v>4275</v>
      </c>
      <c r="I1174" s="400" t="s">
        <v>4269</v>
      </c>
      <c r="J1174" s="4"/>
      <c r="K1174" s="4" t="s">
        <v>4280</v>
      </c>
      <c r="L1174" s="4"/>
      <c r="M1174" s="96">
        <v>250000</v>
      </c>
      <c r="N1174" s="6"/>
    </row>
    <row r="1175" spans="1:14" ht="27">
      <c r="A1175" s="123">
        <v>53</v>
      </c>
      <c r="B1175" s="970"/>
      <c r="C1175" s="401">
        <v>45659</v>
      </c>
      <c r="D1175" s="4" t="s">
        <v>306</v>
      </c>
      <c r="E1175" s="4" t="s">
        <v>322</v>
      </c>
      <c r="F1175" s="4" t="s">
        <v>307</v>
      </c>
      <c r="G1175" s="193">
        <v>1569</v>
      </c>
      <c r="H1175" s="125" t="s">
        <v>4271</v>
      </c>
      <c r="I1175" s="400" t="s">
        <v>378</v>
      </c>
      <c r="J1175" s="4"/>
      <c r="K1175" s="4" t="s">
        <v>4281</v>
      </c>
      <c r="L1175" s="4"/>
      <c r="M1175" s="96">
        <v>500000</v>
      </c>
      <c r="N1175" s="6"/>
    </row>
    <row r="1176" spans="1:14">
      <c r="A1176" s="123">
        <v>53</v>
      </c>
      <c r="B1176" s="970" t="s">
        <v>4282</v>
      </c>
      <c r="C1176" s="369">
        <v>46020</v>
      </c>
      <c r="D1176" s="4" t="s">
        <v>4282</v>
      </c>
      <c r="E1176" s="4" t="s">
        <v>4283</v>
      </c>
      <c r="F1176" s="31" t="s">
        <v>2130</v>
      </c>
      <c r="G1176" s="31" t="s">
        <v>4284</v>
      </c>
      <c r="H1176" s="16" t="s">
        <v>3777</v>
      </c>
      <c r="I1176" s="193" t="s">
        <v>4285</v>
      </c>
      <c r="J1176" s="31" t="s">
        <v>4286</v>
      </c>
      <c r="K1176" s="193" t="s">
        <v>4270</v>
      </c>
      <c r="L1176" s="125" t="s">
        <v>4287</v>
      </c>
      <c r="M1176" s="398">
        <v>250000</v>
      </c>
      <c r="N1176" s="6" t="s">
        <v>3243</v>
      </c>
    </row>
    <row r="1177" spans="1:14">
      <c r="A1177" s="123">
        <v>53</v>
      </c>
      <c r="B1177" s="970"/>
      <c r="C1177" s="369">
        <v>46020</v>
      </c>
      <c r="D1177" s="4" t="s">
        <v>21</v>
      </c>
      <c r="E1177" s="4" t="s">
        <v>4283</v>
      </c>
      <c r="F1177" s="31" t="s">
        <v>2130</v>
      </c>
      <c r="G1177" s="31" t="s">
        <v>2713</v>
      </c>
      <c r="H1177" s="16" t="s">
        <v>115</v>
      </c>
      <c r="I1177" s="193" t="s">
        <v>4285</v>
      </c>
      <c r="J1177" s="31" t="s">
        <v>120</v>
      </c>
      <c r="K1177" s="193" t="s">
        <v>4171</v>
      </c>
      <c r="L1177" s="125" t="s">
        <v>4287</v>
      </c>
      <c r="M1177" s="398">
        <v>300000</v>
      </c>
      <c r="N1177" s="6" t="s">
        <v>3243</v>
      </c>
    </row>
    <row r="1178" spans="1:14">
      <c r="A1178" s="123">
        <v>53</v>
      </c>
      <c r="B1178" s="970"/>
      <c r="C1178" s="369">
        <v>46020</v>
      </c>
      <c r="D1178" s="4" t="s">
        <v>21</v>
      </c>
      <c r="E1178" s="4" t="s">
        <v>30</v>
      </c>
      <c r="F1178" s="31" t="s">
        <v>381</v>
      </c>
      <c r="G1178" s="31" t="s">
        <v>4288</v>
      </c>
      <c r="H1178" s="16" t="s">
        <v>4289</v>
      </c>
      <c r="I1178" s="193" t="s">
        <v>4290</v>
      </c>
      <c r="J1178" s="31" t="s">
        <v>1948</v>
      </c>
      <c r="K1178" s="193" t="s">
        <v>2828</v>
      </c>
      <c r="L1178" s="125" t="s">
        <v>84</v>
      </c>
      <c r="M1178" s="398">
        <v>250000</v>
      </c>
      <c r="N1178" s="6" t="s">
        <v>1651</v>
      </c>
    </row>
    <row r="1179" spans="1:14">
      <c r="A1179" s="123">
        <v>53</v>
      </c>
      <c r="B1179" s="970"/>
      <c r="C1179" s="369">
        <v>46022</v>
      </c>
      <c r="D1179" s="4" t="s">
        <v>21</v>
      </c>
      <c r="E1179" s="4" t="s">
        <v>4291</v>
      </c>
      <c r="F1179" s="31" t="s">
        <v>100</v>
      </c>
      <c r="G1179" s="31" t="s">
        <v>4292</v>
      </c>
      <c r="H1179" s="16" t="s">
        <v>23</v>
      </c>
      <c r="I1179" s="193" t="s">
        <v>4294</v>
      </c>
      <c r="J1179" s="31" t="s">
        <v>3618</v>
      </c>
      <c r="K1179" s="31" t="s">
        <v>4295</v>
      </c>
      <c r="L1179" s="125" t="s">
        <v>84</v>
      </c>
      <c r="M1179" s="405">
        <v>300000</v>
      </c>
      <c r="N1179" s="6" t="s">
        <v>3243</v>
      </c>
    </row>
    <row r="1180" spans="1:14">
      <c r="A1180" s="123">
        <v>53</v>
      </c>
      <c r="B1180" s="970"/>
      <c r="C1180" s="369">
        <v>46022</v>
      </c>
      <c r="D1180" s="4" t="s">
        <v>21</v>
      </c>
      <c r="E1180" s="4" t="s">
        <v>17</v>
      </c>
      <c r="F1180" s="31" t="s">
        <v>100</v>
      </c>
      <c r="G1180" s="31" t="s">
        <v>2010</v>
      </c>
      <c r="H1180" s="16" t="s">
        <v>4001</v>
      </c>
      <c r="I1180" s="193" t="s">
        <v>4293</v>
      </c>
      <c r="J1180" s="31" t="s">
        <v>120</v>
      </c>
      <c r="K1180" s="31" t="s">
        <v>686</v>
      </c>
      <c r="L1180" s="125" t="s">
        <v>4287</v>
      </c>
      <c r="M1180" s="405">
        <v>250000</v>
      </c>
      <c r="N1180" s="6" t="s">
        <v>3399</v>
      </c>
    </row>
    <row r="1181" spans="1:14">
      <c r="A1181" s="123">
        <v>53</v>
      </c>
      <c r="B1181" s="970"/>
      <c r="C1181" s="369">
        <v>46022</v>
      </c>
      <c r="D1181" s="4" t="s">
        <v>3694</v>
      </c>
      <c r="E1181" s="4" t="s">
        <v>30</v>
      </c>
      <c r="F1181" s="31" t="s">
        <v>1787</v>
      </c>
      <c r="G1181" s="31" t="s">
        <v>4296</v>
      </c>
      <c r="H1181" s="16" t="s">
        <v>4297</v>
      </c>
      <c r="I1181" s="193" t="s">
        <v>4298</v>
      </c>
      <c r="J1181" s="31"/>
      <c r="K1181" s="193" t="s">
        <v>184</v>
      </c>
      <c r="L1181" s="125" t="s">
        <v>84</v>
      </c>
      <c r="M1181" s="405">
        <v>300000</v>
      </c>
      <c r="N1181" s="6" t="s">
        <v>3243</v>
      </c>
    </row>
    <row r="1182" spans="1:14">
      <c r="A1182" s="123">
        <v>53</v>
      </c>
      <c r="B1182" s="970"/>
      <c r="C1182" s="369">
        <v>46022</v>
      </c>
      <c r="D1182" s="4" t="s">
        <v>21</v>
      </c>
      <c r="E1182" s="4" t="s">
        <v>30</v>
      </c>
      <c r="F1182" s="31" t="s">
        <v>4299</v>
      </c>
      <c r="G1182" s="31">
        <v>222003</v>
      </c>
      <c r="H1182" s="16" t="s">
        <v>115</v>
      </c>
      <c r="I1182" s="193" t="s">
        <v>4300</v>
      </c>
      <c r="J1182" s="31"/>
      <c r="K1182" s="193" t="s">
        <v>686</v>
      </c>
      <c r="L1182" s="125" t="s">
        <v>84</v>
      </c>
      <c r="M1182" s="405">
        <v>250000</v>
      </c>
      <c r="N1182" s="6" t="s">
        <v>3557</v>
      </c>
    </row>
    <row r="1183" spans="1:14">
      <c r="A1183" s="123">
        <v>53</v>
      </c>
      <c r="B1183" s="970"/>
      <c r="C1183" s="369">
        <v>46022</v>
      </c>
      <c r="D1183" s="4" t="s">
        <v>21</v>
      </c>
      <c r="E1183" s="4" t="s">
        <v>3496</v>
      </c>
      <c r="F1183" s="31" t="s">
        <v>3372</v>
      </c>
      <c r="G1183" s="193">
        <v>7064</v>
      </c>
      <c r="H1183" s="16" t="s">
        <v>207</v>
      </c>
      <c r="I1183" s="193" t="s">
        <v>3387</v>
      </c>
      <c r="J1183" s="193"/>
      <c r="K1183" s="193" t="s">
        <v>3388</v>
      </c>
      <c r="L1183" s="125" t="s">
        <v>84</v>
      </c>
      <c r="M1183" s="93">
        <v>600000</v>
      </c>
      <c r="N1183" s="6" t="s">
        <v>3243</v>
      </c>
    </row>
    <row r="1184" spans="1:14">
      <c r="A1184" s="123">
        <v>53</v>
      </c>
      <c r="B1184" s="970"/>
      <c r="C1184" s="369">
        <v>46022</v>
      </c>
      <c r="D1184" s="4" t="s">
        <v>4282</v>
      </c>
      <c r="E1184" s="4" t="s">
        <v>4283</v>
      </c>
      <c r="F1184" s="31" t="s">
        <v>3372</v>
      </c>
      <c r="G1184" s="193">
        <v>7064</v>
      </c>
      <c r="H1184" s="16" t="s">
        <v>207</v>
      </c>
      <c r="I1184" s="193" t="s">
        <v>4301</v>
      </c>
      <c r="J1184" s="193"/>
      <c r="K1184" s="193" t="s">
        <v>3775</v>
      </c>
      <c r="L1184" s="125" t="s">
        <v>4287</v>
      </c>
      <c r="M1184" s="93">
        <v>250000</v>
      </c>
      <c r="N1184" s="6" t="s">
        <v>3243</v>
      </c>
    </row>
    <row r="1185" spans="1:14">
      <c r="A1185" s="123">
        <v>1</v>
      </c>
      <c r="B1185" s="970"/>
      <c r="C1185" s="369">
        <v>46024</v>
      </c>
      <c r="D1185" s="4" t="s">
        <v>4282</v>
      </c>
      <c r="E1185" s="4" t="s">
        <v>30</v>
      </c>
      <c r="F1185" s="31" t="s">
        <v>3372</v>
      </c>
      <c r="G1185" s="193">
        <v>7064</v>
      </c>
      <c r="H1185" s="16" t="s">
        <v>207</v>
      </c>
      <c r="I1185" s="193" t="s">
        <v>4302</v>
      </c>
      <c r="J1185" s="193"/>
      <c r="K1185" s="31" t="s">
        <v>184</v>
      </c>
      <c r="L1185" s="125" t="s">
        <v>4287</v>
      </c>
      <c r="M1185" s="405">
        <v>300000</v>
      </c>
      <c r="N1185" s="6" t="s">
        <v>3397</v>
      </c>
    </row>
    <row r="1186" spans="1:14">
      <c r="A1186" s="123">
        <v>1</v>
      </c>
      <c r="B1186" s="970"/>
      <c r="C1186" s="369">
        <v>46024</v>
      </c>
      <c r="D1186" s="4" t="s">
        <v>21</v>
      </c>
      <c r="E1186" s="4" t="s">
        <v>30</v>
      </c>
      <c r="F1186" s="31" t="s">
        <v>4303</v>
      </c>
      <c r="G1186" s="193">
        <v>7064</v>
      </c>
      <c r="H1186" s="16" t="s">
        <v>207</v>
      </c>
      <c r="I1186" s="193" t="s">
        <v>4304</v>
      </c>
      <c r="J1186" s="31"/>
      <c r="K1186" s="31" t="s">
        <v>4171</v>
      </c>
      <c r="L1186" s="125" t="s">
        <v>84</v>
      </c>
      <c r="M1186" s="405">
        <v>300000</v>
      </c>
      <c r="N1186" s="6" t="s">
        <v>3243</v>
      </c>
    </row>
    <row r="1187" spans="1:14">
      <c r="A1187" s="123">
        <v>1</v>
      </c>
      <c r="B1187" s="970"/>
      <c r="C1187" s="369">
        <v>46024</v>
      </c>
      <c r="D1187" s="4" t="s">
        <v>21</v>
      </c>
      <c r="E1187" s="4" t="s">
        <v>30</v>
      </c>
      <c r="F1187" s="31" t="s">
        <v>3372</v>
      </c>
      <c r="G1187" s="193">
        <v>7064</v>
      </c>
      <c r="H1187" s="16" t="s">
        <v>4305</v>
      </c>
      <c r="I1187" s="193" t="s">
        <v>3389</v>
      </c>
      <c r="J1187" s="31"/>
      <c r="K1187" s="31" t="s">
        <v>2828</v>
      </c>
      <c r="L1187" s="125" t="s">
        <v>84</v>
      </c>
      <c r="M1187" s="405">
        <v>250000</v>
      </c>
      <c r="N1187" s="6" t="s">
        <v>3397</v>
      </c>
    </row>
    <row r="1188" spans="1:14">
      <c r="A1188" s="123">
        <v>1</v>
      </c>
      <c r="B1188" s="970"/>
      <c r="C1188" s="369">
        <v>46024</v>
      </c>
      <c r="D1188" s="4" t="s">
        <v>21</v>
      </c>
      <c r="E1188" s="4" t="s">
        <v>30</v>
      </c>
      <c r="F1188" s="31" t="s">
        <v>158</v>
      </c>
      <c r="G1188" s="193">
        <v>222003</v>
      </c>
      <c r="H1188" s="16" t="s">
        <v>4297</v>
      </c>
      <c r="I1188" s="193" t="s">
        <v>4306</v>
      </c>
      <c r="J1188" s="31"/>
      <c r="K1188" s="193" t="s">
        <v>4307</v>
      </c>
      <c r="L1188" s="125" t="s">
        <v>84</v>
      </c>
      <c r="M1188" s="405">
        <v>250000</v>
      </c>
      <c r="N1188" s="6" t="s">
        <v>1651</v>
      </c>
    </row>
    <row r="1189" spans="1:14">
      <c r="A1189" s="123">
        <v>2</v>
      </c>
      <c r="B1189" s="953" t="s">
        <v>4975</v>
      </c>
      <c r="C1189" s="149" t="s">
        <v>4956</v>
      </c>
      <c r="D1189" s="148" t="s">
        <v>306</v>
      </c>
      <c r="E1189" s="148" t="s">
        <v>322</v>
      </c>
      <c r="F1189" s="148" t="s">
        <v>307</v>
      </c>
      <c r="G1189" s="149" t="s">
        <v>3054</v>
      </c>
      <c r="H1189" s="148" t="s">
        <v>3057</v>
      </c>
      <c r="I1189" s="149" t="s">
        <v>696</v>
      </c>
      <c r="J1189" s="148" t="s">
        <v>664</v>
      </c>
      <c r="K1189" s="148" t="s">
        <v>3172</v>
      </c>
      <c r="L1189" s="148"/>
      <c r="M1189" s="485">
        <v>750000</v>
      </c>
      <c r="N1189" s="148" t="s">
        <v>4957</v>
      </c>
    </row>
    <row r="1190" spans="1:14">
      <c r="A1190" s="123">
        <v>2</v>
      </c>
      <c r="B1190" s="953"/>
      <c r="C1190" s="149" t="s">
        <v>4958</v>
      </c>
      <c r="D1190" s="148" t="s">
        <v>306</v>
      </c>
      <c r="E1190" s="148" t="s">
        <v>322</v>
      </c>
      <c r="F1190" s="148" t="s">
        <v>307</v>
      </c>
      <c r="G1190" s="149" t="s">
        <v>3054</v>
      </c>
      <c r="H1190" s="148" t="s">
        <v>3057</v>
      </c>
      <c r="I1190" s="149" t="s">
        <v>696</v>
      </c>
      <c r="J1190" s="148" t="s">
        <v>664</v>
      </c>
      <c r="K1190" s="148" t="s">
        <v>698</v>
      </c>
      <c r="L1190" s="148"/>
      <c r="M1190" s="485">
        <v>250000</v>
      </c>
      <c r="N1190" s="148" t="s">
        <v>4957</v>
      </c>
    </row>
    <row r="1191" spans="1:14">
      <c r="A1191" s="123">
        <v>2</v>
      </c>
      <c r="B1191" s="953"/>
      <c r="C1191" s="149" t="s">
        <v>4959</v>
      </c>
      <c r="D1191" s="148" t="s">
        <v>306</v>
      </c>
      <c r="E1191" s="148" t="s">
        <v>322</v>
      </c>
      <c r="F1191" s="148" t="s">
        <v>307</v>
      </c>
      <c r="G1191" s="149" t="s">
        <v>4938</v>
      </c>
      <c r="H1191" s="148" t="s">
        <v>3113</v>
      </c>
      <c r="I1191" s="149" t="s">
        <v>4960</v>
      </c>
      <c r="J1191" s="148" t="s">
        <v>664</v>
      </c>
      <c r="K1191" s="148" t="s">
        <v>4961</v>
      </c>
      <c r="L1191" s="148"/>
      <c r="M1191" s="485">
        <v>1000000</v>
      </c>
      <c r="N1191" s="148"/>
    </row>
    <row r="1192" spans="1:14">
      <c r="A1192" s="123">
        <v>2</v>
      </c>
      <c r="B1192" s="953"/>
      <c r="C1192" s="149" t="s">
        <v>4962</v>
      </c>
      <c r="D1192" s="148" t="s">
        <v>306</v>
      </c>
      <c r="E1192" s="148" t="s">
        <v>322</v>
      </c>
      <c r="F1192" s="148" t="s">
        <v>307</v>
      </c>
      <c r="G1192" s="149">
        <v>1569</v>
      </c>
      <c r="H1192" s="148" t="s">
        <v>3175</v>
      </c>
      <c r="I1192" s="149" t="s">
        <v>4915</v>
      </c>
      <c r="J1192" s="148" t="s">
        <v>664</v>
      </c>
      <c r="K1192" s="148" t="s">
        <v>3101</v>
      </c>
      <c r="L1192" s="148"/>
      <c r="M1192" s="485">
        <v>500000</v>
      </c>
      <c r="N1192" s="148"/>
    </row>
    <row r="1193" spans="1:14">
      <c r="A1193" s="123">
        <v>2</v>
      </c>
      <c r="B1193" s="953"/>
      <c r="C1193" s="149" t="s">
        <v>4963</v>
      </c>
      <c r="D1193" s="148" t="s">
        <v>306</v>
      </c>
      <c r="E1193" s="148" t="s">
        <v>322</v>
      </c>
      <c r="F1193" s="148" t="s">
        <v>307</v>
      </c>
      <c r="G1193" s="149" t="s">
        <v>4964</v>
      </c>
      <c r="H1193" s="148" t="s">
        <v>347</v>
      </c>
      <c r="I1193" s="149" t="s">
        <v>4965</v>
      </c>
      <c r="J1193" s="148" t="s">
        <v>664</v>
      </c>
      <c r="K1193" s="148" t="s">
        <v>4943</v>
      </c>
      <c r="L1193" s="148"/>
      <c r="M1193" s="485">
        <v>750000</v>
      </c>
      <c r="N1193" s="148"/>
    </row>
    <row r="1194" spans="1:14">
      <c r="A1194" s="123">
        <v>2</v>
      </c>
      <c r="B1194" s="953"/>
      <c r="C1194" s="149" t="s">
        <v>4959</v>
      </c>
      <c r="D1194" s="148" t="s">
        <v>306</v>
      </c>
      <c r="E1194" s="148" t="s">
        <v>322</v>
      </c>
      <c r="F1194" s="148" t="s">
        <v>307</v>
      </c>
      <c r="G1194" s="149" t="s">
        <v>4966</v>
      </c>
      <c r="H1194" s="148" t="s">
        <v>4967</v>
      </c>
      <c r="I1194" s="149" t="s">
        <v>4968</v>
      </c>
      <c r="J1194" s="148" t="s">
        <v>664</v>
      </c>
      <c r="K1194" s="148" t="s">
        <v>4969</v>
      </c>
      <c r="L1194" s="148"/>
      <c r="M1194" s="485">
        <v>750000</v>
      </c>
      <c r="N1194" s="148"/>
    </row>
    <row r="1195" spans="1:14">
      <c r="A1195" s="123">
        <v>2</v>
      </c>
      <c r="B1195" s="953"/>
      <c r="C1195" s="149" t="s">
        <v>4962</v>
      </c>
      <c r="D1195" s="148" t="s">
        <v>306</v>
      </c>
      <c r="E1195" s="148" t="s">
        <v>322</v>
      </c>
      <c r="F1195" s="148" t="s">
        <v>307</v>
      </c>
      <c r="G1195" s="149" t="s">
        <v>3401</v>
      </c>
      <c r="H1195" s="148" t="s">
        <v>347</v>
      </c>
      <c r="I1195" s="149" t="s">
        <v>4970</v>
      </c>
      <c r="J1195" s="148" t="s">
        <v>664</v>
      </c>
      <c r="K1195" s="148" t="s">
        <v>4971</v>
      </c>
      <c r="L1195" s="148"/>
      <c r="M1195" s="485">
        <v>500000</v>
      </c>
      <c r="N1195" s="148"/>
    </row>
    <row r="1196" spans="1:14">
      <c r="A1196" s="123">
        <v>2</v>
      </c>
      <c r="B1196" s="953"/>
      <c r="C1196" s="149" t="s">
        <v>4972</v>
      </c>
      <c r="D1196" s="148" t="s">
        <v>306</v>
      </c>
      <c r="E1196" s="148" t="s">
        <v>322</v>
      </c>
      <c r="F1196" s="148" t="s">
        <v>307</v>
      </c>
      <c r="G1196" s="149" t="s">
        <v>3401</v>
      </c>
      <c r="H1196" s="148" t="s">
        <v>662</v>
      </c>
      <c r="I1196" s="149" t="s">
        <v>4973</v>
      </c>
      <c r="J1196" s="148" t="s">
        <v>664</v>
      </c>
      <c r="K1196" s="148" t="s">
        <v>4974</v>
      </c>
      <c r="L1196" s="148"/>
      <c r="M1196" s="485">
        <v>1000000</v>
      </c>
      <c r="N1196" s="148"/>
    </row>
    <row r="1197" spans="1:14">
      <c r="A1197" s="123">
        <v>2</v>
      </c>
      <c r="B1197" s="953" t="s">
        <v>21</v>
      </c>
      <c r="C1197" s="149" t="s">
        <v>4976</v>
      </c>
      <c r="D1197" s="148" t="s">
        <v>311</v>
      </c>
      <c r="E1197" s="148" t="s">
        <v>320</v>
      </c>
      <c r="F1197" s="149" t="s">
        <v>709</v>
      </c>
      <c r="G1197" s="149" t="s">
        <v>3098</v>
      </c>
      <c r="H1197" s="149" t="s">
        <v>3099</v>
      </c>
      <c r="I1197" s="149" t="s">
        <v>4977</v>
      </c>
      <c r="J1197" s="149"/>
      <c r="K1197" s="149" t="s">
        <v>4978</v>
      </c>
      <c r="L1197" s="148" t="s">
        <v>309</v>
      </c>
      <c r="M1197" s="491">
        <v>900000</v>
      </c>
      <c r="N1197" s="148" t="s">
        <v>4979</v>
      </c>
    </row>
    <row r="1198" spans="1:14">
      <c r="A1198" s="123">
        <v>2</v>
      </c>
      <c r="B1198" s="953"/>
      <c r="C1198" s="149" t="s">
        <v>4976</v>
      </c>
      <c r="D1198" s="148" t="s">
        <v>311</v>
      </c>
      <c r="E1198" s="148" t="s">
        <v>320</v>
      </c>
      <c r="F1198" s="149" t="s">
        <v>709</v>
      </c>
      <c r="G1198" s="149" t="s">
        <v>3098</v>
      </c>
      <c r="H1198" s="149" t="s">
        <v>3099</v>
      </c>
      <c r="I1198" s="149" t="s">
        <v>4980</v>
      </c>
      <c r="J1198" s="149"/>
      <c r="K1198" s="149" t="s">
        <v>692</v>
      </c>
      <c r="L1198" s="148" t="s">
        <v>309</v>
      </c>
      <c r="M1198" s="491">
        <v>500000</v>
      </c>
      <c r="N1198" s="148" t="s">
        <v>4979</v>
      </c>
    </row>
    <row r="1199" spans="1:14">
      <c r="A1199" s="123">
        <v>2</v>
      </c>
      <c r="B1199" s="953"/>
      <c r="C1199" s="149" t="s">
        <v>4981</v>
      </c>
      <c r="D1199" s="148" t="s">
        <v>311</v>
      </c>
      <c r="E1199" s="148" t="s">
        <v>320</v>
      </c>
      <c r="F1199" s="149" t="s">
        <v>4982</v>
      </c>
      <c r="G1199" s="149">
        <v>7064</v>
      </c>
      <c r="H1199" s="149" t="s">
        <v>1238</v>
      </c>
      <c r="I1199" s="149" t="s">
        <v>4983</v>
      </c>
      <c r="J1199" s="149"/>
      <c r="K1199" s="149" t="s">
        <v>1102</v>
      </c>
      <c r="L1199" s="148" t="s">
        <v>309</v>
      </c>
      <c r="M1199" s="491">
        <v>250000</v>
      </c>
      <c r="N1199" s="148" t="s">
        <v>4979</v>
      </c>
    </row>
    <row r="1200" spans="1:14">
      <c r="A1200" s="123">
        <v>2</v>
      </c>
      <c r="B1200" s="953"/>
      <c r="C1200" s="149" t="s">
        <v>4981</v>
      </c>
      <c r="D1200" s="148" t="s">
        <v>311</v>
      </c>
      <c r="E1200" s="148" t="s">
        <v>320</v>
      </c>
      <c r="F1200" s="149" t="s">
        <v>4982</v>
      </c>
      <c r="G1200" s="149">
        <v>7064</v>
      </c>
      <c r="H1200" s="149" t="s">
        <v>1238</v>
      </c>
      <c r="I1200" s="149" t="s">
        <v>4984</v>
      </c>
      <c r="J1200" s="149"/>
      <c r="K1200" s="149" t="s">
        <v>731</v>
      </c>
      <c r="L1200" s="148" t="s">
        <v>309</v>
      </c>
      <c r="M1200" s="491">
        <v>300000</v>
      </c>
      <c r="N1200" s="148" t="s">
        <v>4979</v>
      </c>
    </row>
    <row r="1201" spans="1:14">
      <c r="A1201" s="123">
        <v>2</v>
      </c>
      <c r="B1201" s="953"/>
      <c r="C1201" s="149" t="s">
        <v>4985</v>
      </c>
      <c r="D1201" s="148" t="s">
        <v>311</v>
      </c>
      <c r="E1201" s="148" t="s">
        <v>320</v>
      </c>
      <c r="F1201" s="149" t="s">
        <v>4986</v>
      </c>
      <c r="G1201" s="149">
        <v>1017</v>
      </c>
      <c r="H1201" s="149" t="s">
        <v>347</v>
      </c>
      <c r="I1201" s="149" t="s">
        <v>4987</v>
      </c>
      <c r="J1201" s="149"/>
      <c r="K1201" s="149" t="s">
        <v>4936</v>
      </c>
      <c r="L1201" s="148" t="s">
        <v>309</v>
      </c>
      <c r="M1201" s="491">
        <v>600000</v>
      </c>
      <c r="N1201" s="148" t="s">
        <v>4979</v>
      </c>
    </row>
    <row r="1202" spans="1:14">
      <c r="A1202" s="123">
        <v>2</v>
      </c>
      <c r="B1202" s="953"/>
      <c r="C1202" s="149" t="s">
        <v>4988</v>
      </c>
      <c r="D1202" s="148" t="s">
        <v>311</v>
      </c>
      <c r="E1202" s="148" t="s">
        <v>675</v>
      </c>
      <c r="F1202" s="149" t="s">
        <v>2601</v>
      </c>
      <c r="G1202" s="149" t="s">
        <v>4989</v>
      </c>
      <c r="H1202" s="149" t="s">
        <v>3060</v>
      </c>
      <c r="I1202" s="149" t="s">
        <v>4990</v>
      </c>
      <c r="J1202" s="149" t="s">
        <v>702</v>
      </c>
      <c r="K1202" s="149" t="s">
        <v>692</v>
      </c>
      <c r="L1202" s="148" t="s">
        <v>309</v>
      </c>
      <c r="M1202" s="491">
        <v>500000</v>
      </c>
      <c r="N1202" s="148" t="s">
        <v>4990</v>
      </c>
    </row>
    <row r="1203" spans="1:14" ht="22.5">
      <c r="A1203" s="123">
        <v>2</v>
      </c>
      <c r="B1203" s="953"/>
      <c r="C1203" s="149" t="s">
        <v>4991</v>
      </c>
      <c r="D1203" s="148" t="s">
        <v>311</v>
      </c>
      <c r="E1203" s="148" t="s">
        <v>675</v>
      </c>
      <c r="F1203" s="475" t="s">
        <v>4992</v>
      </c>
      <c r="G1203" s="149" t="s">
        <v>4993</v>
      </c>
      <c r="H1203" s="149" t="s">
        <v>4994</v>
      </c>
      <c r="I1203" s="149" t="s">
        <v>4995</v>
      </c>
      <c r="J1203" s="149"/>
      <c r="K1203" s="149" t="s">
        <v>4996</v>
      </c>
      <c r="L1203" s="148" t="s">
        <v>309</v>
      </c>
      <c r="M1203" s="491">
        <v>1000000</v>
      </c>
      <c r="N1203" s="154" t="s">
        <v>4997</v>
      </c>
    </row>
    <row r="1204" spans="1:14">
      <c r="A1204" s="123">
        <v>2</v>
      </c>
      <c r="B1204" s="953"/>
      <c r="C1204" s="149" t="s">
        <v>4998</v>
      </c>
      <c r="D1204" s="148" t="s">
        <v>311</v>
      </c>
      <c r="E1204" s="148" t="s">
        <v>675</v>
      </c>
      <c r="F1204" s="149" t="s">
        <v>720</v>
      </c>
      <c r="G1204" s="149" t="s">
        <v>1412</v>
      </c>
      <c r="H1204" s="149" t="s">
        <v>3113</v>
      </c>
      <c r="I1204" s="149" t="s">
        <v>4999</v>
      </c>
      <c r="J1204" s="149"/>
      <c r="K1204" s="149" t="s">
        <v>5000</v>
      </c>
      <c r="L1204" s="148" t="s">
        <v>309</v>
      </c>
      <c r="M1204" s="491">
        <v>500000</v>
      </c>
      <c r="N1204" s="148" t="s">
        <v>1206</v>
      </c>
    </row>
    <row r="1205" spans="1:14">
      <c r="A1205" s="123">
        <v>2</v>
      </c>
      <c r="B1205" s="953"/>
      <c r="C1205" s="149" t="s">
        <v>5001</v>
      </c>
      <c r="D1205" s="148" t="s">
        <v>311</v>
      </c>
      <c r="E1205" s="148" t="s">
        <v>320</v>
      </c>
      <c r="F1205" s="149" t="s">
        <v>690</v>
      </c>
      <c r="G1205" s="149" t="s">
        <v>3066</v>
      </c>
      <c r="H1205" s="149" t="s">
        <v>1198</v>
      </c>
      <c r="I1205" s="149" t="s">
        <v>5002</v>
      </c>
      <c r="J1205" s="149" t="s">
        <v>638</v>
      </c>
      <c r="K1205" s="149" t="s">
        <v>3192</v>
      </c>
      <c r="L1205" s="148" t="s">
        <v>309</v>
      </c>
      <c r="M1205" s="491">
        <v>300000</v>
      </c>
      <c r="N1205" s="148" t="s">
        <v>1206</v>
      </c>
    </row>
    <row r="1206" spans="1:14">
      <c r="A1206" s="123">
        <v>2</v>
      </c>
      <c r="B1206" s="953"/>
      <c r="C1206" s="149" t="s">
        <v>5003</v>
      </c>
      <c r="D1206" s="148" t="s">
        <v>311</v>
      </c>
      <c r="E1206" s="148" t="s">
        <v>320</v>
      </c>
      <c r="F1206" s="149" t="s">
        <v>690</v>
      </c>
      <c r="G1206" s="149" t="s">
        <v>5004</v>
      </c>
      <c r="H1206" s="149" t="s">
        <v>3169</v>
      </c>
      <c r="I1206" s="149" t="s">
        <v>5005</v>
      </c>
      <c r="J1206" s="149"/>
      <c r="K1206" s="149" t="s">
        <v>3192</v>
      </c>
      <c r="L1206" s="148" t="s">
        <v>309</v>
      </c>
      <c r="M1206" s="491">
        <v>300000</v>
      </c>
      <c r="N1206" s="148" t="s">
        <v>1206</v>
      </c>
    </row>
    <row r="1207" spans="1:14">
      <c r="A1207" s="123">
        <v>2</v>
      </c>
      <c r="B1207" s="953"/>
      <c r="C1207" s="149" t="s">
        <v>5003</v>
      </c>
      <c r="D1207" s="148" t="s">
        <v>311</v>
      </c>
      <c r="E1207" s="148" t="s">
        <v>320</v>
      </c>
      <c r="F1207" s="149" t="s">
        <v>690</v>
      </c>
      <c r="G1207" s="149" t="s">
        <v>5004</v>
      </c>
      <c r="H1207" s="149" t="s">
        <v>1198</v>
      </c>
      <c r="I1207" s="149" t="s">
        <v>5006</v>
      </c>
      <c r="J1207" s="149"/>
      <c r="K1207" s="149" t="s">
        <v>705</v>
      </c>
      <c r="L1207" s="148" t="s">
        <v>309</v>
      </c>
      <c r="M1207" s="491">
        <v>500000</v>
      </c>
      <c r="N1207" s="148" t="s">
        <v>1206</v>
      </c>
    </row>
    <row r="1208" spans="1:14">
      <c r="A1208" s="123">
        <v>2</v>
      </c>
      <c r="B1208" s="953"/>
      <c r="C1208" s="955" t="s">
        <v>5007</v>
      </c>
      <c r="D1208" s="957" t="s">
        <v>311</v>
      </c>
      <c r="E1208" s="957" t="s">
        <v>675</v>
      </c>
      <c r="F1208" s="955" t="s">
        <v>337</v>
      </c>
      <c r="G1208" s="955" t="s">
        <v>353</v>
      </c>
      <c r="H1208" s="955" t="s">
        <v>5008</v>
      </c>
      <c r="I1208" s="476" t="s">
        <v>5009</v>
      </c>
      <c r="J1208" s="955" t="s">
        <v>638</v>
      </c>
      <c r="K1208" s="955" t="s">
        <v>713</v>
      </c>
      <c r="L1208" s="957" t="s">
        <v>309</v>
      </c>
      <c r="M1208" s="961">
        <v>250000</v>
      </c>
      <c r="N1208" s="957" t="s">
        <v>4990</v>
      </c>
    </row>
    <row r="1209" spans="1:14">
      <c r="A1209" s="123">
        <v>2</v>
      </c>
      <c r="B1209" s="953"/>
      <c r="C1209" s="955"/>
      <c r="D1209" s="957"/>
      <c r="E1209" s="957"/>
      <c r="F1209" s="955"/>
      <c r="G1209" s="955"/>
      <c r="H1209" s="955"/>
      <c r="I1209" s="476" t="s">
        <v>5010</v>
      </c>
      <c r="J1209" s="955"/>
      <c r="K1209" s="955"/>
      <c r="L1209" s="957"/>
      <c r="M1209" s="961"/>
      <c r="N1209" s="957"/>
    </row>
    <row r="1210" spans="1:14">
      <c r="A1210" s="123">
        <v>2</v>
      </c>
      <c r="B1210" s="953"/>
      <c r="C1210" s="149" t="s">
        <v>5007</v>
      </c>
      <c r="D1210" s="148" t="s">
        <v>311</v>
      </c>
      <c r="E1210" s="148" t="s">
        <v>320</v>
      </c>
      <c r="F1210" s="149" t="s">
        <v>337</v>
      </c>
      <c r="G1210" s="149" t="s">
        <v>3401</v>
      </c>
      <c r="H1210" s="149" t="s">
        <v>1814</v>
      </c>
      <c r="I1210" s="149" t="s">
        <v>5011</v>
      </c>
      <c r="J1210" s="149"/>
      <c r="K1210" s="149" t="s">
        <v>5012</v>
      </c>
      <c r="L1210" s="148" t="s">
        <v>309</v>
      </c>
      <c r="M1210" s="485">
        <v>250000</v>
      </c>
      <c r="N1210" s="148" t="s">
        <v>4990</v>
      </c>
    </row>
    <row r="1211" spans="1:14">
      <c r="A1211" s="123">
        <v>3</v>
      </c>
      <c r="B1211" s="953" t="s">
        <v>20</v>
      </c>
      <c r="C1211" s="149" t="s">
        <v>5001</v>
      </c>
      <c r="D1211" s="148" t="s">
        <v>306</v>
      </c>
      <c r="E1211" s="148" t="s">
        <v>322</v>
      </c>
      <c r="F1211" s="148" t="s">
        <v>307</v>
      </c>
      <c r="G1211" s="149" t="s">
        <v>5013</v>
      </c>
      <c r="H1211" s="149" t="s">
        <v>3169</v>
      </c>
      <c r="I1211" s="149" t="s">
        <v>5014</v>
      </c>
      <c r="J1211" s="148" t="s">
        <v>702</v>
      </c>
      <c r="K1211" s="148" t="s">
        <v>713</v>
      </c>
      <c r="L1211" s="148"/>
      <c r="M1211" s="485">
        <v>250000</v>
      </c>
      <c r="N1211" s="148" t="s">
        <v>5015</v>
      </c>
    </row>
    <row r="1212" spans="1:14">
      <c r="A1212" s="123">
        <v>3</v>
      </c>
      <c r="B1212" s="953"/>
      <c r="C1212" s="149" t="s">
        <v>5007</v>
      </c>
      <c r="D1212" s="148" t="s">
        <v>306</v>
      </c>
      <c r="E1212" s="148" t="s">
        <v>322</v>
      </c>
      <c r="F1212" s="148" t="s">
        <v>307</v>
      </c>
      <c r="G1212" s="149" t="s">
        <v>3401</v>
      </c>
      <c r="H1212" s="149" t="s">
        <v>347</v>
      </c>
      <c r="I1212" s="149" t="s">
        <v>5016</v>
      </c>
      <c r="J1212" s="148" t="s">
        <v>664</v>
      </c>
      <c r="K1212" s="148" t="s">
        <v>705</v>
      </c>
      <c r="L1212" s="148"/>
      <c r="M1212" s="485">
        <v>500000</v>
      </c>
      <c r="N1212" s="148" t="s">
        <v>5015</v>
      </c>
    </row>
    <row r="1213" spans="1:14">
      <c r="A1213" s="123">
        <v>3</v>
      </c>
      <c r="B1213" s="953"/>
      <c r="C1213" s="149" t="s">
        <v>5017</v>
      </c>
      <c r="D1213" s="148" t="s">
        <v>306</v>
      </c>
      <c r="E1213" s="148" t="s">
        <v>322</v>
      </c>
      <c r="F1213" s="148" t="s">
        <v>307</v>
      </c>
      <c r="G1213" s="149" t="s">
        <v>3054</v>
      </c>
      <c r="H1213" s="149" t="s">
        <v>3057</v>
      </c>
      <c r="I1213" s="149" t="s">
        <v>5018</v>
      </c>
      <c r="J1213" s="148" t="s">
        <v>664</v>
      </c>
      <c r="K1213" s="148" t="s">
        <v>3182</v>
      </c>
      <c r="L1213" s="148"/>
      <c r="M1213" s="485">
        <v>1250000</v>
      </c>
      <c r="N1213" s="148"/>
    </row>
    <row r="1214" spans="1:14">
      <c r="A1214" s="123">
        <v>3</v>
      </c>
      <c r="B1214" s="953"/>
      <c r="C1214" s="149" t="s">
        <v>5019</v>
      </c>
      <c r="D1214" s="148" t="s">
        <v>306</v>
      </c>
      <c r="E1214" s="148" t="s">
        <v>322</v>
      </c>
      <c r="F1214" s="148" t="s">
        <v>307</v>
      </c>
      <c r="G1214" s="149">
        <v>1569</v>
      </c>
      <c r="H1214" s="149" t="s">
        <v>3175</v>
      </c>
      <c r="I1214" s="149" t="s">
        <v>4915</v>
      </c>
      <c r="J1214" s="148" t="s">
        <v>664</v>
      </c>
      <c r="K1214" s="148" t="s">
        <v>3101</v>
      </c>
      <c r="L1214" s="148"/>
      <c r="M1214" s="485">
        <v>500000</v>
      </c>
      <c r="N1214" s="148"/>
    </row>
    <row r="1215" spans="1:14">
      <c r="A1215" s="123">
        <v>3</v>
      </c>
      <c r="B1215" s="953"/>
      <c r="C1215" s="149" t="s">
        <v>5020</v>
      </c>
      <c r="D1215" s="148" t="s">
        <v>306</v>
      </c>
      <c r="E1215" s="148" t="s">
        <v>322</v>
      </c>
      <c r="F1215" s="148" t="s">
        <v>307</v>
      </c>
      <c r="G1215" s="149" t="s">
        <v>4803</v>
      </c>
      <c r="H1215" s="149" t="s">
        <v>662</v>
      </c>
      <c r="I1215" s="149" t="s">
        <v>4915</v>
      </c>
      <c r="J1215" s="148" t="s">
        <v>664</v>
      </c>
      <c r="K1215" s="148" t="s">
        <v>4943</v>
      </c>
      <c r="L1215" s="148"/>
      <c r="M1215" s="485">
        <v>750000</v>
      </c>
      <c r="N1215" s="148"/>
    </row>
    <row r="1216" spans="1:14">
      <c r="A1216" s="123">
        <v>3</v>
      </c>
      <c r="B1216" s="953"/>
      <c r="C1216" s="149" t="s">
        <v>5021</v>
      </c>
      <c r="D1216" s="148" t="s">
        <v>306</v>
      </c>
      <c r="E1216" s="148" t="s">
        <v>322</v>
      </c>
      <c r="F1216" s="148" t="s">
        <v>307</v>
      </c>
      <c r="G1216" s="149" t="s">
        <v>4964</v>
      </c>
      <c r="H1216" s="148" t="s">
        <v>347</v>
      </c>
      <c r="I1216" s="149" t="s">
        <v>5018</v>
      </c>
      <c r="J1216" s="148" t="s">
        <v>664</v>
      </c>
      <c r="K1216" s="148" t="s">
        <v>4969</v>
      </c>
      <c r="L1216" s="148"/>
      <c r="M1216" s="485">
        <v>750000</v>
      </c>
      <c r="N1216" s="148"/>
    </row>
    <row r="1217" spans="1:14">
      <c r="A1217" s="123">
        <v>3</v>
      </c>
      <c r="B1217" s="953"/>
      <c r="C1217" s="149" t="s">
        <v>5022</v>
      </c>
      <c r="D1217" s="148" t="s">
        <v>306</v>
      </c>
      <c r="E1217" s="148" t="s">
        <v>322</v>
      </c>
      <c r="F1217" s="148" t="s">
        <v>307</v>
      </c>
      <c r="G1217" s="149">
        <v>594</v>
      </c>
      <c r="H1217" s="148" t="s">
        <v>3169</v>
      </c>
      <c r="I1217" s="149" t="s">
        <v>5023</v>
      </c>
      <c r="J1217" s="148" t="s">
        <v>664</v>
      </c>
      <c r="K1217" s="148" t="s">
        <v>4971</v>
      </c>
      <c r="L1217" s="148"/>
      <c r="M1217" s="485">
        <v>500000</v>
      </c>
      <c r="N1217" s="148"/>
    </row>
    <row r="1218" spans="1:14">
      <c r="A1218" s="123">
        <v>3</v>
      </c>
      <c r="B1218" s="953" t="s">
        <v>5047</v>
      </c>
      <c r="C1218" s="149" t="s">
        <v>5001</v>
      </c>
      <c r="D1218" s="148" t="s">
        <v>311</v>
      </c>
      <c r="E1218" s="148" t="s">
        <v>320</v>
      </c>
      <c r="F1218" s="476" t="s">
        <v>2601</v>
      </c>
      <c r="G1218" s="149" t="s">
        <v>3059</v>
      </c>
      <c r="H1218" s="149" t="s">
        <v>3060</v>
      </c>
      <c r="I1218" s="149" t="s">
        <v>5024</v>
      </c>
      <c r="J1218" s="149" t="s">
        <v>702</v>
      </c>
      <c r="K1218" s="149" t="s">
        <v>713</v>
      </c>
      <c r="L1218" s="148" t="s">
        <v>309</v>
      </c>
      <c r="M1218" s="491">
        <v>250000</v>
      </c>
      <c r="N1218" s="148" t="s">
        <v>5025</v>
      </c>
    </row>
    <row r="1219" spans="1:14">
      <c r="A1219" s="123">
        <v>3</v>
      </c>
      <c r="B1219" s="953"/>
      <c r="C1219" s="149" t="s">
        <v>4962</v>
      </c>
      <c r="D1219" s="148" t="s">
        <v>311</v>
      </c>
      <c r="E1219" s="148" t="s">
        <v>320</v>
      </c>
      <c r="F1219" s="148" t="s">
        <v>4986</v>
      </c>
      <c r="G1219" s="148">
        <v>1017</v>
      </c>
      <c r="H1219" s="148" t="s">
        <v>347</v>
      </c>
      <c r="I1219" s="149" t="s">
        <v>5026</v>
      </c>
      <c r="J1219" s="149"/>
      <c r="K1219" s="149" t="s">
        <v>1054</v>
      </c>
      <c r="L1219" s="148" t="s">
        <v>309</v>
      </c>
      <c r="M1219" s="491">
        <v>1000000</v>
      </c>
      <c r="N1219" s="148" t="s">
        <v>5025</v>
      </c>
    </row>
    <row r="1220" spans="1:14">
      <c r="A1220" s="123">
        <v>3</v>
      </c>
      <c r="B1220" s="953"/>
      <c r="C1220" s="149" t="s">
        <v>5027</v>
      </c>
      <c r="D1220" s="148" t="s">
        <v>311</v>
      </c>
      <c r="E1220" s="148" t="s">
        <v>675</v>
      </c>
      <c r="F1220" s="149" t="s">
        <v>5028</v>
      </c>
      <c r="G1220" s="149" t="s">
        <v>403</v>
      </c>
      <c r="H1220" s="149" t="s">
        <v>5029</v>
      </c>
      <c r="I1220" s="149" t="s">
        <v>5030</v>
      </c>
      <c r="J1220" s="149"/>
      <c r="K1220" s="149" t="s">
        <v>4936</v>
      </c>
      <c r="L1220" s="148" t="s">
        <v>309</v>
      </c>
      <c r="M1220" s="491">
        <v>600000</v>
      </c>
      <c r="N1220" s="148" t="s">
        <v>1925</v>
      </c>
    </row>
    <row r="1221" spans="1:14">
      <c r="A1221" s="123">
        <v>3</v>
      </c>
      <c r="B1221" s="953"/>
      <c r="C1221" s="149" t="s">
        <v>5027</v>
      </c>
      <c r="D1221" s="148" t="s">
        <v>311</v>
      </c>
      <c r="E1221" s="148" t="s">
        <v>320</v>
      </c>
      <c r="F1221" s="476" t="s">
        <v>2601</v>
      </c>
      <c r="G1221" s="149" t="s">
        <v>4989</v>
      </c>
      <c r="H1221" s="149" t="s">
        <v>3060</v>
      </c>
      <c r="I1221" s="149" t="s">
        <v>5031</v>
      </c>
      <c r="J1221" s="149"/>
      <c r="K1221" s="149" t="s">
        <v>692</v>
      </c>
      <c r="L1221" s="148" t="s">
        <v>309</v>
      </c>
      <c r="M1221" s="491">
        <v>500000</v>
      </c>
      <c r="N1221" s="148" t="s">
        <v>5032</v>
      </c>
    </row>
    <row r="1222" spans="1:14">
      <c r="A1222" s="123">
        <v>3</v>
      </c>
      <c r="B1222" s="953"/>
      <c r="C1222" s="955" t="s">
        <v>5033</v>
      </c>
      <c r="D1222" s="957" t="s">
        <v>311</v>
      </c>
      <c r="E1222" s="957" t="s">
        <v>675</v>
      </c>
      <c r="F1222" s="149" t="s">
        <v>5034</v>
      </c>
      <c r="G1222" s="149" t="s">
        <v>5036</v>
      </c>
      <c r="H1222" s="955" t="s">
        <v>347</v>
      </c>
      <c r="I1222" s="149" t="s">
        <v>5038</v>
      </c>
      <c r="J1222" s="955"/>
      <c r="K1222" s="955" t="s">
        <v>705</v>
      </c>
      <c r="L1222" s="957" t="s">
        <v>309</v>
      </c>
      <c r="M1222" s="961">
        <v>500000</v>
      </c>
      <c r="N1222" s="957" t="s">
        <v>5032</v>
      </c>
    </row>
    <row r="1223" spans="1:14">
      <c r="A1223" s="123">
        <v>3</v>
      </c>
      <c r="B1223" s="953"/>
      <c r="C1223" s="955"/>
      <c r="D1223" s="957"/>
      <c r="E1223" s="957"/>
      <c r="F1223" s="149" t="s">
        <v>5035</v>
      </c>
      <c r="G1223" s="149" t="s">
        <v>5037</v>
      </c>
      <c r="H1223" s="955"/>
      <c r="I1223" s="149" t="s">
        <v>5039</v>
      </c>
      <c r="J1223" s="955"/>
      <c r="K1223" s="955"/>
      <c r="L1223" s="957"/>
      <c r="M1223" s="961"/>
      <c r="N1223" s="957"/>
    </row>
    <row r="1224" spans="1:14">
      <c r="A1224" s="123">
        <v>3</v>
      </c>
      <c r="B1224" s="953"/>
      <c r="C1224" s="149" t="s">
        <v>5033</v>
      </c>
      <c r="D1224" s="148" t="s">
        <v>311</v>
      </c>
      <c r="E1224" s="148" t="s">
        <v>320</v>
      </c>
      <c r="F1224" s="149" t="s">
        <v>337</v>
      </c>
      <c r="G1224" s="149" t="s">
        <v>3401</v>
      </c>
      <c r="H1224" s="149" t="s">
        <v>1814</v>
      </c>
      <c r="I1224" s="149" t="s">
        <v>5011</v>
      </c>
      <c r="J1224" s="149"/>
      <c r="K1224" s="149" t="s">
        <v>5012</v>
      </c>
      <c r="L1224" s="148" t="s">
        <v>309</v>
      </c>
      <c r="M1224" s="491">
        <v>300000</v>
      </c>
      <c r="N1224" s="148" t="s">
        <v>5032</v>
      </c>
    </row>
    <row r="1225" spans="1:14">
      <c r="A1225" s="123">
        <v>3</v>
      </c>
      <c r="B1225" s="953"/>
      <c r="C1225" s="149" t="s">
        <v>5033</v>
      </c>
      <c r="D1225" s="148" t="s">
        <v>311</v>
      </c>
      <c r="E1225" s="148" t="s">
        <v>675</v>
      </c>
      <c r="F1225" s="149" t="s">
        <v>337</v>
      </c>
      <c r="G1225" s="149" t="s">
        <v>353</v>
      </c>
      <c r="H1225" s="149" t="s">
        <v>347</v>
      </c>
      <c r="I1225" s="476" t="s">
        <v>5040</v>
      </c>
      <c r="J1225" s="149" t="s">
        <v>638</v>
      </c>
      <c r="K1225" s="148" t="s">
        <v>713</v>
      </c>
      <c r="L1225" s="148" t="s">
        <v>309</v>
      </c>
      <c r="M1225" s="491">
        <v>250000</v>
      </c>
      <c r="N1225" s="148" t="s">
        <v>1925</v>
      </c>
    </row>
    <row r="1226" spans="1:14">
      <c r="A1226" s="123">
        <v>3</v>
      </c>
      <c r="B1226" s="953"/>
      <c r="C1226" s="149" t="s">
        <v>5041</v>
      </c>
      <c r="D1226" s="148" t="s">
        <v>311</v>
      </c>
      <c r="E1226" s="148" t="s">
        <v>675</v>
      </c>
      <c r="F1226" s="149" t="s">
        <v>720</v>
      </c>
      <c r="G1226" s="149">
        <v>7060</v>
      </c>
      <c r="H1226" s="149" t="s">
        <v>5042</v>
      </c>
      <c r="I1226" s="476" t="s">
        <v>5043</v>
      </c>
      <c r="J1226" s="149" t="s">
        <v>638</v>
      </c>
      <c r="K1226" s="149" t="s">
        <v>692</v>
      </c>
      <c r="L1226" s="148" t="s">
        <v>309</v>
      </c>
      <c r="M1226" s="491">
        <v>500000</v>
      </c>
      <c r="N1226" s="148" t="s">
        <v>1925</v>
      </c>
    </row>
    <row r="1227" spans="1:14">
      <c r="A1227" s="123">
        <v>3</v>
      </c>
      <c r="B1227" s="953"/>
      <c r="C1227" s="149" t="s">
        <v>5041</v>
      </c>
      <c r="D1227" s="148" t="s">
        <v>311</v>
      </c>
      <c r="E1227" s="148" t="s">
        <v>675</v>
      </c>
      <c r="F1227" s="149" t="s">
        <v>720</v>
      </c>
      <c r="G1227" s="149">
        <v>7060</v>
      </c>
      <c r="H1227" s="149" t="s">
        <v>717</v>
      </c>
      <c r="I1227" s="476" t="s">
        <v>5044</v>
      </c>
      <c r="J1227" s="149" t="s">
        <v>638</v>
      </c>
      <c r="K1227" s="149" t="s">
        <v>731</v>
      </c>
      <c r="L1227" s="148" t="s">
        <v>309</v>
      </c>
      <c r="M1227" s="491">
        <v>300000</v>
      </c>
      <c r="N1227" s="148" t="s">
        <v>1925</v>
      </c>
    </row>
    <row r="1228" spans="1:14">
      <c r="A1228" s="123">
        <v>3</v>
      </c>
      <c r="B1228" s="953"/>
      <c r="C1228" s="149" t="s">
        <v>5045</v>
      </c>
      <c r="D1228" s="148" t="s">
        <v>311</v>
      </c>
      <c r="E1228" s="148" t="s">
        <v>320</v>
      </c>
      <c r="F1228" s="149" t="s">
        <v>690</v>
      </c>
      <c r="G1228" s="149" t="s">
        <v>3066</v>
      </c>
      <c r="H1228" s="149" t="s">
        <v>347</v>
      </c>
      <c r="I1228" s="149" t="s">
        <v>5046</v>
      </c>
      <c r="J1228" s="148" t="s">
        <v>638</v>
      </c>
      <c r="K1228" s="149" t="s">
        <v>692</v>
      </c>
      <c r="L1228" s="148" t="s">
        <v>309</v>
      </c>
      <c r="M1228" s="491">
        <v>500000</v>
      </c>
      <c r="N1228" s="148" t="s">
        <v>5032</v>
      </c>
    </row>
    <row r="1229" spans="1:14">
      <c r="A1229" s="123">
        <v>4</v>
      </c>
      <c r="B1229" s="953" t="s">
        <v>20</v>
      </c>
      <c r="C1229" s="149" t="s">
        <v>5062</v>
      </c>
      <c r="D1229" s="148" t="s">
        <v>306</v>
      </c>
      <c r="E1229" s="148" t="s">
        <v>322</v>
      </c>
      <c r="F1229" s="148" t="s">
        <v>307</v>
      </c>
      <c r="G1229" s="149" t="s">
        <v>3401</v>
      </c>
      <c r="H1229" s="149" t="s">
        <v>347</v>
      </c>
      <c r="I1229" s="149" t="s">
        <v>5016</v>
      </c>
      <c r="J1229" s="148" t="s">
        <v>664</v>
      </c>
      <c r="K1229" s="148" t="s">
        <v>5048</v>
      </c>
      <c r="L1229" s="148"/>
      <c r="M1229" s="485">
        <v>1250000</v>
      </c>
      <c r="N1229" s="148" t="s">
        <v>5049</v>
      </c>
    </row>
    <row r="1230" spans="1:14">
      <c r="A1230" s="123">
        <v>4</v>
      </c>
      <c r="B1230" s="953"/>
      <c r="C1230" s="149" t="s">
        <v>5050</v>
      </c>
      <c r="D1230" s="148" t="s">
        <v>306</v>
      </c>
      <c r="E1230" s="148" t="s">
        <v>322</v>
      </c>
      <c r="F1230" s="148" t="s">
        <v>307</v>
      </c>
      <c r="G1230" s="149" t="s">
        <v>5051</v>
      </c>
      <c r="H1230" s="149" t="s">
        <v>4967</v>
      </c>
      <c r="I1230" s="149" t="s">
        <v>5052</v>
      </c>
      <c r="J1230" s="148" t="s">
        <v>664</v>
      </c>
      <c r="K1230" s="148" t="s">
        <v>3182</v>
      </c>
      <c r="L1230" s="148"/>
      <c r="M1230" s="485">
        <v>1250000</v>
      </c>
      <c r="N1230" s="148"/>
    </row>
    <row r="1231" spans="1:14">
      <c r="A1231" s="123">
        <v>4</v>
      </c>
      <c r="B1231" s="953"/>
      <c r="C1231" s="149" t="s">
        <v>5053</v>
      </c>
      <c r="D1231" s="148" t="s">
        <v>306</v>
      </c>
      <c r="E1231" s="148" t="s">
        <v>322</v>
      </c>
      <c r="F1231" s="148" t="s">
        <v>307</v>
      </c>
      <c r="G1231" s="149" t="s">
        <v>3401</v>
      </c>
      <c r="H1231" s="149" t="s">
        <v>347</v>
      </c>
      <c r="I1231" s="149" t="s">
        <v>5054</v>
      </c>
      <c r="J1231" s="148" t="s">
        <v>664</v>
      </c>
      <c r="K1231" s="148" t="s">
        <v>3105</v>
      </c>
      <c r="L1231" s="148"/>
      <c r="M1231" s="485">
        <v>250000</v>
      </c>
      <c r="N1231" s="148"/>
    </row>
    <row r="1232" spans="1:14">
      <c r="A1232" s="123">
        <v>4</v>
      </c>
      <c r="B1232" s="953"/>
      <c r="C1232" s="149" t="s">
        <v>5055</v>
      </c>
      <c r="D1232" s="148" t="s">
        <v>306</v>
      </c>
      <c r="E1232" s="148" t="s">
        <v>322</v>
      </c>
      <c r="F1232" s="148" t="s">
        <v>307</v>
      </c>
      <c r="G1232" s="149" t="s">
        <v>3054</v>
      </c>
      <c r="H1232" s="149" t="s">
        <v>354</v>
      </c>
      <c r="I1232" s="149" t="s">
        <v>5056</v>
      </c>
      <c r="J1232" s="148" t="s">
        <v>664</v>
      </c>
      <c r="K1232" s="148" t="s">
        <v>4943</v>
      </c>
      <c r="L1232" s="148"/>
      <c r="M1232" s="485">
        <v>750000</v>
      </c>
      <c r="N1232" s="148"/>
    </row>
    <row r="1233" spans="1:14">
      <c r="A1233" s="123">
        <v>4</v>
      </c>
      <c r="B1233" s="953"/>
      <c r="C1233" s="149" t="s">
        <v>5057</v>
      </c>
      <c r="D1233" s="148" t="s">
        <v>306</v>
      </c>
      <c r="E1233" s="148" t="s">
        <v>322</v>
      </c>
      <c r="F1233" s="148" t="s">
        <v>307</v>
      </c>
      <c r="G1233" s="149" t="s">
        <v>5058</v>
      </c>
      <c r="H1233" s="148" t="s">
        <v>1047</v>
      </c>
      <c r="I1233" s="149" t="s">
        <v>5059</v>
      </c>
      <c r="J1233" s="148" t="s">
        <v>664</v>
      </c>
      <c r="K1233" s="148" t="s">
        <v>4971</v>
      </c>
      <c r="L1233" s="148"/>
      <c r="M1233" s="485">
        <v>750000</v>
      </c>
      <c r="N1233" s="148"/>
    </row>
    <row r="1234" spans="1:14">
      <c r="A1234" s="123">
        <v>4</v>
      </c>
      <c r="B1234" s="953"/>
      <c r="C1234" s="149" t="s">
        <v>5055</v>
      </c>
      <c r="D1234" s="148" t="s">
        <v>306</v>
      </c>
      <c r="E1234" s="148" t="s">
        <v>322</v>
      </c>
      <c r="F1234" s="148" t="s">
        <v>307</v>
      </c>
      <c r="G1234" s="149" t="s">
        <v>5060</v>
      </c>
      <c r="H1234" s="148" t="s">
        <v>354</v>
      </c>
      <c r="I1234" s="149" t="s">
        <v>5061</v>
      </c>
      <c r="J1234" s="148" t="s">
        <v>664</v>
      </c>
      <c r="K1234" s="148" t="s">
        <v>4969</v>
      </c>
      <c r="L1234" s="148"/>
      <c r="M1234" s="485">
        <v>500000</v>
      </c>
      <c r="N1234" s="148"/>
    </row>
    <row r="1235" spans="1:14">
      <c r="A1235" s="123">
        <v>4</v>
      </c>
      <c r="B1235" s="953" t="s">
        <v>5047</v>
      </c>
      <c r="C1235" s="149" t="s">
        <v>5063</v>
      </c>
      <c r="D1235" s="148" t="s">
        <v>311</v>
      </c>
      <c r="E1235" s="148" t="s">
        <v>675</v>
      </c>
      <c r="F1235" s="149" t="s">
        <v>720</v>
      </c>
      <c r="G1235" s="149">
        <v>7060</v>
      </c>
      <c r="H1235" s="149" t="s">
        <v>717</v>
      </c>
      <c r="I1235" s="149" t="s">
        <v>5064</v>
      </c>
      <c r="J1235" s="149"/>
      <c r="K1235" s="149" t="s">
        <v>692</v>
      </c>
      <c r="L1235" s="148" t="s">
        <v>309</v>
      </c>
      <c r="M1235" s="491">
        <v>500000</v>
      </c>
      <c r="N1235" s="148" t="s">
        <v>5065</v>
      </c>
    </row>
    <row r="1236" spans="1:14">
      <c r="A1236" s="123">
        <v>4</v>
      </c>
      <c r="B1236" s="953"/>
      <c r="C1236" s="149" t="s">
        <v>5063</v>
      </c>
      <c r="D1236" s="148" t="s">
        <v>311</v>
      </c>
      <c r="E1236" s="148" t="s">
        <v>675</v>
      </c>
      <c r="F1236" s="149" t="s">
        <v>720</v>
      </c>
      <c r="G1236" s="149">
        <v>7060</v>
      </c>
      <c r="H1236" s="149" t="s">
        <v>1413</v>
      </c>
      <c r="I1236" s="149" t="s">
        <v>5066</v>
      </c>
      <c r="J1236" s="149"/>
      <c r="K1236" s="149" t="s">
        <v>731</v>
      </c>
      <c r="L1236" s="148" t="s">
        <v>309</v>
      </c>
      <c r="M1236" s="491">
        <v>300000</v>
      </c>
      <c r="N1236" s="148" t="s">
        <v>5065</v>
      </c>
    </row>
    <row r="1237" spans="1:14">
      <c r="A1237" s="123">
        <v>4</v>
      </c>
      <c r="B1237" s="953"/>
      <c r="C1237" s="149" t="s">
        <v>5045</v>
      </c>
      <c r="D1237" s="148" t="s">
        <v>311</v>
      </c>
      <c r="E1237" s="148" t="s">
        <v>320</v>
      </c>
      <c r="F1237" s="149" t="s">
        <v>337</v>
      </c>
      <c r="G1237" s="149" t="s">
        <v>3401</v>
      </c>
      <c r="H1237" s="149" t="s">
        <v>662</v>
      </c>
      <c r="I1237" s="149" t="s">
        <v>5067</v>
      </c>
      <c r="J1237" s="149"/>
      <c r="K1237" s="149" t="s">
        <v>3172</v>
      </c>
      <c r="L1237" s="148" t="s">
        <v>309</v>
      </c>
      <c r="M1237" s="491">
        <v>750000</v>
      </c>
      <c r="N1237" s="148" t="s">
        <v>5068</v>
      </c>
    </row>
    <row r="1238" spans="1:14">
      <c r="A1238" s="123">
        <v>4</v>
      </c>
      <c r="B1238" s="953"/>
      <c r="C1238" s="149" t="s">
        <v>5069</v>
      </c>
      <c r="D1238" s="148" t="s">
        <v>311</v>
      </c>
      <c r="E1238" s="148" t="s">
        <v>675</v>
      </c>
      <c r="F1238" s="149" t="s">
        <v>5070</v>
      </c>
      <c r="G1238" s="149">
        <v>3006</v>
      </c>
      <c r="H1238" s="149" t="s">
        <v>347</v>
      </c>
      <c r="I1238" s="476" t="s">
        <v>5071</v>
      </c>
      <c r="J1238" s="149"/>
      <c r="K1238" s="149" t="s">
        <v>4996</v>
      </c>
      <c r="L1238" s="148" t="s">
        <v>309</v>
      </c>
      <c r="M1238" s="491">
        <v>1000000</v>
      </c>
      <c r="N1238" s="148" t="s">
        <v>1772</v>
      </c>
    </row>
    <row r="1239" spans="1:14" ht="25.5">
      <c r="A1239" s="123">
        <v>4</v>
      </c>
      <c r="B1239" s="953"/>
      <c r="C1239" s="149" t="s">
        <v>5053</v>
      </c>
      <c r="D1239" s="148" t="s">
        <v>311</v>
      </c>
      <c r="E1239" s="148" t="s">
        <v>675</v>
      </c>
      <c r="F1239" s="149" t="s">
        <v>5072</v>
      </c>
      <c r="G1239" s="149">
        <v>222003</v>
      </c>
      <c r="H1239" s="149" t="s">
        <v>3069</v>
      </c>
      <c r="I1239" s="476" t="s">
        <v>5073</v>
      </c>
      <c r="J1239" s="149" t="s">
        <v>5074</v>
      </c>
      <c r="K1239" s="149" t="s">
        <v>692</v>
      </c>
      <c r="L1239" s="148" t="s">
        <v>309</v>
      </c>
      <c r="M1239" s="491">
        <v>500000</v>
      </c>
      <c r="N1239" s="148" t="s">
        <v>1772</v>
      </c>
    </row>
    <row r="1240" spans="1:14">
      <c r="A1240" s="123">
        <v>4</v>
      </c>
      <c r="B1240" s="953"/>
      <c r="C1240" s="149" t="s">
        <v>5075</v>
      </c>
      <c r="D1240" s="148" t="s">
        <v>311</v>
      </c>
      <c r="E1240" s="148" t="s">
        <v>320</v>
      </c>
      <c r="F1240" s="149" t="s">
        <v>709</v>
      </c>
      <c r="G1240" s="149" t="s">
        <v>3098</v>
      </c>
      <c r="H1240" s="149" t="s">
        <v>3099</v>
      </c>
      <c r="I1240" s="149" t="s">
        <v>5076</v>
      </c>
      <c r="J1240" s="149" t="s">
        <v>5077</v>
      </c>
      <c r="K1240" s="149" t="s">
        <v>713</v>
      </c>
      <c r="L1240" s="148" t="s">
        <v>309</v>
      </c>
      <c r="M1240" s="491">
        <v>250000</v>
      </c>
      <c r="N1240" s="148" t="s">
        <v>3212</v>
      </c>
    </row>
    <row r="1241" spans="1:14">
      <c r="A1241" s="123">
        <v>4</v>
      </c>
      <c r="B1241" s="953"/>
      <c r="C1241" s="149" t="s">
        <v>5078</v>
      </c>
      <c r="D1241" s="148" t="s">
        <v>311</v>
      </c>
      <c r="E1241" s="148" t="s">
        <v>320</v>
      </c>
      <c r="F1241" s="149" t="s">
        <v>2601</v>
      </c>
      <c r="G1241" s="149" t="s">
        <v>4924</v>
      </c>
      <c r="H1241" s="149"/>
      <c r="I1241" s="149" t="s">
        <v>5079</v>
      </c>
      <c r="J1241" s="149"/>
      <c r="K1241" s="149" t="s">
        <v>5080</v>
      </c>
      <c r="L1241" s="148" t="s">
        <v>5081</v>
      </c>
      <c r="M1241" s="491">
        <v>1500000</v>
      </c>
      <c r="N1241" s="148" t="s">
        <v>3212</v>
      </c>
    </row>
    <row r="1242" spans="1:14" ht="22.5">
      <c r="A1242" s="123">
        <v>4</v>
      </c>
      <c r="B1242" s="953"/>
      <c r="C1242" s="149" t="s">
        <v>5082</v>
      </c>
      <c r="D1242" s="148" t="s">
        <v>311</v>
      </c>
      <c r="E1242" s="148" t="s">
        <v>320</v>
      </c>
      <c r="F1242" s="149" t="s">
        <v>690</v>
      </c>
      <c r="G1242" s="149" t="s">
        <v>5004</v>
      </c>
      <c r="H1242" s="149" t="s">
        <v>5083</v>
      </c>
      <c r="I1242" s="475" t="s">
        <v>5084</v>
      </c>
      <c r="J1242" s="149" t="s">
        <v>638</v>
      </c>
      <c r="K1242" s="149" t="s">
        <v>3192</v>
      </c>
      <c r="L1242" s="148" t="s">
        <v>309</v>
      </c>
      <c r="M1242" s="491">
        <v>300000</v>
      </c>
      <c r="N1242" s="148" t="s">
        <v>3212</v>
      </c>
    </row>
    <row r="1243" spans="1:14">
      <c r="A1243" s="123">
        <v>5</v>
      </c>
      <c r="B1243" s="953" t="s">
        <v>5107</v>
      </c>
      <c r="C1243" s="149" t="s">
        <v>5085</v>
      </c>
      <c r="D1243" s="148" t="s">
        <v>306</v>
      </c>
      <c r="E1243" s="148" t="s">
        <v>322</v>
      </c>
      <c r="F1243" s="148" t="s">
        <v>307</v>
      </c>
      <c r="G1243" s="149" t="s">
        <v>3401</v>
      </c>
      <c r="H1243" s="149" t="s">
        <v>347</v>
      </c>
      <c r="I1243" s="149" t="s">
        <v>5086</v>
      </c>
      <c r="J1243" s="148" t="s">
        <v>664</v>
      </c>
      <c r="K1243" s="148" t="s">
        <v>4996</v>
      </c>
      <c r="L1243" s="148"/>
      <c r="M1243" s="485">
        <v>1000000</v>
      </c>
      <c r="N1243" s="148" t="s">
        <v>5087</v>
      </c>
    </row>
    <row r="1244" spans="1:14">
      <c r="A1244" s="123">
        <v>5</v>
      </c>
      <c r="B1244" s="953"/>
      <c r="C1244" s="149" t="s">
        <v>5088</v>
      </c>
      <c r="D1244" s="148" t="s">
        <v>306</v>
      </c>
      <c r="E1244" s="148" t="s">
        <v>322</v>
      </c>
      <c r="F1244" s="148" t="s">
        <v>307</v>
      </c>
      <c r="G1244" s="149" t="s">
        <v>5089</v>
      </c>
      <c r="H1244" s="149" t="s">
        <v>1047</v>
      </c>
      <c r="I1244" s="149" t="s">
        <v>5090</v>
      </c>
      <c r="J1244" s="148" t="s">
        <v>664</v>
      </c>
      <c r="K1244" s="148" t="s">
        <v>3182</v>
      </c>
      <c r="L1244" s="148"/>
      <c r="M1244" s="485">
        <v>1250000</v>
      </c>
      <c r="N1244" s="148"/>
    </row>
    <row r="1245" spans="1:14">
      <c r="A1245" s="123">
        <v>5</v>
      </c>
      <c r="B1245" s="953"/>
      <c r="C1245" s="149" t="s">
        <v>5091</v>
      </c>
      <c r="D1245" s="148" t="s">
        <v>306</v>
      </c>
      <c r="E1245" s="148" t="s">
        <v>322</v>
      </c>
      <c r="F1245" s="148" t="s">
        <v>307</v>
      </c>
      <c r="G1245" s="149" t="s">
        <v>5092</v>
      </c>
      <c r="H1245" s="149" t="s">
        <v>347</v>
      </c>
      <c r="I1245" s="149" t="s">
        <v>1096</v>
      </c>
      <c r="J1245" s="148" t="s">
        <v>664</v>
      </c>
      <c r="K1245" s="148" t="s">
        <v>3101</v>
      </c>
      <c r="L1245" s="148"/>
      <c r="M1245" s="485">
        <v>500000</v>
      </c>
      <c r="N1245" s="148"/>
    </row>
    <row r="1246" spans="1:14">
      <c r="A1246" s="123">
        <v>5</v>
      </c>
      <c r="B1246" s="953"/>
      <c r="C1246" s="149" t="s">
        <v>5093</v>
      </c>
      <c r="D1246" s="148" t="s">
        <v>306</v>
      </c>
      <c r="E1246" s="148" t="s">
        <v>322</v>
      </c>
      <c r="F1246" s="148" t="s">
        <v>307</v>
      </c>
      <c r="G1246" s="149" t="s">
        <v>5094</v>
      </c>
      <c r="H1246" s="149" t="s">
        <v>5095</v>
      </c>
      <c r="I1246" s="149" t="s">
        <v>5096</v>
      </c>
      <c r="J1246" s="148" t="s">
        <v>664</v>
      </c>
      <c r="K1246" s="148" t="s">
        <v>4943</v>
      </c>
      <c r="L1246" s="148"/>
      <c r="M1246" s="485">
        <v>750000</v>
      </c>
      <c r="N1246" s="148"/>
    </row>
    <row r="1247" spans="1:14">
      <c r="A1247" s="123">
        <v>5</v>
      </c>
      <c r="B1247" s="953"/>
      <c r="C1247" s="149" t="s">
        <v>5091</v>
      </c>
      <c r="D1247" s="148" t="s">
        <v>306</v>
      </c>
      <c r="E1247" s="148" t="s">
        <v>322</v>
      </c>
      <c r="F1247" s="148" t="s">
        <v>307</v>
      </c>
      <c r="G1247" s="149">
        <v>7062</v>
      </c>
      <c r="H1247" s="149" t="s">
        <v>1814</v>
      </c>
      <c r="I1247" s="149" t="s">
        <v>310</v>
      </c>
      <c r="J1247" s="148" t="s">
        <v>664</v>
      </c>
      <c r="K1247" s="148" t="s">
        <v>4971</v>
      </c>
      <c r="L1247" s="148"/>
      <c r="M1247" s="485">
        <v>500000</v>
      </c>
      <c r="N1247" s="148"/>
    </row>
    <row r="1248" spans="1:14">
      <c r="A1248" s="123">
        <v>5</v>
      </c>
      <c r="B1248" s="953"/>
      <c r="C1248" s="149" t="s">
        <v>5093</v>
      </c>
      <c r="D1248" s="148" t="s">
        <v>306</v>
      </c>
      <c r="E1248" s="148" t="s">
        <v>322</v>
      </c>
      <c r="F1248" s="148" t="s">
        <v>307</v>
      </c>
      <c r="G1248" s="149">
        <v>1570</v>
      </c>
      <c r="H1248" s="148" t="s">
        <v>3175</v>
      </c>
      <c r="I1248" s="149" t="s">
        <v>1096</v>
      </c>
      <c r="J1248" s="148" t="s">
        <v>664</v>
      </c>
      <c r="K1248" s="148" t="s">
        <v>4969</v>
      </c>
      <c r="L1248" s="148"/>
      <c r="M1248" s="485">
        <v>750000</v>
      </c>
      <c r="N1248" s="148"/>
    </row>
    <row r="1249" spans="1:14">
      <c r="A1249" s="123">
        <v>5</v>
      </c>
      <c r="B1249" s="953" t="s">
        <v>5047</v>
      </c>
      <c r="C1249" s="149" t="s">
        <v>5097</v>
      </c>
      <c r="D1249" s="148" t="s">
        <v>311</v>
      </c>
      <c r="E1249" s="148" t="s">
        <v>675</v>
      </c>
      <c r="F1249" s="148" t="s">
        <v>4986</v>
      </c>
      <c r="G1249" s="148">
        <v>1017</v>
      </c>
      <c r="H1249" s="148" t="s">
        <v>347</v>
      </c>
      <c r="I1249" s="149" t="s">
        <v>5059</v>
      </c>
      <c r="J1249" s="149"/>
      <c r="K1249" s="149" t="s">
        <v>692</v>
      </c>
      <c r="L1249" s="148" t="s">
        <v>309</v>
      </c>
      <c r="M1249" s="491">
        <v>500000</v>
      </c>
      <c r="N1249" s="148" t="s">
        <v>1206</v>
      </c>
    </row>
    <row r="1250" spans="1:14">
      <c r="A1250" s="123">
        <v>5</v>
      </c>
      <c r="B1250" s="953"/>
      <c r="C1250" s="955" t="s">
        <v>5098</v>
      </c>
      <c r="D1250" s="957" t="s">
        <v>311</v>
      </c>
      <c r="E1250" s="957" t="s">
        <v>675</v>
      </c>
      <c r="F1250" s="957" t="s">
        <v>4986</v>
      </c>
      <c r="G1250" s="957">
        <v>1017</v>
      </c>
      <c r="H1250" s="957" t="s">
        <v>347</v>
      </c>
      <c r="I1250" s="149" t="s">
        <v>5099</v>
      </c>
      <c r="J1250" s="955"/>
      <c r="K1250" s="955" t="s">
        <v>692</v>
      </c>
      <c r="L1250" s="957" t="s">
        <v>309</v>
      </c>
      <c r="M1250" s="961">
        <v>500000</v>
      </c>
      <c r="N1250" s="957" t="s">
        <v>5032</v>
      </c>
    </row>
    <row r="1251" spans="1:14">
      <c r="A1251" s="123">
        <v>5</v>
      </c>
      <c r="B1251" s="953"/>
      <c r="C1251" s="955"/>
      <c r="D1251" s="957"/>
      <c r="E1251" s="957"/>
      <c r="F1251" s="957"/>
      <c r="G1251" s="957"/>
      <c r="H1251" s="957"/>
      <c r="I1251" s="149" t="s">
        <v>5100</v>
      </c>
      <c r="J1251" s="955"/>
      <c r="K1251" s="955"/>
      <c r="L1251" s="957"/>
      <c r="M1251" s="961"/>
      <c r="N1251" s="957"/>
    </row>
    <row r="1252" spans="1:14">
      <c r="A1252" s="123">
        <v>5</v>
      </c>
      <c r="B1252" s="953"/>
      <c r="C1252" s="149" t="s">
        <v>5101</v>
      </c>
      <c r="D1252" s="148" t="s">
        <v>311</v>
      </c>
      <c r="E1252" s="148" t="s">
        <v>320</v>
      </c>
      <c r="F1252" s="149" t="s">
        <v>5102</v>
      </c>
      <c r="G1252" s="149" t="s">
        <v>5004</v>
      </c>
      <c r="H1252" s="149" t="s">
        <v>5083</v>
      </c>
      <c r="I1252" s="476" t="s">
        <v>1426</v>
      </c>
      <c r="J1252" s="149" t="s">
        <v>638</v>
      </c>
      <c r="K1252" s="149" t="s">
        <v>713</v>
      </c>
      <c r="L1252" s="148" t="s">
        <v>309</v>
      </c>
      <c r="M1252" s="491">
        <v>250000</v>
      </c>
      <c r="N1252" s="148" t="s">
        <v>1206</v>
      </c>
    </row>
    <row r="1253" spans="1:14">
      <c r="A1253" s="123">
        <v>5</v>
      </c>
      <c r="B1253" s="953"/>
      <c r="C1253" s="149" t="s">
        <v>5101</v>
      </c>
      <c r="D1253" s="148" t="s">
        <v>311</v>
      </c>
      <c r="E1253" s="148" t="s">
        <v>320</v>
      </c>
      <c r="F1253" s="149" t="s">
        <v>5102</v>
      </c>
      <c r="G1253" s="149" t="s">
        <v>5004</v>
      </c>
      <c r="H1253" s="149" t="s">
        <v>5083</v>
      </c>
      <c r="I1253" s="476" t="s">
        <v>1426</v>
      </c>
      <c r="J1253" s="149" t="s">
        <v>638</v>
      </c>
      <c r="K1253" s="149" t="s">
        <v>3192</v>
      </c>
      <c r="L1253" s="148" t="s">
        <v>309</v>
      </c>
      <c r="M1253" s="491">
        <v>300000</v>
      </c>
      <c r="N1253" s="148" t="s">
        <v>1206</v>
      </c>
    </row>
    <row r="1254" spans="1:14">
      <c r="A1254" s="123">
        <v>5</v>
      </c>
      <c r="B1254" s="953"/>
      <c r="C1254" s="955" t="s">
        <v>5103</v>
      </c>
      <c r="D1254" s="957" t="s">
        <v>311</v>
      </c>
      <c r="E1254" s="957" t="s">
        <v>675</v>
      </c>
      <c r="F1254" s="955" t="s">
        <v>5070</v>
      </c>
      <c r="G1254" s="955">
        <v>3006</v>
      </c>
      <c r="H1254" s="955" t="s">
        <v>347</v>
      </c>
      <c r="I1254" s="476" t="s">
        <v>5104</v>
      </c>
      <c r="J1254" s="955"/>
      <c r="K1254" s="955" t="s">
        <v>705</v>
      </c>
      <c r="L1254" s="957" t="s">
        <v>309</v>
      </c>
      <c r="M1254" s="961">
        <v>500000</v>
      </c>
      <c r="N1254" s="957" t="s">
        <v>5032</v>
      </c>
    </row>
    <row r="1255" spans="1:14">
      <c r="A1255" s="123">
        <v>5</v>
      </c>
      <c r="B1255" s="953"/>
      <c r="C1255" s="955"/>
      <c r="D1255" s="957"/>
      <c r="E1255" s="957"/>
      <c r="F1255" s="955"/>
      <c r="G1255" s="955"/>
      <c r="H1255" s="955"/>
      <c r="I1255" s="476" t="s">
        <v>5105</v>
      </c>
      <c r="J1255" s="955"/>
      <c r="K1255" s="955"/>
      <c r="L1255" s="957"/>
      <c r="M1255" s="961"/>
      <c r="N1255" s="957"/>
    </row>
    <row r="1256" spans="1:14">
      <c r="A1256" s="123">
        <v>5</v>
      </c>
      <c r="B1256" s="953"/>
      <c r="C1256" s="955" t="s">
        <v>5103</v>
      </c>
      <c r="D1256" s="957" t="s">
        <v>311</v>
      </c>
      <c r="E1256" s="957" t="s">
        <v>675</v>
      </c>
      <c r="F1256" s="955" t="s">
        <v>5070</v>
      </c>
      <c r="G1256" s="955">
        <v>3006</v>
      </c>
      <c r="H1256" s="955" t="s">
        <v>347</v>
      </c>
      <c r="I1256" s="476" t="s">
        <v>5104</v>
      </c>
      <c r="J1256" s="955"/>
      <c r="K1256" s="955" t="s">
        <v>4936</v>
      </c>
      <c r="L1256" s="957" t="s">
        <v>309</v>
      </c>
      <c r="M1256" s="961">
        <v>600000</v>
      </c>
      <c r="N1256" s="957" t="s">
        <v>5032</v>
      </c>
    </row>
    <row r="1257" spans="1:14">
      <c r="A1257" s="123">
        <v>5</v>
      </c>
      <c r="B1257" s="953"/>
      <c r="C1257" s="955"/>
      <c r="D1257" s="957"/>
      <c r="E1257" s="957"/>
      <c r="F1257" s="955"/>
      <c r="G1257" s="955"/>
      <c r="H1257" s="955"/>
      <c r="I1257" s="476" t="s">
        <v>5105</v>
      </c>
      <c r="J1257" s="955"/>
      <c r="K1257" s="955"/>
      <c r="L1257" s="957"/>
      <c r="M1257" s="961"/>
      <c r="N1257" s="957"/>
    </row>
    <row r="1258" spans="1:14">
      <c r="A1258" s="123">
        <v>5</v>
      </c>
      <c r="B1258" s="953"/>
      <c r="C1258" s="149" t="s">
        <v>5103</v>
      </c>
      <c r="D1258" s="148" t="s">
        <v>311</v>
      </c>
      <c r="E1258" s="148" t="s">
        <v>320</v>
      </c>
      <c r="F1258" s="149" t="s">
        <v>690</v>
      </c>
      <c r="G1258" s="149" t="s">
        <v>3066</v>
      </c>
      <c r="H1258" s="149" t="s">
        <v>347</v>
      </c>
      <c r="I1258" s="149" t="s">
        <v>5106</v>
      </c>
      <c r="J1258" s="149" t="s">
        <v>638</v>
      </c>
      <c r="K1258" s="149" t="s">
        <v>692</v>
      </c>
      <c r="L1258" s="148" t="s">
        <v>309</v>
      </c>
      <c r="M1258" s="491">
        <v>500000</v>
      </c>
      <c r="N1258" s="148" t="s">
        <v>5032</v>
      </c>
    </row>
    <row r="1259" spans="1:14">
      <c r="A1259" s="123">
        <v>6</v>
      </c>
      <c r="B1259" s="953" t="s">
        <v>4975</v>
      </c>
      <c r="C1259" s="149" t="s">
        <v>5108</v>
      </c>
      <c r="D1259" s="148" t="s">
        <v>306</v>
      </c>
      <c r="E1259" s="148" t="s">
        <v>322</v>
      </c>
      <c r="F1259" s="148" t="s">
        <v>307</v>
      </c>
      <c r="G1259" s="149">
        <v>7062</v>
      </c>
      <c r="H1259" s="149" t="s">
        <v>1814</v>
      </c>
      <c r="I1259" s="149" t="s">
        <v>5018</v>
      </c>
      <c r="J1259" s="148" t="s">
        <v>664</v>
      </c>
      <c r="K1259" s="148" t="s">
        <v>3101</v>
      </c>
      <c r="L1259" s="148"/>
      <c r="M1259" s="485">
        <v>500000</v>
      </c>
      <c r="N1259" s="148"/>
    </row>
    <row r="1260" spans="1:14">
      <c r="A1260" s="123">
        <v>6</v>
      </c>
      <c r="B1260" s="953"/>
      <c r="C1260" s="149" t="s">
        <v>5109</v>
      </c>
      <c r="D1260" s="148" t="s">
        <v>306</v>
      </c>
      <c r="E1260" s="148" t="s">
        <v>322</v>
      </c>
      <c r="F1260" s="148" t="s">
        <v>307</v>
      </c>
      <c r="G1260" s="149">
        <v>1570</v>
      </c>
      <c r="H1260" s="149" t="s">
        <v>3175</v>
      </c>
      <c r="I1260" s="149" t="s">
        <v>1096</v>
      </c>
      <c r="J1260" s="148" t="s">
        <v>664</v>
      </c>
      <c r="K1260" s="148" t="s">
        <v>4943</v>
      </c>
      <c r="L1260" s="148"/>
      <c r="M1260" s="485">
        <v>750000</v>
      </c>
      <c r="N1260" s="148"/>
    </row>
    <row r="1261" spans="1:14">
      <c r="A1261" s="123">
        <v>6</v>
      </c>
      <c r="B1261" s="953"/>
      <c r="C1261" s="149" t="s">
        <v>5108</v>
      </c>
      <c r="D1261" s="148" t="s">
        <v>306</v>
      </c>
      <c r="E1261" s="148" t="s">
        <v>322</v>
      </c>
      <c r="F1261" s="148" t="s">
        <v>307</v>
      </c>
      <c r="G1261" s="149" t="s">
        <v>5060</v>
      </c>
      <c r="H1261" s="149" t="s">
        <v>354</v>
      </c>
      <c r="I1261" s="149" t="s">
        <v>4915</v>
      </c>
      <c r="J1261" s="148" t="s">
        <v>664</v>
      </c>
      <c r="K1261" s="148" t="s">
        <v>3101</v>
      </c>
      <c r="L1261" s="148"/>
      <c r="M1261" s="485">
        <v>500000</v>
      </c>
      <c r="N1261" s="148"/>
    </row>
    <row r="1262" spans="1:14">
      <c r="A1262" s="123">
        <v>6</v>
      </c>
      <c r="B1262" s="953"/>
      <c r="C1262" s="149" t="s">
        <v>5109</v>
      </c>
      <c r="D1262" s="148" t="s">
        <v>306</v>
      </c>
      <c r="E1262" s="148" t="s">
        <v>322</v>
      </c>
      <c r="F1262" s="148" t="s">
        <v>307</v>
      </c>
      <c r="G1262" s="149" t="s">
        <v>5089</v>
      </c>
      <c r="H1262" s="149" t="s">
        <v>1047</v>
      </c>
      <c r="I1262" s="149" t="s">
        <v>4915</v>
      </c>
      <c r="J1262" s="148" t="s">
        <v>664</v>
      </c>
      <c r="K1262" s="148" t="s">
        <v>4943</v>
      </c>
      <c r="L1262" s="148"/>
      <c r="M1262" s="485">
        <v>750000</v>
      </c>
      <c r="N1262" s="148"/>
    </row>
    <row r="1263" spans="1:14">
      <c r="A1263" s="123">
        <v>6</v>
      </c>
      <c r="B1263" s="953"/>
      <c r="C1263" s="149" t="s">
        <v>5110</v>
      </c>
      <c r="D1263" s="148" t="s">
        <v>306</v>
      </c>
      <c r="E1263" s="148" t="s">
        <v>322</v>
      </c>
      <c r="F1263" s="148" t="s">
        <v>307</v>
      </c>
      <c r="G1263" s="149" t="s">
        <v>4966</v>
      </c>
      <c r="H1263" s="149" t="s">
        <v>4967</v>
      </c>
      <c r="I1263" s="149" t="s">
        <v>5061</v>
      </c>
      <c r="J1263" s="148" t="s">
        <v>664</v>
      </c>
      <c r="K1263" s="148" t="s">
        <v>5111</v>
      </c>
      <c r="L1263" s="148"/>
      <c r="M1263" s="485">
        <v>1250000</v>
      </c>
      <c r="N1263" s="148"/>
    </row>
    <row r="1264" spans="1:14">
      <c r="A1264" s="123">
        <v>6</v>
      </c>
      <c r="B1264" s="953" t="s">
        <v>21</v>
      </c>
      <c r="C1264" s="149" t="s">
        <v>5101</v>
      </c>
      <c r="D1264" s="148" t="s">
        <v>311</v>
      </c>
      <c r="E1264" s="148" t="s">
        <v>675</v>
      </c>
      <c r="F1264" s="149" t="s">
        <v>5072</v>
      </c>
      <c r="G1264" s="149">
        <v>222003</v>
      </c>
      <c r="H1264" s="149" t="s">
        <v>347</v>
      </c>
      <c r="I1264" s="476" t="s">
        <v>5112</v>
      </c>
      <c r="J1264" s="149"/>
      <c r="K1264" s="149" t="s">
        <v>713</v>
      </c>
      <c r="L1264" s="148" t="s">
        <v>309</v>
      </c>
      <c r="M1264" s="491">
        <v>250000</v>
      </c>
      <c r="N1264" s="148" t="s">
        <v>5113</v>
      </c>
    </row>
    <row r="1265" spans="1:14">
      <c r="A1265" s="123">
        <v>6</v>
      </c>
      <c r="B1265" s="953"/>
      <c r="C1265" s="149" t="s">
        <v>5114</v>
      </c>
      <c r="D1265" s="148" t="s">
        <v>311</v>
      </c>
      <c r="E1265" s="148" t="s">
        <v>320</v>
      </c>
      <c r="F1265" s="149" t="s">
        <v>5102</v>
      </c>
      <c r="G1265" s="149" t="s">
        <v>5004</v>
      </c>
      <c r="H1265" s="149" t="s">
        <v>1198</v>
      </c>
      <c r="I1265" s="149" t="s">
        <v>5115</v>
      </c>
      <c r="J1265" s="149"/>
      <c r="K1265" s="149" t="s">
        <v>705</v>
      </c>
      <c r="L1265" s="148" t="s">
        <v>309</v>
      </c>
      <c r="M1265" s="491">
        <v>500000</v>
      </c>
      <c r="N1265" s="148" t="s">
        <v>5113</v>
      </c>
    </row>
    <row r="1266" spans="1:14">
      <c r="A1266" s="123">
        <v>6</v>
      </c>
      <c r="B1266" s="953"/>
      <c r="C1266" s="149" t="s">
        <v>5116</v>
      </c>
      <c r="D1266" s="148" t="s">
        <v>311</v>
      </c>
      <c r="E1266" s="148" t="s">
        <v>320</v>
      </c>
      <c r="F1266" s="149" t="s">
        <v>5102</v>
      </c>
      <c r="G1266" s="149" t="s">
        <v>5004</v>
      </c>
      <c r="H1266" s="149" t="s">
        <v>1198</v>
      </c>
      <c r="I1266" s="476" t="s">
        <v>1426</v>
      </c>
      <c r="J1266" s="149"/>
      <c r="K1266" s="149" t="s">
        <v>713</v>
      </c>
      <c r="L1266" s="148" t="s">
        <v>309</v>
      </c>
      <c r="M1266" s="491">
        <v>250000</v>
      </c>
      <c r="N1266" s="148" t="s">
        <v>5117</v>
      </c>
    </row>
    <row r="1267" spans="1:14">
      <c r="A1267" s="123">
        <v>6</v>
      </c>
      <c r="B1267" s="953"/>
      <c r="C1267" s="149" t="s">
        <v>5118</v>
      </c>
      <c r="D1267" s="148" t="s">
        <v>311</v>
      </c>
      <c r="E1267" s="148" t="s">
        <v>675</v>
      </c>
      <c r="F1267" s="149" t="s">
        <v>720</v>
      </c>
      <c r="G1267" s="149">
        <v>7060</v>
      </c>
      <c r="H1267" s="149" t="s">
        <v>5119</v>
      </c>
      <c r="I1267" s="476" t="s">
        <v>5120</v>
      </c>
      <c r="J1267" s="149" t="s">
        <v>638</v>
      </c>
      <c r="K1267" s="149" t="s">
        <v>5121</v>
      </c>
      <c r="L1267" s="148" t="s">
        <v>309</v>
      </c>
      <c r="M1267" s="491">
        <v>300000</v>
      </c>
      <c r="N1267" s="148" t="s">
        <v>1925</v>
      </c>
    </row>
    <row r="1268" spans="1:14">
      <c r="A1268" s="123">
        <v>6</v>
      </c>
      <c r="B1268" s="953"/>
      <c r="C1268" s="955" t="s">
        <v>5122</v>
      </c>
      <c r="D1268" s="957" t="s">
        <v>311</v>
      </c>
      <c r="E1268" s="957" t="s">
        <v>675</v>
      </c>
      <c r="F1268" s="149" t="s">
        <v>5123</v>
      </c>
      <c r="G1268" s="475" t="s">
        <v>5125</v>
      </c>
      <c r="H1268" s="389" t="s">
        <v>347</v>
      </c>
      <c r="I1268" s="955" t="s">
        <v>5128</v>
      </c>
      <c r="J1268" s="955" t="s">
        <v>638</v>
      </c>
      <c r="K1268" s="955" t="s">
        <v>692</v>
      </c>
      <c r="L1268" s="957" t="s">
        <v>309</v>
      </c>
      <c r="M1268" s="961">
        <v>500000</v>
      </c>
      <c r="N1268" s="957" t="s">
        <v>1772</v>
      </c>
    </row>
    <row r="1269" spans="1:14">
      <c r="A1269" s="123">
        <v>6</v>
      </c>
      <c r="B1269" s="953"/>
      <c r="C1269" s="955"/>
      <c r="D1269" s="957"/>
      <c r="E1269" s="957"/>
      <c r="F1269" s="149" t="s">
        <v>5124</v>
      </c>
      <c r="G1269" s="475" t="s">
        <v>5126</v>
      </c>
      <c r="H1269" s="389" t="s">
        <v>5127</v>
      </c>
      <c r="I1269" s="955"/>
      <c r="J1269" s="955"/>
      <c r="K1269" s="955"/>
      <c r="L1269" s="957"/>
      <c r="M1269" s="961"/>
      <c r="N1269" s="957"/>
    </row>
    <row r="1270" spans="1:14" ht="24">
      <c r="A1270" s="123">
        <v>6</v>
      </c>
      <c r="B1270" s="953"/>
      <c r="C1270" s="149" t="s">
        <v>5122</v>
      </c>
      <c r="D1270" s="148" t="s">
        <v>311</v>
      </c>
      <c r="E1270" s="148" t="s">
        <v>320</v>
      </c>
      <c r="F1270" s="476" t="s">
        <v>720</v>
      </c>
      <c r="G1270" s="149" t="s">
        <v>5129</v>
      </c>
      <c r="H1270" s="149" t="s">
        <v>3060</v>
      </c>
      <c r="I1270" s="476" t="s">
        <v>5130</v>
      </c>
      <c r="J1270" s="149" t="s">
        <v>702</v>
      </c>
      <c r="K1270" s="149" t="s">
        <v>5131</v>
      </c>
      <c r="L1270" s="148" t="s">
        <v>309</v>
      </c>
      <c r="M1270" s="491">
        <v>550000</v>
      </c>
      <c r="N1270" s="148" t="s">
        <v>1925</v>
      </c>
    </row>
    <row r="1271" spans="1:14">
      <c r="A1271" s="123">
        <v>6</v>
      </c>
      <c r="B1271" s="953"/>
      <c r="C1271" s="149" t="s">
        <v>5122</v>
      </c>
      <c r="D1271" s="148" t="s">
        <v>311</v>
      </c>
      <c r="E1271" s="148" t="s">
        <v>320</v>
      </c>
      <c r="F1271" s="475" t="s">
        <v>337</v>
      </c>
      <c r="G1271" s="149" t="s">
        <v>3401</v>
      </c>
      <c r="H1271" s="149" t="s">
        <v>347</v>
      </c>
      <c r="I1271" s="149" t="s">
        <v>5132</v>
      </c>
      <c r="J1271" s="149"/>
      <c r="K1271" s="149" t="s">
        <v>705</v>
      </c>
      <c r="L1271" s="148" t="s">
        <v>309</v>
      </c>
      <c r="M1271" s="491">
        <v>500000</v>
      </c>
      <c r="N1271" s="148" t="s">
        <v>1206</v>
      </c>
    </row>
    <row r="1272" spans="1:14">
      <c r="A1272" s="123">
        <v>7</v>
      </c>
      <c r="B1272" s="953" t="s">
        <v>5107</v>
      </c>
      <c r="C1272" s="149" t="s">
        <v>5133</v>
      </c>
      <c r="D1272" s="148" t="s">
        <v>306</v>
      </c>
      <c r="E1272" s="148" t="s">
        <v>322</v>
      </c>
      <c r="F1272" s="148" t="s">
        <v>307</v>
      </c>
      <c r="G1272" s="149" t="s">
        <v>3054</v>
      </c>
      <c r="H1272" s="149" t="s">
        <v>3057</v>
      </c>
      <c r="I1272" s="149" t="s">
        <v>5134</v>
      </c>
      <c r="J1272" s="148" t="s">
        <v>664</v>
      </c>
      <c r="K1272" s="148" t="s">
        <v>705</v>
      </c>
      <c r="L1272" s="148"/>
      <c r="M1272" s="485">
        <v>500000</v>
      </c>
      <c r="N1272" s="148" t="s">
        <v>5135</v>
      </c>
    </row>
    <row r="1273" spans="1:14">
      <c r="A1273" s="123">
        <v>7</v>
      </c>
      <c r="B1273" s="953"/>
      <c r="C1273" s="149" t="s">
        <v>5136</v>
      </c>
      <c r="D1273" s="148" t="s">
        <v>306</v>
      </c>
      <c r="E1273" s="148" t="s">
        <v>322</v>
      </c>
      <c r="F1273" s="148" t="s">
        <v>307</v>
      </c>
      <c r="G1273" s="149" t="s">
        <v>5137</v>
      </c>
      <c r="H1273" s="149" t="s">
        <v>347</v>
      </c>
      <c r="I1273" s="149" t="s">
        <v>4915</v>
      </c>
      <c r="J1273" s="148" t="s">
        <v>664</v>
      </c>
      <c r="K1273" s="148" t="s">
        <v>3101</v>
      </c>
      <c r="L1273" s="148"/>
      <c r="M1273" s="485">
        <v>500000</v>
      </c>
      <c r="N1273" s="148"/>
    </row>
    <row r="1274" spans="1:14">
      <c r="A1274" s="123">
        <v>7</v>
      </c>
      <c r="B1274" s="953"/>
      <c r="C1274" s="149" t="s">
        <v>5136</v>
      </c>
      <c r="D1274" s="148" t="s">
        <v>306</v>
      </c>
      <c r="E1274" s="148" t="s">
        <v>322</v>
      </c>
      <c r="F1274" s="148" t="s">
        <v>307</v>
      </c>
      <c r="G1274" s="149" t="s">
        <v>3054</v>
      </c>
      <c r="H1274" s="149" t="s">
        <v>354</v>
      </c>
      <c r="I1274" s="149" t="s">
        <v>310</v>
      </c>
      <c r="J1274" s="148" t="s">
        <v>664</v>
      </c>
      <c r="K1274" s="148" t="s">
        <v>3101</v>
      </c>
      <c r="L1274" s="148"/>
      <c r="M1274" s="485">
        <v>500000</v>
      </c>
      <c r="N1274" s="148"/>
    </row>
    <row r="1275" spans="1:14">
      <c r="A1275" s="123">
        <v>7</v>
      </c>
      <c r="B1275" s="953"/>
      <c r="C1275" s="149" t="s">
        <v>5136</v>
      </c>
      <c r="D1275" s="148" t="s">
        <v>306</v>
      </c>
      <c r="E1275" s="148" t="s">
        <v>322</v>
      </c>
      <c r="F1275" s="148" t="s">
        <v>307</v>
      </c>
      <c r="G1275" s="149" t="s">
        <v>5051</v>
      </c>
      <c r="H1275" s="149" t="s">
        <v>4967</v>
      </c>
      <c r="I1275" s="149" t="s">
        <v>5059</v>
      </c>
      <c r="J1275" s="148" t="s">
        <v>664</v>
      </c>
      <c r="K1275" s="148" t="s">
        <v>4971</v>
      </c>
      <c r="L1275" s="148"/>
      <c r="M1275" s="485">
        <v>500000</v>
      </c>
      <c r="N1275" s="148"/>
    </row>
    <row r="1276" spans="1:14">
      <c r="A1276" s="123">
        <v>7</v>
      </c>
      <c r="B1276" s="953"/>
      <c r="C1276" s="149" t="s">
        <v>5138</v>
      </c>
      <c r="D1276" s="148" t="s">
        <v>306</v>
      </c>
      <c r="E1276" s="148" t="s">
        <v>322</v>
      </c>
      <c r="F1276" s="148" t="s">
        <v>307</v>
      </c>
      <c r="G1276" s="149" t="s">
        <v>5089</v>
      </c>
      <c r="H1276" s="149" t="s">
        <v>1047</v>
      </c>
      <c r="I1276" s="149" t="s">
        <v>5139</v>
      </c>
      <c r="J1276" s="148" t="s">
        <v>664</v>
      </c>
      <c r="K1276" s="148" t="s">
        <v>4974</v>
      </c>
      <c r="L1276" s="148"/>
      <c r="M1276" s="485">
        <v>1000000</v>
      </c>
      <c r="N1276" s="148"/>
    </row>
    <row r="1277" spans="1:14">
      <c r="A1277" s="123">
        <v>7</v>
      </c>
      <c r="B1277" s="953" t="s">
        <v>5150</v>
      </c>
      <c r="C1277" s="149" t="s">
        <v>5140</v>
      </c>
      <c r="D1277" s="148" t="s">
        <v>311</v>
      </c>
      <c r="E1277" s="148" t="s">
        <v>320</v>
      </c>
      <c r="F1277" s="149" t="s">
        <v>690</v>
      </c>
      <c r="G1277" s="149" t="s">
        <v>3066</v>
      </c>
      <c r="H1277" s="149" t="s">
        <v>347</v>
      </c>
      <c r="I1277" s="149" t="s">
        <v>5046</v>
      </c>
      <c r="J1277" s="148" t="s">
        <v>638</v>
      </c>
      <c r="K1277" s="149" t="s">
        <v>692</v>
      </c>
      <c r="L1277" s="148" t="s">
        <v>309</v>
      </c>
      <c r="M1277" s="491">
        <v>500000</v>
      </c>
      <c r="N1277" s="148" t="s">
        <v>1772</v>
      </c>
    </row>
    <row r="1278" spans="1:14" ht="25.5">
      <c r="A1278" s="123">
        <v>7</v>
      </c>
      <c r="B1278" s="953"/>
      <c r="C1278" s="149" t="s">
        <v>5140</v>
      </c>
      <c r="D1278" s="148" t="s">
        <v>311</v>
      </c>
      <c r="E1278" s="148" t="s">
        <v>320</v>
      </c>
      <c r="F1278" s="149" t="s">
        <v>690</v>
      </c>
      <c r="G1278" s="149" t="s">
        <v>3066</v>
      </c>
      <c r="H1278" s="149" t="s">
        <v>3169</v>
      </c>
      <c r="I1278" s="149" t="s">
        <v>5141</v>
      </c>
      <c r="J1278" s="148" t="s">
        <v>638</v>
      </c>
      <c r="K1278" s="149" t="s">
        <v>3192</v>
      </c>
      <c r="L1278" s="148" t="s">
        <v>309</v>
      </c>
      <c r="M1278" s="491">
        <v>300000</v>
      </c>
      <c r="N1278" s="148" t="s">
        <v>1772</v>
      </c>
    </row>
    <row r="1279" spans="1:14">
      <c r="A1279" s="123">
        <v>7</v>
      </c>
      <c r="B1279" s="953"/>
      <c r="C1279" s="149" t="s">
        <v>5142</v>
      </c>
      <c r="D1279" s="148" t="s">
        <v>311</v>
      </c>
      <c r="E1279" s="148" t="s">
        <v>320</v>
      </c>
      <c r="F1279" s="149" t="s">
        <v>690</v>
      </c>
      <c r="G1279" s="149" t="s">
        <v>5004</v>
      </c>
      <c r="H1279" s="149" t="s">
        <v>1198</v>
      </c>
      <c r="I1279" s="149" t="s">
        <v>5143</v>
      </c>
      <c r="J1279" s="149"/>
      <c r="K1279" s="149" t="s">
        <v>5144</v>
      </c>
      <c r="L1279" s="148" t="s">
        <v>309</v>
      </c>
      <c r="M1279" s="491">
        <v>500000</v>
      </c>
      <c r="N1279" s="148" t="s">
        <v>1772</v>
      </c>
    </row>
    <row r="1280" spans="1:14">
      <c r="A1280" s="123">
        <v>7</v>
      </c>
      <c r="B1280" s="953"/>
      <c r="C1280" s="149" t="s">
        <v>5142</v>
      </c>
      <c r="D1280" s="148" t="s">
        <v>311</v>
      </c>
      <c r="E1280" s="148" t="s">
        <v>320</v>
      </c>
      <c r="F1280" s="149" t="s">
        <v>5072</v>
      </c>
      <c r="G1280" s="149">
        <v>222003</v>
      </c>
      <c r="H1280" s="149" t="s">
        <v>3069</v>
      </c>
      <c r="I1280" s="149" t="s">
        <v>5145</v>
      </c>
      <c r="J1280" s="149"/>
      <c r="K1280" s="149" t="s">
        <v>5121</v>
      </c>
      <c r="L1280" s="148" t="s">
        <v>309</v>
      </c>
      <c r="M1280" s="491">
        <v>300000</v>
      </c>
      <c r="N1280" s="148" t="s">
        <v>1772</v>
      </c>
    </row>
    <row r="1281" spans="1:14">
      <c r="A1281" s="123">
        <v>8</v>
      </c>
      <c r="B1281" s="953" t="s">
        <v>20</v>
      </c>
      <c r="C1281" s="531" t="s">
        <v>5146</v>
      </c>
      <c r="D1281" s="523" t="s">
        <v>306</v>
      </c>
      <c r="E1281" s="523" t="s">
        <v>322</v>
      </c>
      <c r="F1281" s="523" t="s">
        <v>307</v>
      </c>
      <c r="G1281" s="531" t="s">
        <v>5060</v>
      </c>
      <c r="H1281" s="531" t="s">
        <v>354</v>
      </c>
      <c r="I1281" s="531" t="s">
        <v>4915</v>
      </c>
      <c r="J1281" s="523" t="s">
        <v>664</v>
      </c>
      <c r="K1281" s="523" t="s">
        <v>3182</v>
      </c>
      <c r="L1281" s="523"/>
      <c r="M1281" s="524">
        <v>1250000</v>
      </c>
      <c r="N1281" s="148"/>
    </row>
    <row r="1282" spans="1:14">
      <c r="A1282" s="123">
        <v>8</v>
      </c>
      <c r="B1282" s="953"/>
      <c r="C1282" s="149" t="s">
        <v>5146</v>
      </c>
      <c r="D1282" s="148" t="s">
        <v>306</v>
      </c>
      <c r="E1282" s="148" t="s">
        <v>322</v>
      </c>
      <c r="F1282" s="148" t="s">
        <v>307</v>
      </c>
      <c r="G1282" s="149">
        <v>1570</v>
      </c>
      <c r="H1282" s="149" t="s">
        <v>3175</v>
      </c>
      <c r="I1282" s="149" t="s">
        <v>5147</v>
      </c>
      <c r="J1282" s="148" t="s">
        <v>664</v>
      </c>
      <c r="K1282" s="148" t="s">
        <v>5111</v>
      </c>
      <c r="L1282" s="148"/>
      <c r="M1282" s="485">
        <v>1250000</v>
      </c>
      <c r="N1282" s="148"/>
    </row>
    <row r="1283" spans="1:14">
      <c r="A1283" s="123">
        <v>8</v>
      </c>
      <c r="B1283" s="953"/>
      <c r="C1283" s="531" t="s">
        <v>5148</v>
      </c>
      <c r="D1283" s="523" t="s">
        <v>306</v>
      </c>
      <c r="E1283" s="523" t="s">
        <v>322</v>
      </c>
      <c r="F1283" s="523" t="s">
        <v>307</v>
      </c>
      <c r="G1283" s="531" t="s">
        <v>3054</v>
      </c>
      <c r="H1283" s="531" t="s">
        <v>354</v>
      </c>
      <c r="I1283" s="531" t="s">
        <v>310</v>
      </c>
      <c r="J1283" s="523" t="s">
        <v>664</v>
      </c>
      <c r="K1283" s="523" t="s">
        <v>4943</v>
      </c>
      <c r="L1283" s="523"/>
      <c r="M1283" s="524">
        <v>750000</v>
      </c>
      <c r="N1283" s="148"/>
    </row>
    <row r="1284" spans="1:14">
      <c r="A1284" s="123">
        <v>8</v>
      </c>
      <c r="B1284" s="953"/>
      <c r="C1284" s="531" t="s">
        <v>5149</v>
      </c>
      <c r="D1284" s="523" t="s">
        <v>306</v>
      </c>
      <c r="E1284" s="523" t="s">
        <v>322</v>
      </c>
      <c r="F1284" s="523" t="s">
        <v>307</v>
      </c>
      <c r="G1284" s="531" t="s">
        <v>4803</v>
      </c>
      <c r="H1284" s="531" t="s">
        <v>662</v>
      </c>
      <c r="I1284" s="531" t="s">
        <v>1096</v>
      </c>
      <c r="J1284" s="523" t="s">
        <v>664</v>
      </c>
      <c r="K1284" s="523" t="s">
        <v>3101</v>
      </c>
      <c r="L1284" s="523"/>
      <c r="M1284" s="524">
        <v>500000</v>
      </c>
      <c r="N1284" s="148"/>
    </row>
    <row r="1285" spans="1:14">
      <c r="A1285" s="123">
        <v>8</v>
      </c>
      <c r="B1285" s="953" t="s">
        <v>5163</v>
      </c>
      <c r="C1285" s="149" t="s">
        <v>5142</v>
      </c>
      <c r="D1285" s="148" t="s">
        <v>311</v>
      </c>
      <c r="E1285" s="148" t="s">
        <v>320</v>
      </c>
      <c r="F1285" s="149" t="s">
        <v>5072</v>
      </c>
      <c r="G1285" s="149">
        <v>222003</v>
      </c>
      <c r="H1285" s="149" t="s">
        <v>3069</v>
      </c>
      <c r="I1285" s="149" t="s">
        <v>5151</v>
      </c>
      <c r="J1285" s="149"/>
      <c r="K1285" s="149" t="s">
        <v>713</v>
      </c>
      <c r="L1285" s="148" t="s">
        <v>309</v>
      </c>
      <c r="M1285" s="491">
        <v>250000</v>
      </c>
      <c r="N1285" s="148" t="s">
        <v>5152</v>
      </c>
    </row>
    <row r="1286" spans="1:14">
      <c r="A1286" s="123">
        <v>8</v>
      </c>
      <c r="B1286" s="953"/>
      <c r="C1286" s="149" t="s">
        <v>5142</v>
      </c>
      <c r="D1286" s="148" t="s">
        <v>311</v>
      </c>
      <c r="E1286" s="148" t="s">
        <v>320</v>
      </c>
      <c r="F1286" s="149" t="s">
        <v>690</v>
      </c>
      <c r="G1286" s="149" t="s">
        <v>5153</v>
      </c>
      <c r="H1286" s="149" t="s">
        <v>5154</v>
      </c>
      <c r="I1286" s="149" t="s">
        <v>5155</v>
      </c>
      <c r="J1286" s="149"/>
      <c r="K1286" s="149" t="s">
        <v>698</v>
      </c>
      <c r="L1286" s="148" t="s">
        <v>309</v>
      </c>
      <c r="M1286" s="491">
        <v>250000</v>
      </c>
      <c r="N1286" s="148" t="s">
        <v>5152</v>
      </c>
    </row>
    <row r="1287" spans="1:14">
      <c r="A1287" s="123">
        <v>8</v>
      </c>
      <c r="B1287" s="953"/>
      <c r="C1287" s="149" t="s">
        <v>5156</v>
      </c>
      <c r="D1287" s="148" t="s">
        <v>311</v>
      </c>
      <c r="E1287" s="148" t="s">
        <v>320</v>
      </c>
      <c r="F1287" s="149" t="s">
        <v>690</v>
      </c>
      <c r="G1287" s="149" t="s">
        <v>5004</v>
      </c>
      <c r="H1287" s="149" t="s">
        <v>1198</v>
      </c>
      <c r="I1287" s="149" t="s">
        <v>5157</v>
      </c>
      <c r="J1287" s="149"/>
      <c r="K1287" s="149" t="s">
        <v>3192</v>
      </c>
      <c r="L1287" s="148" t="s">
        <v>309</v>
      </c>
      <c r="M1287" s="491">
        <v>300000</v>
      </c>
      <c r="N1287" s="148" t="s">
        <v>1206</v>
      </c>
    </row>
    <row r="1288" spans="1:14">
      <c r="A1288" s="123">
        <v>8</v>
      </c>
      <c r="B1288" s="953"/>
      <c r="C1288" s="149" t="s">
        <v>5158</v>
      </c>
      <c r="D1288" s="148" t="s">
        <v>311</v>
      </c>
      <c r="E1288" s="148" t="s">
        <v>320</v>
      </c>
      <c r="F1288" s="149" t="s">
        <v>690</v>
      </c>
      <c r="G1288" s="149" t="s">
        <v>5004</v>
      </c>
      <c r="H1288" s="149" t="s">
        <v>1198</v>
      </c>
      <c r="I1288" s="149" t="s">
        <v>5002</v>
      </c>
      <c r="J1288" s="149"/>
      <c r="K1288" s="149" t="s">
        <v>3192</v>
      </c>
      <c r="L1288" s="148" t="s">
        <v>309</v>
      </c>
      <c r="M1288" s="491">
        <v>300000</v>
      </c>
      <c r="N1288" s="148" t="s">
        <v>1206</v>
      </c>
    </row>
    <row r="1289" spans="1:14">
      <c r="A1289" s="123">
        <v>8</v>
      </c>
      <c r="B1289" s="953"/>
      <c r="C1289" s="954" t="s">
        <v>5158</v>
      </c>
      <c r="D1289" s="956" t="s">
        <v>311</v>
      </c>
      <c r="E1289" s="956" t="s">
        <v>675</v>
      </c>
      <c r="F1289" s="506" t="s">
        <v>5123</v>
      </c>
      <c r="G1289" s="507" t="s">
        <v>5125</v>
      </c>
      <c r="H1289" s="507" t="s">
        <v>347</v>
      </c>
      <c r="I1289" s="954" t="s">
        <v>5128</v>
      </c>
      <c r="J1289" s="954"/>
      <c r="K1289" s="954" t="s">
        <v>692</v>
      </c>
      <c r="L1289" s="956" t="s">
        <v>309</v>
      </c>
      <c r="M1289" s="960">
        <v>500000</v>
      </c>
      <c r="N1289" s="957" t="s">
        <v>5032</v>
      </c>
    </row>
    <row r="1290" spans="1:14" ht="19.5">
      <c r="A1290" s="123">
        <v>8</v>
      </c>
      <c r="B1290" s="953"/>
      <c r="C1290" s="955"/>
      <c r="D1290" s="957"/>
      <c r="E1290" s="957"/>
      <c r="F1290" s="149" t="s">
        <v>5124</v>
      </c>
      <c r="G1290" s="475" t="s">
        <v>5126</v>
      </c>
      <c r="H1290" s="477" t="s">
        <v>5127</v>
      </c>
      <c r="I1290" s="955"/>
      <c r="J1290" s="955"/>
      <c r="K1290" s="955"/>
      <c r="L1290" s="957"/>
      <c r="M1290" s="961"/>
      <c r="N1290" s="957"/>
    </row>
    <row r="1291" spans="1:14">
      <c r="A1291" s="123">
        <v>8</v>
      </c>
      <c r="B1291" s="953"/>
      <c r="C1291" s="954" t="s">
        <v>5159</v>
      </c>
      <c r="D1291" s="956" t="s">
        <v>311</v>
      </c>
      <c r="E1291" s="956" t="s">
        <v>320</v>
      </c>
      <c r="F1291" s="976" t="s">
        <v>709</v>
      </c>
      <c r="G1291" s="954" t="s">
        <v>3098</v>
      </c>
      <c r="H1291" s="954" t="s">
        <v>3099</v>
      </c>
      <c r="I1291" s="506" t="s">
        <v>5312</v>
      </c>
      <c r="J1291" s="954" t="s">
        <v>638</v>
      </c>
      <c r="K1291" s="954" t="s">
        <v>713</v>
      </c>
      <c r="L1291" s="956" t="s">
        <v>309</v>
      </c>
      <c r="M1291" s="960">
        <v>250000</v>
      </c>
      <c r="N1291" s="957" t="s">
        <v>5032</v>
      </c>
    </row>
    <row r="1292" spans="1:14">
      <c r="A1292" s="123">
        <v>8</v>
      </c>
      <c r="B1292" s="953"/>
      <c r="C1292" s="955"/>
      <c r="D1292" s="957"/>
      <c r="E1292" s="957"/>
      <c r="F1292" s="977"/>
      <c r="G1292" s="955"/>
      <c r="H1292" s="955"/>
      <c r="I1292" s="149" t="s">
        <v>5160</v>
      </c>
      <c r="J1292" s="955"/>
      <c r="K1292" s="955"/>
      <c r="L1292" s="957"/>
      <c r="M1292" s="961"/>
      <c r="N1292" s="957"/>
    </row>
    <row r="1293" spans="1:14">
      <c r="A1293" s="123">
        <v>8</v>
      </c>
      <c r="B1293" s="953"/>
      <c r="C1293" s="954" t="s">
        <v>5161</v>
      </c>
      <c r="D1293" s="956" t="s">
        <v>311</v>
      </c>
      <c r="E1293" s="956" t="s">
        <v>320</v>
      </c>
      <c r="F1293" s="954" t="s">
        <v>337</v>
      </c>
      <c r="G1293" s="954" t="s">
        <v>3168</v>
      </c>
      <c r="H1293" s="954" t="s">
        <v>3057</v>
      </c>
      <c r="I1293" s="506" t="s">
        <v>5313</v>
      </c>
      <c r="J1293" s="954" t="s">
        <v>638</v>
      </c>
      <c r="K1293" s="954" t="s">
        <v>692</v>
      </c>
      <c r="L1293" s="956" t="s">
        <v>309</v>
      </c>
      <c r="M1293" s="960">
        <v>500000</v>
      </c>
      <c r="N1293" s="957" t="s">
        <v>1206</v>
      </c>
    </row>
    <row r="1294" spans="1:14">
      <c r="A1294" s="123">
        <v>8</v>
      </c>
      <c r="B1294" s="953"/>
      <c r="C1294" s="955"/>
      <c r="D1294" s="957"/>
      <c r="E1294" s="957"/>
      <c r="F1294" s="955"/>
      <c r="G1294" s="955"/>
      <c r="H1294" s="955"/>
      <c r="I1294" s="149" t="s">
        <v>5162</v>
      </c>
      <c r="J1294" s="955"/>
      <c r="K1294" s="955"/>
      <c r="L1294" s="957"/>
      <c r="M1294" s="961"/>
      <c r="N1294" s="957"/>
    </row>
    <row r="1295" spans="1:14">
      <c r="A1295" s="123">
        <v>9</v>
      </c>
      <c r="B1295" s="953" t="s">
        <v>5170</v>
      </c>
      <c r="C1295" s="149" t="s">
        <v>5164</v>
      </c>
      <c r="D1295" s="148" t="s">
        <v>306</v>
      </c>
      <c r="E1295" s="148" t="s">
        <v>322</v>
      </c>
      <c r="F1295" s="148" t="s">
        <v>307</v>
      </c>
      <c r="G1295" s="149" t="s">
        <v>5094</v>
      </c>
      <c r="H1295" s="149" t="s">
        <v>5095</v>
      </c>
      <c r="I1295" s="149" t="s">
        <v>5059</v>
      </c>
      <c r="J1295" s="148" t="s">
        <v>664</v>
      </c>
      <c r="K1295" s="148" t="s">
        <v>1100</v>
      </c>
      <c r="L1295" s="148"/>
      <c r="M1295" s="485">
        <v>600000</v>
      </c>
      <c r="N1295" s="148" t="s">
        <v>5135</v>
      </c>
    </row>
    <row r="1296" spans="1:14">
      <c r="A1296" s="123">
        <v>9</v>
      </c>
      <c r="B1296" s="953"/>
      <c r="C1296" s="149" t="s">
        <v>5159</v>
      </c>
      <c r="D1296" s="148" t="s">
        <v>306</v>
      </c>
      <c r="E1296" s="148" t="s">
        <v>322</v>
      </c>
      <c r="F1296" s="148" t="s">
        <v>307</v>
      </c>
      <c r="G1296" s="149" t="s">
        <v>5051</v>
      </c>
      <c r="H1296" s="149" t="s">
        <v>4967</v>
      </c>
      <c r="I1296" s="149" t="s">
        <v>5059</v>
      </c>
      <c r="J1296" s="148" t="s">
        <v>664</v>
      </c>
      <c r="K1296" s="148" t="s">
        <v>5121</v>
      </c>
      <c r="L1296" s="148"/>
      <c r="M1296" s="485">
        <v>300000</v>
      </c>
      <c r="N1296" s="148" t="s">
        <v>5165</v>
      </c>
    </row>
    <row r="1297" spans="1:14">
      <c r="A1297" s="123">
        <v>9</v>
      </c>
      <c r="B1297" s="953"/>
      <c r="C1297" s="493" t="s">
        <v>5166</v>
      </c>
      <c r="D1297" s="494" t="s">
        <v>306</v>
      </c>
      <c r="E1297" s="494" t="s">
        <v>322</v>
      </c>
      <c r="F1297" s="494" t="s">
        <v>307</v>
      </c>
      <c r="G1297" s="493" t="s">
        <v>5167</v>
      </c>
      <c r="H1297" s="493" t="s">
        <v>662</v>
      </c>
      <c r="I1297" s="493" t="s">
        <v>1096</v>
      </c>
      <c r="J1297" s="494" t="s">
        <v>664</v>
      </c>
      <c r="K1297" s="494" t="s">
        <v>4971</v>
      </c>
      <c r="L1297" s="494"/>
      <c r="M1297" s="495">
        <v>500000</v>
      </c>
      <c r="N1297" s="148"/>
    </row>
    <row r="1298" spans="1:14">
      <c r="A1298" s="123">
        <v>9</v>
      </c>
      <c r="B1298" s="953"/>
      <c r="C1298" s="493" t="s">
        <v>5168</v>
      </c>
      <c r="D1298" s="494" t="s">
        <v>306</v>
      </c>
      <c r="E1298" s="494" t="s">
        <v>322</v>
      </c>
      <c r="F1298" s="494" t="s">
        <v>307</v>
      </c>
      <c r="G1298" s="493">
        <v>1570</v>
      </c>
      <c r="H1298" s="493" t="s">
        <v>3175</v>
      </c>
      <c r="I1298" s="493" t="s">
        <v>5018</v>
      </c>
      <c r="J1298" s="494" t="s">
        <v>664</v>
      </c>
      <c r="K1298" s="494" t="s">
        <v>4971</v>
      </c>
      <c r="L1298" s="494"/>
      <c r="M1298" s="495">
        <v>500000</v>
      </c>
      <c r="N1298" s="148"/>
    </row>
    <row r="1299" spans="1:14">
      <c r="A1299" s="123">
        <v>9</v>
      </c>
      <c r="B1299" s="953"/>
      <c r="C1299" s="531" t="s">
        <v>5169</v>
      </c>
      <c r="D1299" s="523" t="s">
        <v>306</v>
      </c>
      <c r="E1299" s="523" t="s">
        <v>322</v>
      </c>
      <c r="F1299" s="523" t="s">
        <v>307</v>
      </c>
      <c r="G1299" s="531">
        <v>8263</v>
      </c>
      <c r="H1299" s="531" t="s">
        <v>3175</v>
      </c>
      <c r="I1299" s="531" t="s">
        <v>1096</v>
      </c>
      <c r="J1299" s="523" t="s">
        <v>664</v>
      </c>
      <c r="K1299" s="523" t="s">
        <v>4961</v>
      </c>
      <c r="L1299" s="523"/>
      <c r="M1299" s="524">
        <v>1000000</v>
      </c>
      <c r="N1299" s="148"/>
    </row>
    <row r="1300" spans="1:14">
      <c r="A1300" s="123">
        <v>9</v>
      </c>
      <c r="B1300" s="953"/>
      <c r="C1300" s="531" t="s">
        <v>5166</v>
      </c>
      <c r="D1300" s="523" t="s">
        <v>306</v>
      </c>
      <c r="E1300" s="523" t="s">
        <v>322</v>
      </c>
      <c r="F1300" s="523" t="s">
        <v>307</v>
      </c>
      <c r="G1300" s="531">
        <v>594</v>
      </c>
      <c r="H1300" s="531" t="s">
        <v>1047</v>
      </c>
      <c r="I1300" s="531" t="s">
        <v>4915</v>
      </c>
      <c r="J1300" s="523" t="s">
        <v>664</v>
      </c>
      <c r="K1300" s="523" t="s">
        <v>3101</v>
      </c>
      <c r="L1300" s="523"/>
      <c r="M1300" s="524">
        <v>500000</v>
      </c>
      <c r="N1300" s="148"/>
    </row>
    <row r="1301" spans="1:14">
      <c r="A1301" s="123">
        <v>9</v>
      </c>
      <c r="B1301" s="953"/>
      <c r="C1301" s="531" t="s">
        <v>5168</v>
      </c>
      <c r="D1301" s="523" t="s">
        <v>306</v>
      </c>
      <c r="E1301" s="523" t="s">
        <v>322</v>
      </c>
      <c r="F1301" s="523" t="s">
        <v>307</v>
      </c>
      <c r="G1301" s="531" t="s">
        <v>4938</v>
      </c>
      <c r="H1301" s="531" t="s">
        <v>1911</v>
      </c>
      <c r="I1301" s="531" t="s">
        <v>1096</v>
      </c>
      <c r="J1301" s="523" t="s">
        <v>664</v>
      </c>
      <c r="K1301" s="523" t="s">
        <v>3101</v>
      </c>
      <c r="L1301" s="523"/>
      <c r="M1301" s="524">
        <v>500000</v>
      </c>
      <c r="N1301" s="148"/>
    </row>
    <row r="1302" spans="1:14">
      <c r="A1302" s="123">
        <v>9</v>
      </c>
      <c r="B1302" s="953" t="s">
        <v>5196</v>
      </c>
      <c r="C1302" s="506" t="s">
        <v>5171</v>
      </c>
      <c r="D1302" s="508" t="s">
        <v>311</v>
      </c>
      <c r="E1302" s="508" t="s">
        <v>320</v>
      </c>
      <c r="F1302" s="506" t="s">
        <v>337</v>
      </c>
      <c r="G1302" s="506" t="s">
        <v>3168</v>
      </c>
      <c r="H1302" s="506" t="s">
        <v>3057</v>
      </c>
      <c r="I1302" s="506" t="s">
        <v>5314</v>
      </c>
      <c r="J1302" s="506"/>
      <c r="K1302" s="506" t="s">
        <v>692</v>
      </c>
      <c r="L1302" s="508" t="s">
        <v>309</v>
      </c>
      <c r="M1302" s="509">
        <v>600000</v>
      </c>
      <c r="N1302" s="148" t="s">
        <v>5172</v>
      </c>
    </row>
    <row r="1303" spans="1:14">
      <c r="A1303" s="123">
        <v>9</v>
      </c>
      <c r="B1303" s="953"/>
      <c r="C1303" s="149" t="s">
        <v>5161</v>
      </c>
      <c r="D1303" s="148" t="s">
        <v>311</v>
      </c>
      <c r="E1303" s="148" t="s">
        <v>675</v>
      </c>
      <c r="F1303" s="149" t="s">
        <v>5173</v>
      </c>
      <c r="G1303" s="149" t="s">
        <v>403</v>
      </c>
      <c r="H1303" s="149" t="s">
        <v>5029</v>
      </c>
      <c r="I1303" s="149" t="s">
        <v>5174</v>
      </c>
      <c r="J1303" s="149"/>
      <c r="K1303" s="149" t="s">
        <v>4936</v>
      </c>
      <c r="L1303" s="148" t="s">
        <v>309</v>
      </c>
      <c r="M1303" s="491">
        <v>600000</v>
      </c>
      <c r="N1303" s="148" t="s">
        <v>5172</v>
      </c>
    </row>
    <row r="1304" spans="1:14">
      <c r="A1304" s="123">
        <v>9</v>
      </c>
      <c r="B1304" s="953"/>
      <c r="C1304" s="954" t="s">
        <v>5175</v>
      </c>
      <c r="D1304" s="956" t="s">
        <v>311</v>
      </c>
      <c r="E1304" s="956" t="s">
        <v>320</v>
      </c>
      <c r="F1304" s="954" t="s">
        <v>337</v>
      </c>
      <c r="G1304" s="954" t="s">
        <v>3168</v>
      </c>
      <c r="H1304" s="954" t="s">
        <v>3057</v>
      </c>
      <c r="I1304" s="510" t="s">
        <v>5176</v>
      </c>
      <c r="J1304" s="954" t="s">
        <v>638</v>
      </c>
      <c r="K1304" s="954" t="s">
        <v>713</v>
      </c>
      <c r="L1304" s="956" t="s">
        <v>309</v>
      </c>
      <c r="M1304" s="960">
        <v>250000</v>
      </c>
      <c r="N1304" s="957" t="s">
        <v>5032</v>
      </c>
    </row>
    <row r="1305" spans="1:14">
      <c r="A1305" s="123">
        <v>9</v>
      </c>
      <c r="B1305" s="953"/>
      <c r="C1305" s="955"/>
      <c r="D1305" s="957"/>
      <c r="E1305" s="957"/>
      <c r="F1305" s="955"/>
      <c r="G1305" s="955"/>
      <c r="H1305" s="955"/>
      <c r="I1305" s="476" t="s">
        <v>5177</v>
      </c>
      <c r="J1305" s="955"/>
      <c r="K1305" s="955"/>
      <c r="L1305" s="957"/>
      <c r="M1305" s="961"/>
      <c r="N1305" s="957"/>
    </row>
    <row r="1306" spans="1:14">
      <c r="A1306" s="123">
        <v>9</v>
      </c>
      <c r="B1306" s="953"/>
      <c r="C1306" s="954" t="s">
        <v>5175</v>
      </c>
      <c r="D1306" s="956" t="s">
        <v>311</v>
      </c>
      <c r="E1306" s="956" t="s">
        <v>320</v>
      </c>
      <c r="F1306" s="954" t="s">
        <v>5178</v>
      </c>
      <c r="G1306" s="506" t="s">
        <v>689</v>
      </c>
      <c r="H1306" s="954" t="s">
        <v>5180</v>
      </c>
      <c r="I1306" s="506" t="s">
        <v>5315</v>
      </c>
      <c r="J1306" s="954"/>
      <c r="K1306" s="954" t="s">
        <v>713</v>
      </c>
      <c r="L1306" s="956" t="s">
        <v>309</v>
      </c>
      <c r="M1306" s="960">
        <v>250000</v>
      </c>
      <c r="N1306" s="957" t="s">
        <v>5032</v>
      </c>
    </row>
    <row r="1307" spans="1:14">
      <c r="A1307" s="123">
        <v>9</v>
      </c>
      <c r="B1307" s="953"/>
      <c r="C1307" s="955"/>
      <c r="D1307" s="957"/>
      <c r="E1307" s="957"/>
      <c r="F1307" s="955"/>
      <c r="G1307" s="149" t="s">
        <v>5179</v>
      </c>
      <c r="H1307" s="955"/>
      <c r="I1307" s="149" t="s">
        <v>5181</v>
      </c>
      <c r="J1307" s="955"/>
      <c r="K1307" s="955"/>
      <c r="L1307" s="957"/>
      <c r="M1307" s="961"/>
      <c r="N1307" s="957"/>
    </row>
    <row r="1308" spans="1:14">
      <c r="A1308" s="123">
        <v>9</v>
      </c>
      <c r="B1308" s="953"/>
      <c r="C1308" s="149" t="s">
        <v>5175</v>
      </c>
      <c r="D1308" s="148" t="s">
        <v>311</v>
      </c>
      <c r="E1308" s="148" t="s">
        <v>320</v>
      </c>
      <c r="F1308" s="149" t="s">
        <v>720</v>
      </c>
      <c r="G1308" s="149" t="s">
        <v>1201</v>
      </c>
      <c r="H1308" s="149" t="s">
        <v>3169</v>
      </c>
      <c r="I1308" s="476" t="s">
        <v>5182</v>
      </c>
      <c r="J1308" s="149"/>
      <c r="K1308" s="149" t="s">
        <v>3192</v>
      </c>
      <c r="L1308" s="148" t="s">
        <v>309</v>
      </c>
      <c r="M1308" s="491">
        <v>300000</v>
      </c>
      <c r="N1308" s="148" t="s">
        <v>1925</v>
      </c>
    </row>
    <row r="1309" spans="1:14">
      <c r="A1309" s="123">
        <v>9</v>
      </c>
      <c r="B1309" s="953"/>
      <c r="C1309" s="954" t="s">
        <v>5183</v>
      </c>
      <c r="D1309" s="956" t="s">
        <v>311</v>
      </c>
      <c r="E1309" s="956" t="s">
        <v>320</v>
      </c>
      <c r="F1309" s="954" t="s">
        <v>337</v>
      </c>
      <c r="G1309" s="506" t="s">
        <v>3401</v>
      </c>
      <c r="H1309" s="954" t="s">
        <v>5029</v>
      </c>
      <c r="I1309" s="954" t="s">
        <v>5316</v>
      </c>
      <c r="J1309" s="954"/>
      <c r="K1309" s="954" t="s">
        <v>692</v>
      </c>
      <c r="L1309" s="956" t="s">
        <v>309</v>
      </c>
      <c r="M1309" s="960">
        <v>500000</v>
      </c>
      <c r="N1309" s="957" t="s">
        <v>5032</v>
      </c>
    </row>
    <row r="1310" spans="1:14">
      <c r="A1310" s="123">
        <v>9</v>
      </c>
      <c r="B1310" s="953"/>
      <c r="C1310" s="955"/>
      <c r="D1310" s="957"/>
      <c r="E1310" s="957"/>
      <c r="F1310" s="955"/>
      <c r="G1310" s="149" t="s">
        <v>5184</v>
      </c>
      <c r="H1310" s="955"/>
      <c r="I1310" s="955"/>
      <c r="J1310" s="955"/>
      <c r="K1310" s="955"/>
      <c r="L1310" s="957"/>
      <c r="M1310" s="961"/>
      <c r="N1310" s="957"/>
    </row>
    <row r="1311" spans="1:14" ht="24">
      <c r="A1311" s="123">
        <v>9</v>
      </c>
      <c r="B1311" s="953"/>
      <c r="C1311" s="149" t="s">
        <v>5185</v>
      </c>
      <c r="D1311" s="148" t="s">
        <v>311</v>
      </c>
      <c r="E1311" s="148" t="s">
        <v>675</v>
      </c>
      <c r="F1311" s="149" t="s">
        <v>720</v>
      </c>
      <c r="G1311" s="149">
        <v>7060</v>
      </c>
      <c r="H1311" s="149" t="s">
        <v>717</v>
      </c>
      <c r="I1311" s="476" t="s">
        <v>5186</v>
      </c>
      <c r="J1311" s="149"/>
      <c r="K1311" s="149" t="s">
        <v>731</v>
      </c>
      <c r="L1311" s="148" t="s">
        <v>309</v>
      </c>
      <c r="M1311" s="491">
        <v>300000</v>
      </c>
      <c r="N1311" s="148" t="s">
        <v>5032</v>
      </c>
    </row>
    <row r="1312" spans="1:14">
      <c r="A1312" s="123">
        <v>9</v>
      </c>
      <c r="B1312" s="953"/>
      <c r="C1312" s="954" t="s">
        <v>5187</v>
      </c>
      <c r="D1312" s="956" t="s">
        <v>311</v>
      </c>
      <c r="E1312" s="956" t="s">
        <v>675</v>
      </c>
      <c r="F1312" s="954" t="s">
        <v>5188</v>
      </c>
      <c r="G1312" s="507" t="s">
        <v>1919</v>
      </c>
      <c r="H1312" s="954" t="s">
        <v>347</v>
      </c>
      <c r="I1312" s="954" t="s">
        <v>5319</v>
      </c>
      <c r="J1312" s="954"/>
      <c r="K1312" s="954" t="s">
        <v>692</v>
      </c>
      <c r="L1312" s="956" t="s">
        <v>309</v>
      </c>
      <c r="M1312" s="974">
        <v>500000</v>
      </c>
      <c r="N1312" s="957" t="s">
        <v>1925</v>
      </c>
    </row>
    <row r="1313" spans="1:14">
      <c r="A1313" s="123">
        <v>9</v>
      </c>
      <c r="B1313" s="953"/>
      <c r="C1313" s="955"/>
      <c r="D1313" s="957"/>
      <c r="E1313" s="957"/>
      <c r="F1313" s="955"/>
      <c r="G1313" s="475" t="s">
        <v>5189</v>
      </c>
      <c r="H1313" s="955"/>
      <c r="I1313" s="955"/>
      <c r="J1313" s="955"/>
      <c r="K1313" s="955"/>
      <c r="L1313" s="957"/>
      <c r="M1313" s="975"/>
      <c r="N1313" s="957"/>
    </row>
    <row r="1314" spans="1:14">
      <c r="A1314" s="123">
        <v>10</v>
      </c>
      <c r="B1314" s="953" t="s">
        <v>5170</v>
      </c>
      <c r="C1314" s="493" t="s">
        <v>5190</v>
      </c>
      <c r="D1314" s="494" t="s">
        <v>306</v>
      </c>
      <c r="E1314" s="494" t="s">
        <v>322</v>
      </c>
      <c r="F1314" s="494" t="s">
        <v>307</v>
      </c>
      <c r="G1314" s="493">
        <v>8263</v>
      </c>
      <c r="H1314" s="493" t="s">
        <v>3175</v>
      </c>
      <c r="I1314" s="493" t="s">
        <v>1096</v>
      </c>
      <c r="J1314" s="494" t="s">
        <v>664</v>
      </c>
      <c r="K1314" s="494" t="s">
        <v>4969</v>
      </c>
      <c r="L1314" s="494"/>
      <c r="M1314" s="495">
        <v>750000</v>
      </c>
      <c r="N1314" s="148"/>
    </row>
    <row r="1315" spans="1:14">
      <c r="A1315" s="123">
        <v>10</v>
      </c>
      <c r="B1315" s="953"/>
      <c r="C1315" s="493" t="s">
        <v>5191</v>
      </c>
      <c r="D1315" s="494" t="s">
        <v>306</v>
      </c>
      <c r="E1315" s="494" t="s">
        <v>322</v>
      </c>
      <c r="F1315" s="494" t="s">
        <v>307</v>
      </c>
      <c r="G1315" s="493" t="s">
        <v>5192</v>
      </c>
      <c r="H1315" s="493" t="s">
        <v>5193</v>
      </c>
      <c r="I1315" s="493" t="s">
        <v>5194</v>
      </c>
      <c r="J1315" s="494" t="s">
        <v>664</v>
      </c>
      <c r="K1315" s="494" t="s">
        <v>4971</v>
      </c>
      <c r="L1315" s="494"/>
      <c r="M1315" s="495">
        <v>500000</v>
      </c>
      <c r="N1315" s="148"/>
    </row>
    <row r="1316" spans="1:14">
      <c r="A1316" s="123">
        <v>10</v>
      </c>
      <c r="B1316" s="953"/>
      <c r="C1316" s="531" t="s">
        <v>5195</v>
      </c>
      <c r="D1316" s="523" t="s">
        <v>306</v>
      </c>
      <c r="E1316" s="523" t="s">
        <v>322</v>
      </c>
      <c r="F1316" s="523" t="s">
        <v>307</v>
      </c>
      <c r="G1316" s="531" t="s">
        <v>4964</v>
      </c>
      <c r="H1316" s="531" t="s">
        <v>347</v>
      </c>
      <c r="I1316" s="531" t="s">
        <v>4915</v>
      </c>
      <c r="J1316" s="523" t="s">
        <v>664</v>
      </c>
      <c r="K1316" s="523" t="s">
        <v>3182</v>
      </c>
      <c r="L1316" s="523"/>
      <c r="M1316" s="524">
        <v>1250000</v>
      </c>
      <c r="N1316" s="148"/>
    </row>
    <row r="1317" spans="1:14">
      <c r="A1317" s="123">
        <v>10</v>
      </c>
      <c r="B1317" s="953"/>
      <c r="C1317" s="531" t="s">
        <v>5195</v>
      </c>
      <c r="D1317" s="523" t="s">
        <v>306</v>
      </c>
      <c r="E1317" s="523" t="s">
        <v>322</v>
      </c>
      <c r="F1317" s="523" t="s">
        <v>307</v>
      </c>
      <c r="G1317" s="531" t="s">
        <v>4803</v>
      </c>
      <c r="H1317" s="531" t="s">
        <v>662</v>
      </c>
      <c r="I1317" s="531" t="s">
        <v>1096</v>
      </c>
      <c r="J1317" s="523" t="s">
        <v>664</v>
      </c>
      <c r="K1317" s="523" t="s">
        <v>3182</v>
      </c>
      <c r="L1317" s="523"/>
      <c r="M1317" s="524">
        <v>1250000</v>
      </c>
      <c r="N1317" s="148"/>
    </row>
    <row r="1318" spans="1:14">
      <c r="A1318" s="123">
        <v>10</v>
      </c>
      <c r="B1318" s="953" t="s">
        <v>5047</v>
      </c>
      <c r="C1318" s="149" t="s">
        <v>5183</v>
      </c>
      <c r="D1318" s="148" t="s">
        <v>311</v>
      </c>
      <c r="E1318" s="148" t="s">
        <v>320</v>
      </c>
      <c r="F1318" s="149" t="s">
        <v>337</v>
      </c>
      <c r="G1318" s="149" t="s">
        <v>3168</v>
      </c>
      <c r="H1318" s="149" t="s">
        <v>3057</v>
      </c>
      <c r="I1318" s="476" t="s">
        <v>5197</v>
      </c>
      <c r="J1318" s="149"/>
      <c r="K1318" s="149" t="s">
        <v>731</v>
      </c>
      <c r="L1318" s="148" t="s">
        <v>309</v>
      </c>
      <c r="M1318" s="491">
        <v>300000</v>
      </c>
      <c r="N1318" s="148" t="s">
        <v>5198</v>
      </c>
    </row>
    <row r="1319" spans="1:14">
      <c r="A1319" s="123">
        <v>10</v>
      </c>
      <c r="B1319" s="953"/>
      <c r="C1319" s="506" t="s">
        <v>5317</v>
      </c>
      <c r="D1319" s="508" t="s">
        <v>311</v>
      </c>
      <c r="E1319" s="508" t="s">
        <v>320</v>
      </c>
      <c r="F1319" s="507" t="s">
        <v>337</v>
      </c>
      <c r="G1319" s="506" t="s">
        <v>3054</v>
      </c>
      <c r="H1319" s="506" t="s">
        <v>3057</v>
      </c>
      <c r="I1319" s="506" t="s">
        <v>5318</v>
      </c>
      <c r="J1319" s="506" t="s">
        <v>638</v>
      </c>
      <c r="K1319" s="506" t="s">
        <v>692</v>
      </c>
      <c r="L1319" s="508" t="s">
        <v>309</v>
      </c>
      <c r="M1319" s="509">
        <v>500000</v>
      </c>
      <c r="N1319" s="148" t="s">
        <v>5198</v>
      </c>
    </row>
    <row r="1320" spans="1:14" ht="25.5">
      <c r="A1320" s="123">
        <v>10</v>
      </c>
      <c r="B1320" s="953"/>
      <c r="C1320" s="149" t="s">
        <v>5187</v>
      </c>
      <c r="D1320" s="148" t="s">
        <v>311</v>
      </c>
      <c r="E1320" s="148" t="s">
        <v>675</v>
      </c>
      <c r="F1320" s="149" t="s">
        <v>5199</v>
      </c>
      <c r="G1320" s="149">
        <v>7064</v>
      </c>
      <c r="H1320" s="149" t="s">
        <v>1238</v>
      </c>
      <c r="I1320" s="149" t="s">
        <v>5200</v>
      </c>
      <c r="J1320" s="149" t="s">
        <v>702</v>
      </c>
      <c r="K1320" s="149" t="s">
        <v>731</v>
      </c>
      <c r="L1320" s="148" t="s">
        <v>309</v>
      </c>
      <c r="M1320" s="491">
        <v>300000</v>
      </c>
      <c r="N1320" s="148" t="s">
        <v>5198</v>
      </c>
    </row>
    <row r="1321" spans="1:14">
      <c r="A1321" s="123">
        <v>10</v>
      </c>
      <c r="B1321" s="953"/>
      <c r="C1321" s="955" t="s">
        <v>5201</v>
      </c>
      <c r="D1321" s="957" t="s">
        <v>311</v>
      </c>
      <c r="E1321" s="957" t="s">
        <v>320</v>
      </c>
      <c r="F1321" s="955" t="s">
        <v>337</v>
      </c>
      <c r="G1321" s="955" t="s">
        <v>3168</v>
      </c>
      <c r="H1321" s="955" t="s">
        <v>3057</v>
      </c>
      <c r="I1321" s="476" t="s">
        <v>5176</v>
      </c>
      <c r="J1321" s="955" t="s">
        <v>638</v>
      </c>
      <c r="K1321" s="955" t="s">
        <v>705</v>
      </c>
      <c r="L1321" s="957" t="s">
        <v>309</v>
      </c>
      <c r="M1321" s="961">
        <v>500000</v>
      </c>
      <c r="N1321" s="957" t="s">
        <v>1206</v>
      </c>
    </row>
    <row r="1322" spans="1:14">
      <c r="A1322" s="123">
        <v>10</v>
      </c>
      <c r="B1322" s="953"/>
      <c r="C1322" s="955"/>
      <c r="D1322" s="957"/>
      <c r="E1322" s="957"/>
      <c r="F1322" s="955"/>
      <c r="G1322" s="955"/>
      <c r="H1322" s="955"/>
      <c r="I1322" s="476" t="s">
        <v>5177</v>
      </c>
      <c r="J1322" s="955"/>
      <c r="K1322" s="955"/>
      <c r="L1322" s="957"/>
      <c r="M1322" s="961"/>
      <c r="N1322" s="957"/>
    </row>
    <row r="1323" spans="1:14">
      <c r="A1323" s="123">
        <v>10</v>
      </c>
      <c r="B1323" s="953"/>
      <c r="C1323" s="149" t="s">
        <v>5202</v>
      </c>
      <c r="D1323" s="148" t="s">
        <v>311</v>
      </c>
      <c r="E1323" s="148" t="s">
        <v>675</v>
      </c>
      <c r="F1323" s="149" t="s">
        <v>720</v>
      </c>
      <c r="G1323" s="149" t="s">
        <v>1756</v>
      </c>
      <c r="H1323" s="149" t="s">
        <v>347</v>
      </c>
      <c r="I1323" s="149" t="s">
        <v>5203</v>
      </c>
      <c r="J1323" s="149" t="s">
        <v>638</v>
      </c>
      <c r="K1323" s="149" t="s">
        <v>5204</v>
      </c>
      <c r="L1323" s="148" t="s">
        <v>309</v>
      </c>
      <c r="M1323" s="491">
        <v>250000</v>
      </c>
      <c r="N1323" s="148" t="s">
        <v>5032</v>
      </c>
    </row>
    <row r="1324" spans="1:14">
      <c r="A1324" s="123">
        <v>10</v>
      </c>
      <c r="B1324" s="953"/>
      <c r="C1324" s="506" t="s">
        <v>5202</v>
      </c>
      <c r="D1324" s="508" t="s">
        <v>311</v>
      </c>
      <c r="E1324" s="508" t="s">
        <v>675</v>
      </c>
      <c r="F1324" s="506" t="s">
        <v>720</v>
      </c>
      <c r="G1324" s="506" t="s">
        <v>1756</v>
      </c>
      <c r="H1324" s="506" t="s">
        <v>347</v>
      </c>
      <c r="I1324" s="506" t="s">
        <v>5320</v>
      </c>
      <c r="J1324" s="506" t="s">
        <v>638</v>
      </c>
      <c r="K1324" s="506" t="s">
        <v>713</v>
      </c>
      <c r="L1324" s="508" t="s">
        <v>309</v>
      </c>
      <c r="M1324" s="509">
        <v>250000</v>
      </c>
      <c r="N1324" s="148" t="s">
        <v>5032</v>
      </c>
    </row>
    <row r="1325" spans="1:14">
      <c r="A1325" s="123">
        <v>10</v>
      </c>
      <c r="B1325" s="953"/>
      <c r="C1325" s="149" t="s">
        <v>5202</v>
      </c>
      <c r="D1325" s="148" t="s">
        <v>311</v>
      </c>
      <c r="E1325" s="148" t="s">
        <v>675</v>
      </c>
      <c r="F1325" s="149" t="s">
        <v>720</v>
      </c>
      <c r="G1325" s="149" t="s">
        <v>5205</v>
      </c>
      <c r="H1325" s="149" t="s">
        <v>730</v>
      </c>
      <c r="I1325" s="149" t="s">
        <v>5206</v>
      </c>
      <c r="J1325" s="149" t="s">
        <v>638</v>
      </c>
      <c r="K1325" s="149" t="s">
        <v>713</v>
      </c>
      <c r="L1325" s="148" t="s">
        <v>309</v>
      </c>
      <c r="M1325" s="491">
        <v>250000</v>
      </c>
      <c r="N1325" s="148" t="s">
        <v>5032</v>
      </c>
    </row>
    <row r="1326" spans="1:14">
      <c r="A1326" s="123">
        <v>10</v>
      </c>
      <c r="B1326" s="953"/>
      <c r="C1326" s="955" t="s">
        <v>5202</v>
      </c>
      <c r="D1326" s="957" t="s">
        <v>311</v>
      </c>
      <c r="E1326" s="957" t="s">
        <v>320</v>
      </c>
      <c r="F1326" s="955" t="s">
        <v>337</v>
      </c>
      <c r="G1326" s="955" t="s">
        <v>3168</v>
      </c>
      <c r="H1326" s="955" t="s">
        <v>3057</v>
      </c>
      <c r="I1326" s="476" t="s">
        <v>5176</v>
      </c>
      <c r="J1326" s="955"/>
      <c r="K1326" s="955" t="s">
        <v>705</v>
      </c>
      <c r="L1326" s="957" t="s">
        <v>309</v>
      </c>
      <c r="M1326" s="961">
        <v>500000</v>
      </c>
      <c r="N1326" s="957" t="s">
        <v>1206</v>
      </c>
    </row>
    <row r="1327" spans="1:14">
      <c r="A1327" s="123">
        <v>10</v>
      </c>
      <c r="B1327" s="953"/>
      <c r="C1327" s="955"/>
      <c r="D1327" s="957"/>
      <c r="E1327" s="957"/>
      <c r="F1327" s="955"/>
      <c r="G1327" s="955"/>
      <c r="H1327" s="955"/>
      <c r="I1327" s="476" t="s">
        <v>5177</v>
      </c>
      <c r="J1327" s="955"/>
      <c r="K1327" s="955"/>
      <c r="L1327" s="957"/>
      <c r="M1327" s="961"/>
      <c r="N1327" s="957"/>
    </row>
    <row r="1328" spans="1:14" ht="25.5">
      <c r="A1328" s="123">
        <v>10</v>
      </c>
      <c r="B1328" s="953"/>
      <c r="C1328" s="149" t="s">
        <v>5202</v>
      </c>
      <c r="D1328" s="148" t="s">
        <v>311</v>
      </c>
      <c r="E1328" s="148" t="s">
        <v>320</v>
      </c>
      <c r="F1328" s="149" t="s">
        <v>709</v>
      </c>
      <c r="G1328" s="149" t="s">
        <v>3098</v>
      </c>
      <c r="H1328" s="149" t="s">
        <v>3099</v>
      </c>
      <c r="I1328" s="149" t="s">
        <v>5207</v>
      </c>
      <c r="J1328" s="149"/>
      <c r="K1328" s="149" t="s">
        <v>5208</v>
      </c>
      <c r="L1328" s="148" t="s">
        <v>309</v>
      </c>
      <c r="M1328" s="491">
        <v>600000</v>
      </c>
      <c r="N1328" s="148" t="s">
        <v>5032</v>
      </c>
    </row>
    <row r="1329" spans="1:14">
      <c r="A1329" s="123">
        <v>10</v>
      </c>
      <c r="B1329" s="953"/>
      <c r="C1329" s="954" t="s">
        <v>5209</v>
      </c>
      <c r="D1329" s="956" t="s">
        <v>311</v>
      </c>
      <c r="E1329" s="956" t="s">
        <v>675</v>
      </c>
      <c r="F1329" s="506" t="s">
        <v>5210</v>
      </c>
      <c r="G1329" s="954" t="s">
        <v>5212</v>
      </c>
      <c r="H1329" s="954" t="s">
        <v>662</v>
      </c>
      <c r="I1329" s="954" t="s">
        <v>5321</v>
      </c>
      <c r="J1329" s="954" t="s">
        <v>638</v>
      </c>
      <c r="K1329" s="954" t="s">
        <v>713</v>
      </c>
      <c r="L1329" s="956" t="s">
        <v>309</v>
      </c>
      <c r="M1329" s="960">
        <v>250000</v>
      </c>
      <c r="N1329" s="957" t="s">
        <v>5032</v>
      </c>
    </row>
    <row r="1330" spans="1:14">
      <c r="A1330" s="123">
        <v>10</v>
      </c>
      <c r="B1330" s="953"/>
      <c r="C1330" s="955"/>
      <c r="D1330" s="957"/>
      <c r="E1330" s="957"/>
      <c r="F1330" s="149" t="s">
        <v>5211</v>
      </c>
      <c r="G1330" s="955"/>
      <c r="H1330" s="955"/>
      <c r="I1330" s="955"/>
      <c r="J1330" s="955"/>
      <c r="K1330" s="955"/>
      <c r="L1330" s="957"/>
      <c r="M1330" s="961"/>
      <c r="N1330" s="957"/>
    </row>
    <row r="1331" spans="1:14">
      <c r="A1331" s="123">
        <v>10</v>
      </c>
      <c r="B1331" s="953"/>
      <c r="C1331" s="954" t="s">
        <v>5213</v>
      </c>
      <c r="D1331" s="956" t="s">
        <v>311</v>
      </c>
      <c r="E1331" s="956" t="s">
        <v>675</v>
      </c>
      <c r="F1331" s="954" t="s">
        <v>5214</v>
      </c>
      <c r="G1331" s="507" t="s">
        <v>5126</v>
      </c>
      <c r="H1331" s="958" t="s">
        <v>347</v>
      </c>
      <c r="I1331" s="506" t="s">
        <v>5322</v>
      </c>
      <c r="J1331" s="954"/>
      <c r="K1331" s="954" t="s">
        <v>692</v>
      </c>
      <c r="L1331" s="956" t="s">
        <v>309</v>
      </c>
      <c r="M1331" s="960">
        <v>500000</v>
      </c>
      <c r="N1331" s="957" t="s">
        <v>5032</v>
      </c>
    </row>
    <row r="1332" spans="1:14">
      <c r="A1332" s="123">
        <v>10</v>
      </c>
      <c r="B1332" s="953"/>
      <c r="C1332" s="955"/>
      <c r="D1332" s="957"/>
      <c r="E1332" s="957"/>
      <c r="F1332" s="955"/>
      <c r="G1332" s="475" t="s">
        <v>5215</v>
      </c>
      <c r="H1332" s="959"/>
      <c r="I1332" s="149" t="s">
        <v>5217</v>
      </c>
      <c r="J1332" s="955"/>
      <c r="K1332" s="955"/>
      <c r="L1332" s="957"/>
      <c r="M1332" s="961"/>
      <c r="N1332" s="957"/>
    </row>
    <row r="1333" spans="1:14">
      <c r="A1333" s="123">
        <v>11</v>
      </c>
      <c r="B1333" s="953" t="s">
        <v>5233</v>
      </c>
      <c r="C1333" s="476" t="s">
        <v>5218</v>
      </c>
      <c r="D1333" s="478" t="s">
        <v>306</v>
      </c>
      <c r="E1333" s="478" t="s">
        <v>322</v>
      </c>
      <c r="F1333" s="478" t="s">
        <v>307</v>
      </c>
      <c r="G1333" s="476">
        <v>7062</v>
      </c>
      <c r="H1333" s="476" t="s">
        <v>1814</v>
      </c>
      <c r="I1333" s="476" t="s">
        <v>5219</v>
      </c>
      <c r="J1333" s="478" t="s">
        <v>664</v>
      </c>
      <c r="K1333" s="478" t="s">
        <v>5121</v>
      </c>
      <c r="L1333" s="478"/>
      <c r="M1333" s="481">
        <v>300000</v>
      </c>
      <c r="N1333" s="478" t="s">
        <v>5220</v>
      </c>
    </row>
    <row r="1334" spans="1:14">
      <c r="A1334" s="123">
        <v>11</v>
      </c>
      <c r="B1334" s="953"/>
      <c r="C1334" s="496" t="s">
        <v>5221</v>
      </c>
      <c r="D1334" s="497" t="s">
        <v>306</v>
      </c>
      <c r="E1334" s="497" t="s">
        <v>322</v>
      </c>
      <c r="F1334" s="497" t="s">
        <v>307</v>
      </c>
      <c r="G1334" s="496" t="s">
        <v>4938</v>
      </c>
      <c r="H1334" s="496" t="s">
        <v>3175</v>
      </c>
      <c r="I1334" s="496" t="s">
        <v>1096</v>
      </c>
      <c r="J1334" s="497" t="s">
        <v>664</v>
      </c>
      <c r="K1334" s="497" t="s">
        <v>5111</v>
      </c>
      <c r="L1334" s="497"/>
      <c r="M1334" s="498">
        <v>1250000</v>
      </c>
      <c r="N1334" s="478"/>
    </row>
    <row r="1335" spans="1:14">
      <c r="A1335" s="123">
        <v>11</v>
      </c>
      <c r="B1335" s="953"/>
      <c r="C1335" s="532" t="s">
        <v>5221</v>
      </c>
      <c r="D1335" s="525" t="s">
        <v>306</v>
      </c>
      <c r="E1335" s="525" t="s">
        <v>322</v>
      </c>
      <c r="F1335" s="525" t="s">
        <v>307</v>
      </c>
      <c r="G1335" s="532" t="s">
        <v>4938</v>
      </c>
      <c r="H1335" s="532" t="s">
        <v>3175</v>
      </c>
      <c r="I1335" s="532" t="s">
        <v>5327</v>
      </c>
      <c r="J1335" s="525" t="s">
        <v>664</v>
      </c>
      <c r="K1335" s="525" t="s">
        <v>5222</v>
      </c>
      <c r="L1335" s="525"/>
      <c r="M1335" s="526">
        <v>750000</v>
      </c>
      <c r="N1335" s="478"/>
    </row>
    <row r="1336" spans="1:14">
      <c r="A1336" s="123">
        <v>11</v>
      </c>
      <c r="B1336" s="953"/>
      <c r="C1336" s="532" t="s">
        <v>5221</v>
      </c>
      <c r="D1336" s="525" t="s">
        <v>306</v>
      </c>
      <c r="E1336" s="525" t="s">
        <v>322</v>
      </c>
      <c r="F1336" s="525" t="s">
        <v>307</v>
      </c>
      <c r="G1336" s="532" t="s">
        <v>4938</v>
      </c>
      <c r="H1336" s="532" t="s">
        <v>3175</v>
      </c>
      <c r="I1336" s="532" t="s">
        <v>5194</v>
      </c>
      <c r="J1336" s="525" t="s">
        <v>664</v>
      </c>
      <c r="K1336" s="525" t="s">
        <v>5223</v>
      </c>
      <c r="L1336" s="525"/>
      <c r="M1336" s="526">
        <v>500000</v>
      </c>
      <c r="N1336" s="478"/>
    </row>
    <row r="1337" spans="1:14">
      <c r="A1337" s="123">
        <v>11</v>
      </c>
      <c r="B1337" s="953"/>
      <c r="C1337" s="532" t="s">
        <v>5221</v>
      </c>
      <c r="D1337" s="525" t="s">
        <v>306</v>
      </c>
      <c r="E1337" s="525" t="s">
        <v>322</v>
      </c>
      <c r="F1337" s="525" t="s">
        <v>307</v>
      </c>
      <c r="G1337" s="532" t="s">
        <v>5224</v>
      </c>
      <c r="H1337" s="532" t="s">
        <v>3113</v>
      </c>
      <c r="I1337" s="532" t="s">
        <v>4915</v>
      </c>
      <c r="J1337" s="525" t="s">
        <v>664</v>
      </c>
      <c r="K1337" s="525" t="s">
        <v>3182</v>
      </c>
      <c r="L1337" s="525"/>
      <c r="M1337" s="526">
        <v>1250000</v>
      </c>
      <c r="N1337" s="478"/>
    </row>
    <row r="1338" spans="1:14">
      <c r="A1338" s="123">
        <v>11</v>
      </c>
      <c r="B1338" s="953"/>
      <c r="C1338" s="513" t="s">
        <v>5221</v>
      </c>
      <c r="D1338" s="514" t="s">
        <v>306</v>
      </c>
      <c r="E1338" s="514" t="s">
        <v>322</v>
      </c>
      <c r="F1338" s="514" t="s">
        <v>307</v>
      </c>
      <c r="G1338" s="513">
        <v>7062</v>
      </c>
      <c r="H1338" s="513" t="s">
        <v>347</v>
      </c>
      <c r="I1338" s="513" t="s">
        <v>4915</v>
      </c>
      <c r="J1338" s="514" t="s">
        <v>664</v>
      </c>
      <c r="K1338" s="514" t="s">
        <v>692</v>
      </c>
      <c r="L1338" s="514"/>
      <c r="M1338" s="515">
        <v>500000</v>
      </c>
      <c r="N1338" s="478"/>
    </row>
    <row r="1339" spans="1:14">
      <c r="A1339" s="123">
        <v>11</v>
      </c>
      <c r="B1339" s="953" t="s">
        <v>5163</v>
      </c>
      <c r="C1339" s="958" t="s">
        <v>5218</v>
      </c>
      <c r="D1339" s="966" t="s">
        <v>311</v>
      </c>
      <c r="E1339" s="966" t="s">
        <v>675</v>
      </c>
      <c r="F1339" s="958" t="s">
        <v>5214</v>
      </c>
      <c r="G1339" s="510" t="s">
        <v>5126</v>
      </c>
      <c r="H1339" s="958" t="s">
        <v>347</v>
      </c>
      <c r="I1339" s="510" t="s">
        <v>5216</v>
      </c>
      <c r="J1339" s="958"/>
      <c r="K1339" s="958" t="s">
        <v>692</v>
      </c>
      <c r="L1339" s="966" t="s">
        <v>309</v>
      </c>
      <c r="M1339" s="972">
        <v>500000</v>
      </c>
      <c r="N1339" s="959" t="s">
        <v>5225</v>
      </c>
    </row>
    <row r="1340" spans="1:14">
      <c r="A1340" s="123">
        <v>11</v>
      </c>
      <c r="B1340" s="953"/>
      <c r="C1340" s="959"/>
      <c r="D1340" s="964"/>
      <c r="E1340" s="964"/>
      <c r="F1340" s="959"/>
      <c r="G1340" s="476" t="s">
        <v>5215</v>
      </c>
      <c r="H1340" s="959"/>
      <c r="I1340" s="476" t="s">
        <v>5217</v>
      </c>
      <c r="J1340" s="959"/>
      <c r="K1340" s="959"/>
      <c r="L1340" s="964"/>
      <c r="M1340" s="973"/>
      <c r="N1340" s="959"/>
    </row>
    <row r="1341" spans="1:14">
      <c r="A1341" s="123">
        <v>11</v>
      </c>
      <c r="B1341" s="953"/>
      <c r="C1341" s="532" t="s">
        <v>5323</v>
      </c>
      <c r="D1341" s="525" t="s">
        <v>311</v>
      </c>
      <c r="E1341" s="525" t="s">
        <v>320</v>
      </c>
      <c r="F1341" s="532" t="s">
        <v>2601</v>
      </c>
      <c r="G1341" s="532" t="s">
        <v>4924</v>
      </c>
      <c r="H1341" s="532" t="s">
        <v>3113</v>
      </c>
      <c r="I1341" s="532" t="s">
        <v>5324</v>
      </c>
      <c r="J1341" s="513" t="s">
        <v>1111</v>
      </c>
      <c r="K1341" s="513" t="s">
        <v>5226</v>
      </c>
      <c r="L1341" s="514" t="s">
        <v>309</v>
      </c>
      <c r="M1341" s="516">
        <v>500000</v>
      </c>
      <c r="N1341" s="476" t="s">
        <v>5227</v>
      </c>
    </row>
    <row r="1342" spans="1:14">
      <c r="A1342" s="123">
        <v>11</v>
      </c>
      <c r="B1342" s="953"/>
      <c r="C1342" s="479" t="s">
        <v>5228</v>
      </c>
      <c r="D1342" s="480" t="s">
        <v>311</v>
      </c>
      <c r="E1342" s="480" t="s">
        <v>320</v>
      </c>
      <c r="F1342" s="479" t="s">
        <v>337</v>
      </c>
      <c r="G1342" s="479" t="s">
        <v>3168</v>
      </c>
      <c r="H1342" s="479" t="s">
        <v>3057</v>
      </c>
      <c r="I1342" s="479" t="s">
        <v>5229</v>
      </c>
      <c r="J1342" s="479" t="s">
        <v>702</v>
      </c>
      <c r="K1342" s="479" t="s">
        <v>5230</v>
      </c>
      <c r="L1342" s="480" t="s">
        <v>309</v>
      </c>
      <c r="M1342" s="492">
        <v>800000</v>
      </c>
      <c r="N1342" s="476" t="s">
        <v>5231</v>
      </c>
    </row>
    <row r="1343" spans="1:14" ht="36">
      <c r="A1343" s="123">
        <v>11</v>
      </c>
      <c r="B1343" s="953"/>
      <c r="C1343" s="510" t="s">
        <v>5228</v>
      </c>
      <c r="D1343" s="511" t="s">
        <v>311</v>
      </c>
      <c r="E1343" s="511" t="s">
        <v>320</v>
      </c>
      <c r="F1343" s="510" t="s">
        <v>709</v>
      </c>
      <c r="G1343" s="510" t="s">
        <v>3098</v>
      </c>
      <c r="H1343" s="510" t="s">
        <v>3099</v>
      </c>
      <c r="I1343" s="510" t="s">
        <v>5325</v>
      </c>
      <c r="J1343" s="510" t="s">
        <v>638</v>
      </c>
      <c r="K1343" s="510" t="s">
        <v>713</v>
      </c>
      <c r="L1343" s="511" t="s">
        <v>309</v>
      </c>
      <c r="M1343" s="512">
        <v>250000</v>
      </c>
      <c r="N1343" s="476" t="s">
        <v>5232</v>
      </c>
    </row>
    <row r="1344" spans="1:14">
      <c r="A1344" s="123">
        <v>12</v>
      </c>
      <c r="B1344" s="953" t="s">
        <v>5170</v>
      </c>
      <c r="C1344" s="533">
        <v>46102</v>
      </c>
      <c r="D1344" s="527" t="s">
        <v>19</v>
      </c>
      <c r="E1344" s="527" t="s">
        <v>25</v>
      </c>
      <c r="F1344" s="527" t="s">
        <v>307</v>
      </c>
      <c r="G1344" s="534">
        <v>7062</v>
      </c>
      <c r="H1344" s="535" t="s">
        <v>4914</v>
      </c>
      <c r="I1344" s="536" t="s">
        <v>4916</v>
      </c>
      <c r="J1344" s="527" t="s">
        <v>4918</v>
      </c>
      <c r="K1344" s="527" t="s">
        <v>4919</v>
      </c>
      <c r="L1344" s="527"/>
      <c r="M1344" s="528">
        <v>250000</v>
      </c>
      <c r="N1344" s="26"/>
    </row>
    <row r="1345" spans="1:14">
      <c r="A1345" s="123">
        <v>12</v>
      </c>
      <c r="B1345" s="953"/>
      <c r="C1345" s="517">
        <v>46104</v>
      </c>
      <c r="D1345" s="518" t="s">
        <v>19</v>
      </c>
      <c r="E1345" s="518" t="s">
        <v>25</v>
      </c>
      <c r="F1345" s="518" t="s">
        <v>307</v>
      </c>
      <c r="G1345" s="519" t="s">
        <v>4925</v>
      </c>
      <c r="H1345" s="520" t="s">
        <v>4926</v>
      </c>
      <c r="I1345" s="521" t="s">
        <v>5326</v>
      </c>
      <c r="J1345" s="518" t="s">
        <v>4918</v>
      </c>
      <c r="K1345" s="518" t="s">
        <v>4937</v>
      </c>
      <c r="L1345" s="518"/>
      <c r="M1345" s="522">
        <f>250000*2</f>
        <v>500000</v>
      </c>
      <c r="N1345" s="26"/>
    </row>
    <row r="1346" spans="1:14">
      <c r="A1346" s="123">
        <v>12</v>
      </c>
      <c r="B1346" s="953"/>
      <c r="C1346" s="517" t="s">
        <v>4922</v>
      </c>
      <c r="D1346" s="518" t="s">
        <v>19</v>
      </c>
      <c r="E1346" s="518" t="s">
        <v>25</v>
      </c>
      <c r="F1346" s="518" t="s">
        <v>307</v>
      </c>
      <c r="G1346" s="519" t="s">
        <v>4920</v>
      </c>
      <c r="H1346" s="520" t="s">
        <v>4921</v>
      </c>
      <c r="I1346" s="521" t="s">
        <v>4916</v>
      </c>
      <c r="J1346" s="518" t="s">
        <v>4918</v>
      </c>
      <c r="K1346" s="518" t="s">
        <v>4923</v>
      </c>
      <c r="L1346" s="518"/>
      <c r="M1346" s="522">
        <f>250000*4</f>
        <v>1000000</v>
      </c>
      <c r="N1346" s="26"/>
    </row>
    <row r="1347" spans="1:14">
      <c r="A1347" s="123">
        <v>12</v>
      </c>
      <c r="B1347" s="953"/>
      <c r="C1347" s="533" t="s">
        <v>4913</v>
      </c>
      <c r="D1347" s="527" t="s">
        <v>19</v>
      </c>
      <c r="E1347" s="527" t="s">
        <v>25</v>
      </c>
      <c r="F1347" s="527" t="s">
        <v>307</v>
      </c>
      <c r="G1347" s="534" t="s">
        <v>4939</v>
      </c>
      <c r="H1347" s="535" t="s">
        <v>4940</v>
      </c>
      <c r="I1347" s="536" t="s">
        <v>4941</v>
      </c>
      <c r="J1347" s="527" t="s">
        <v>4917</v>
      </c>
      <c r="K1347" s="499" t="s">
        <v>5310</v>
      </c>
      <c r="L1347" s="249"/>
      <c r="M1347" s="505">
        <f>250000*10</f>
        <v>2500000</v>
      </c>
      <c r="N1347" s="26"/>
    </row>
    <row r="1348" spans="1:14">
      <c r="A1348" s="123">
        <v>12</v>
      </c>
      <c r="B1348" s="953"/>
      <c r="C1348" s="467" t="s">
        <v>4945</v>
      </c>
      <c r="D1348" s="249" t="s">
        <v>19</v>
      </c>
      <c r="E1348" s="249" t="s">
        <v>25</v>
      </c>
      <c r="F1348" s="249" t="s">
        <v>307</v>
      </c>
      <c r="G1348" s="461" t="s">
        <v>4939</v>
      </c>
      <c r="H1348" s="462" t="s">
        <v>4950</v>
      </c>
      <c r="I1348" s="250" t="s">
        <v>4949</v>
      </c>
      <c r="J1348" s="249" t="s">
        <v>4942</v>
      </c>
      <c r="K1348" s="606" t="s">
        <v>4946</v>
      </c>
      <c r="L1348" s="529"/>
      <c r="M1348" s="530">
        <f>250000*2</f>
        <v>500000</v>
      </c>
      <c r="N1348" s="26"/>
    </row>
    <row r="1349" spans="1:14">
      <c r="A1349" s="123">
        <v>12</v>
      </c>
      <c r="B1349" s="953"/>
      <c r="C1349" s="467" t="s">
        <v>4913</v>
      </c>
      <c r="D1349" s="249" t="s">
        <v>19</v>
      </c>
      <c r="E1349" s="249" t="s">
        <v>25</v>
      </c>
      <c r="F1349" s="249" t="s">
        <v>307</v>
      </c>
      <c r="G1349" s="461" t="s">
        <v>4947</v>
      </c>
      <c r="H1349" s="462" t="s">
        <v>4948</v>
      </c>
      <c r="I1349" s="250" t="s">
        <v>4949</v>
      </c>
      <c r="J1349" s="249" t="s">
        <v>4942</v>
      </c>
      <c r="K1349" s="527" t="s">
        <v>4944</v>
      </c>
      <c r="L1349" s="529"/>
      <c r="M1349" s="530">
        <f>250000*3</f>
        <v>750000</v>
      </c>
      <c r="N1349" s="26"/>
    </row>
    <row r="1350" spans="1:14">
      <c r="A1350" s="123">
        <v>12</v>
      </c>
      <c r="B1350" s="953" t="s">
        <v>5196</v>
      </c>
      <c r="C1350" s="127">
        <v>46104</v>
      </c>
      <c r="D1350" s="3" t="s">
        <v>21</v>
      </c>
      <c r="E1350" s="3" t="s">
        <v>14</v>
      </c>
      <c r="F1350" s="454" t="s">
        <v>1787</v>
      </c>
      <c r="G1350" s="454" t="s">
        <v>2817</v>
      </c>
      <c r="H1350" s="459" t="s">
        <v>23</v>
      </c>
      <c r="I1350" s="453" t="s">
        <v>4933</v>
      </c>
      <c r="J1350" s="454"/>
      <c r="K1350" s="453" t="s">
        <v>4934</v>
      </c>
      <c r="L1350" s="136" t="s">
        <v>4935</v>
      </c>
      <c r="M1350" s="464">
        <v>500000</v>
      </c>
      <c r="N1350" s="465" t="s">
        <v>4952</v>
      </c>
    </row>
    <row r="1351" spans="1:14">
      <c r="A1351" s="123">
        <v>12</v>
      </c>
      <c r="B1351" s="953"/>
      <c r="C1351" s="127">
        <v>46105</v>
      </c>
      <c r="D1351" s="3" t="s">
        <v>21</v>
      </c>
      <c r="E1351" s="3" t="s">
        <v>14</v>
      </c>
      <c r="F1351" s="454" t="s">
        <v>107</v>
      </c>
      <c r="G1351" s="454" t="s">
        <v>2959</v>
      </c>
      <c r="H1351" s="459" t="s">
        <v>376</v>
      </c>
      <c r="I1351" s="453" t="s">
        <v>4931</v>
      </c>
      <c r="J1351" s="454" t="s">
        <v>4930</v>
      </c>
      <c r="K1351" s="454" t="s">
        <v>487</v>
      </c>
      <c r="L1351" s="136" t="s">
        <v>15</v>
      </c>
      <c r="M1351" s="466">
        <v>500000</v>
      </c>
      <c r="N1351" s="465" t="s">
        <v>4953</v>
      </c>
    </row>
    <row r="1352" spans="1:14" ht="27">
      <c r="A1352" s="123">
        <v>12</v>
      </c>
      <c r="B1352" s="953"/>
      <c r="C1352" s="127">
        <v>46105</v>
      </c>
      <c r="D1352" s="3" t="s">
        <v>21</v>
      </c>
      <c r="E1352" s="3" t="s">
        <v>14</v>
      </c>
      <c r="F1352" s="472" t="s">
        <v>107</v>
      </c>
      <c r="G1352" s="454" t="s">
        <v>3386</v>
      </c>
      <c r="H1352" s="459" t="s">
        <v>23</v>
      </c>
      <c r="I1352" s="453" t="s">
        <v>4932</v>
      </c>
      <c r="J1352" s="454" t="s">
        <v>90</v>
      </c>
      <c r="K1352" s="454" t="s">
        <v>3974</v>
      </c>
      <c r="L1352" s="136" t="s">
        <v>15</v>
      </c>
      <c r="M1352" s="466">
        <v>600000</v>
      </c>
      <c r="N1352" s="465" t="s">
        <v>4954</v>
      </c>
    </row>
    <row r="1353" spans="1:14">
      <c r="A1353" s="123">
        <v>12</v>
      </c>
      <c r="B1353" s="953"/>
      <c r="C1353" s="127">
        <v>46106</v>
      </c>
      <c r="D1353" s="3" t="s">
        <v>21</v>
      </c>
      <c r="E1353" s="3" t="s">
        <v>14</v>
      </c>
      <c r="F1353" s="454" t="s">
        <v>1787</v>
      </c>
      <c r="G1353" s="454" t="s">
        <v>2817</v>
      </c>
      <c r="H1353" s="459" t="s">
        <v>23</v>
      </c>
      <c r="I1353" s="453" t="s">
        <v>4951</v>
      </c>
      <c r="J1353" s="454"/>
      <c r="K1353" s="663" t="s">
        <v>487</v>
      </c>
      <c r="L1353" s="136" t="s">
        <v>15</v>
      </c>
      <c r="M1353" s="464">
        <v>500000</v>
      </c>
      <c r="N1353" s="465" t="s">
        <v>4955</v>
      </c>
    </row>
    <row r="1354" spans="1:14">
      <c r="A1354" s="123">
        <v>13</v>
      </c>
      <c r="B1354" s="953" t="s">
        <v>5309</v>
      </c>
      <c r="C1354" s="399">
        <v>46106</v>
      </c>
      <c r="D1354" s="249" t="s">
        <v>124</v>
      </c>
      <c r="E1354" s="249" t="s">
        <v>151</v>
      </c>
      <c r="F1354" s="249" t="s">
        <v>5254</v>
      </c>
      <c r="G1354" s="461">
        <v>594</v>
      </c>
      <c r="H1354" s="462" t="s">
        <v>264</v>
      </c>
      <c r="I1354" s="250" t="s">
        <v>5255</v>
      </c>
      <c r="J1354" s="249" t="s">
        <v>168</v>
      </c>
      <c r="K1354" s="639" t="s">
        <v>686</v>
      </c>
      <c r="L1354" s="249"/>
      <c r="M1354" s="463">
        <v>250000</v>
      </c>
    </row>
    <row r="1355" spans="1:14">
      <c r="A1355" s="123">
        <v>13</v>
      </c>
      <c r="B1355" s="953"/>
      <c r="C1355" s="399">
        <v>46107</v>
      </c>
      <c r="D1355" s="249" t="s">
        <v>124</v>
      </c>
      <c r="E1355" s="249" t="s">
        <v>151</v>
      </c>
      <c r="F1355" s="249" t="s">
        <v>5254</v>
      </c>
      <c r="G1355" s="461" t="s">
        <v>3589</v>
      </c>
      <c r="H1355" s="462" t="s">
        <v>34</v>
      </c>
      <c r="I1355" s="250" t="s">
        <v>5274</v>
      </c>
      <c r="J1355" s="249"/>
      <c r="K1355" s="249" t="s">
        <v>999</v>
      </c>
      <c r="L1355" s="249"/>
      <c r="M1355" s="463">
        <v>300000</v>
      </c>
      <c r="N1355" s="26"/>
    </row>
    <row r="1356" spans="1:14">
      <c r="A1356" s="123">
        <v>13</v>
      </c>
      <c r="B1356" s="953"/>
      <c r="C1356" s="399">
        <v>46107</v>
      </c>
      <c r="D1356" s="249" t="s">
        <v>49</v>
      </c>
      <c r="E1356" s="249" t="s">
        <v>151</v>
      </c>
      <c r="F1356" s="249" t="s">
        <v>5254</v>
      </c>
      <c r="G1356" s="461" t="s">
        <v>5275</v>
      </c>
      <c r="H1356" s="462" t="s">
        <v>102</v>
      </c>
      <c r="I1356" s="250" t="s">
        <v>4272</v>
      </c>
      <c r="J1356" s="249"/>
      <c r="K1356" s="249" t="s">
        <v>3075</v>
      </c>
      <c r="L1356" s="249"/>
      <c r="M1356" s="463">
        <v>300000</v>
      </c>
      <c r="N1356" s="26"/>
    </row>
    <row r="1357" spans="1:14">
      <c r="A1357" s="123">
        <v>13</v>
      </c>
      <c r="B1357" s="953"/>
      <c r="C1357" s="399">
        <v>46108</v>
      </c>
      <c r="D1357" s="249" t="s">
        <v>49</v>
      </c>
      <c r="E1357" s="249" t="s">
        <v>151</v>
      </c>
      <c r="F1357" s="249" t="s">
        <v>5254</v>
      </c>
      <c r="G1357" s="461" t="s">
        <v>3589</v>
      </c>
      <c r="H1357" s="462" t="s">
        <v>34</v>
      </c>
      <c r="I1357" s="250" t="s">
        <v>5274</v>
      </c>
      <c r="J1357" s="249"/>
      <c r="K1357" s="249" t="s">
        <v>999</v>
      </c>
      <c r="L1357" s="249"/>
      <c r="M1357" s="463">
        <v>300000</v>
      </c>
      <c r="N1357" s="26"/>
    </row>
    <row r="1358" spans="1:14" ht="27">
      <c r="A1358" s="123">
        <v>13</v>
      </c>
      <c r="B1358" s="953"/>
      <c r="C1358" s="503" t="s">
        <v>5297</v>
      </c>
      <c r="D1358" s="499" t="s">
        <v>49</v>
      </c>
      <c r="E1358" s="499" t="s">
        <v>151</v>
      </c>
      <c r="F1358" s="499" t="s">
        <v>5254</v>
      </c>
      <c r="G1358" s="500" t="s">
        <v>4939</v>
      </c>
      <c r="H1358" s="501" t="s">
        <v>482</v>
      </c>
      <c r="I1358" s="502" t="s">
        <v>5298</v>
      </c>
      <c r="J1358" s="499" t="s">
        <v>126</v>
      </c>
      <c r="K1358" s="527" t="s">
        <v>5655</v>
      </c>
      <c r="L1358" s="249"/>
      <c r="M1358" s="505">
        <f>250000*7</f>
        <v>1750000</v>
      </c>
      <c r="N1358" s="26"/>
    </row>
    <row r="1359" spans="1:14" ht="27">
      <c r="A1359" s="123">
        <v>13</v>
      </c>
      <c r="B1359" s="953"/>
      <c r="C1359" s="369" t="s">
        <v>5299</v>
      </c>
      <c r="D1359" s="249" t="s">
        <v>49</v>
      </c>
      <c r="E1359" s="249" t="s">
        <v>151</v>
      </c>
      <c r="F1359" s="249" t="s">
        <v>5254</v>
      </c>
      <c r="G1359" s="461" t="s">
        <v>4939</v>
      </c>
      <c r="H1359" s="462" t="s">
        <v>482</v>
      </c>
      <c r="I1359" s="250" t="s">
        <v>5300</v>
      </c>
      <c r="J1359" s="249" t="s">
        <v>1948</v>
      </c>
      <c r="K1359" s="606" t="s">
        <v>3251</v>
      </c>
      <c r="L1359" s="249"/>
      <c r="M1359" s="463">
        <f>250000*5</f>
        <v>1250000</v>
      </c>
      <c r="N1359" s="26"/>
    </row>
    <row r="1360" spans="1:14" ht="27">
      <c r="A1360" s="123">
        <v>13</v>
      </c>
      <c r="B1360" s="953"/>
      <c r="C1360" s="399" t="s">
        <v>5301</v>
      </c>
      <c r="D1360" s="249" t="s">
        <v>49</v>
      </c>
      <c r="E1360" s="249" t="s">
        <v>151</v>
      </c>
      <c r="F1360" s="249" t="s">
        <v>5254</v>
      </c>
      <c r="G1360" s="461" t="s">
        <v>3386</v>
      </c>
      <c r="H1360" s="462" t="s">
        <v>143</v>
      </c>
      <c r="I1360" s="250" t="s">
        <v>1105</v>
      </c>
      <c r="J1360" s="249" t="s">
        <v>1259</v>
      </c>
      <c r="K1360" s="639" t="s">
        <v>641</v>
      </c>
      <c r="L1360" s="249"/>
      <c r="M1360" s="463">
        <f>250000*2</f>
        <v>500000</v>
      </c>
      <c r="N1360" s="26"/>
    </row>
    <row r="1361" spans="1:14" ht="27">
      <c r="A1361" s="123">
        <v>13</v>
      </c>
      <c r="B1361" s="953"/>
      <c r="C1361" s="399" t="s">
        <v>5302</v>
      </c>
      <c r="D1361" s="249" t="s">
        <v>49</v>
      </c>
      <c r="E1361" s="249" t="s">
        <v>151</v>
      </c>
      <c r="F1361" s="249" t="s">
        <v>5254</v>
      </c>
      <c r="G1361" s="461" t="s">
        <v>4947</v>
      </c>
      <c r="H1361" s="462" t="s">
        <v>102</v>
      </c>
      <c r="I1361" s="250" t="s">
        <v>2497</v>
      </c>
      <c r="J1361" s="249" t="s">
        <v>1259</v>
      </c>
      <c r="K1361" s="639" t="s">
        <v>5305</v>
      </c>
      <c r="L1361" s="249"/>
      <c r="M1361" s="463">
        <f>250000*4</f>
        <v>1000000</v>
      </c>
      <c r="N1361" s="26"/>
    </row>
    <row r="1362" spans="1:14" ht="27">
      <c r="A1362" s="123">
        <v>13</v>
      </c>
      <c r="B1362" s="953"/>
      <c r="C1362" s="504" t="s">
        <v>5303</v>
      </c>
      <c r="D1362" s="499" t="s">
        <v>49</v>
      </c>
      <c r="E1362" s="499" t="s">
        <v>151</v>
      </c>
      <c r="F1362" s="499" t="s">
        <v>5254</v>
      </c>
      <c r="G1362" s="500">
        <v>1614</v>
      </c>
      <c r="H1362" s="501" t="s">
        <v>482</v>
      </c>
      <c r="I1362" s="502" t="s">
        <v>378</v>
      </c>
      <c r="J1362" s="499" t="s">
        <v>126</v>
      </c>
      <c r="K1362" s="499" t="s">
        <v>5311</v>
      </c>
      <c r="L1362" s="249"/>
      <c r="M1362" s="505">
        <f>250000*3</f>
        <v>750000</v>
      </c>
      <c r="N1362" s="26"/>
    </row>
    <row r="1363" spans="1:14">
      <c r="A1363" s="123">
        <v>13</v>
      </c>
      <c r="B1363" s="953" t="s">
        <v>5308</v>
      </c>
      <c r="C1363" s="369">
        <v>46107</v>
      </c>
      <c r="D1363" s="3" t="s">
        <v>21</v>
      </c>
      <c r="E1363" s="3" t="s">
        <v>14</v>
      </c>
      <c r="F1363" s="454" t="s">
        <v>107</v>
      </c>
      <c r="G1363" s="454" t="s">
        <v>1968</v>
      </c>
      <c r="H1363" s="459" t="s">
        <v>376</v>
      </c>
      <c r="I1363" s="453" t="s">
        <v>303</v>
      </c>
      <c r="J1363" s="454" t="s">
        <v>90</v>
      </c>
      <c r="K1363" s="384" t="s">
        <v>686</v>
      </c>
      <c r="L1363" s="136" t="s">
        <v>66</v>
      </c>
      <c r="M1363" s="464">
        <v>250000</v>
      </c>
      <c r="N1363" s="26"/>
    </row>
    <row r="1364" spans="1:14" ht="27">
      <c r="A1364" s="123">
        <v>13</v>
      </c>
      <c r="B1364" s="953"/>
      <c r="C1364" s="399">
        <v>46111</v>
      </c>
      <c r="D1364" s="4" t="s">
        <v>21</v>
      </c>
      <c r="E1364" s="4" t="s">
        <v>14</v>
      </c>
      <c r="F1364" s="31" t="s">
        <v>1787</v>
      </c>
      <c r="G1364" s="31" t="s">
        <v>2817</v>
      </c>
      <c r="H1364" s="16" t="s">
        <v>23</v>
      </c>
      <c r="I1364" s="193" t="s">
        <v>5289</v>
      </c>
      <c r="J1364" s="453" t="s">
        <v>90</v>
      </c>
      <c r="K1364" s="663" t="s">
        <v>41</v>
      </c>
      <c r="L1364" s="125" t="s">
        <v>15</v>
      </c>
      <c r="M1364" s="466">
        <v>250000</v>
      </c>
      <c r="N1364" s="26"/>
    </row>
    <row r="1365" spans="1:14" ht="27">
      <c r="A1365" s="123">
        <v>13</v>
      </c>
      <c r="B1365" s="953"/>
      <c r="C1365" s="399">
        <v>46113</v>
      </c>
      <c r="D1365" s="3" t="s">
        <v>21</v>
      </c>
      <c r="E1365" s="3" t="s">
        <v>14</v>
      </c>
      <c r="F1365" s="454" t="s">
        <v>1788</v>
      </c>
      <c r="G1365" s="472" t="s">
        <v>3332</v>
      </c>
      <c r="H1365" s="459" t="s">
        <v>23</v>
      </c>
      <c r="I1365" s="453" t="s">
        <v>5234</v>
      </c>
      <c r="J1365" s="454"/>
      <c r="K1365" s="659" t="s">
        <v>487</v>
      </c>
      <c r="L1365" s="136" t="s">
        <v>15</v>
      </c>
      <c r="M1365" s="466">
        <v>500000</v>
      </c>
      <c r="N1365" s="26"/>
    </row>
    <row r="1366" spans="1:14" ht="27">
      <c r="A1366" s="123">
        <v>13</v>
      </c>
      <c r="B1366" s="953"/>
      <c r="C1366" s="399">
        <v>46114</v>
      </c>
      <c r="D1366" s="4" t="s">
        <v>21</v>
      </c>
      <c r="E1366" s="4" t="s">
        <v>14</v>
      </c>
      <c r="F1366" s="31" t="s">
        <v>1788</v>
      </c>
      <c r="G1366" s="291" t="s">
        <v>3332</v>
      </c>
      <c r="H1366" s="16" t="s">
        <v>23</v>
      </c>
      <c r="I1366" s="193" t="s">
        <v>5234</v>
      </c>
      <c r="J1366" s="31"/>
      <c r="K1366" s="659" t="s">
        <v>487</v>
      </c>
      <c r="L1366" s="125" t="s">
        <v>15</v>
      </c>
      <c r="M1366" s="466">
        <v>500000</v>
      </c>
      <c r="N1366" s="26"/>
    </row>
    <row r="1367" spans="1:14">
      <c r="A1367" s="123">
        <v>13</v>
      </c>
      <c r="B1367" s="953"/>
      <c r="C1367" s="399">
        <v>46114</v>
      </c>
      <c r="D1367" s="4" t="s">
        <v>21</v>
      </c>
      <c r="E1367" s="4" t="s">
        <v>14</v>
      </c>
      <c r="F1367" s="31" t="s">
        <v>1787</v>
      </c>
      <c r="G1367" s="193" t="s">
        <v>2817</v>
      </c>
      <c r="H1367" s="16" t="s">
        <v>205</v>
      </c>
      <c r="I1367" s="453" t="s">
        <v>5287</v>
      </c>
      <c r="J1367" s="454" t="s">
        <v>90</v>
      </c>
      <c r="K1367" s="602" t="s">
        <v>5273</v>
      </c>
      <c r="L1367" s="136" t="s">
        <v>15</v>
      </c>
      <c r="M1367" s="466">
        <f>450000+250000</f>
        <v>700000</v>
      </c>
      <c r="N1367" s="26"/>
    </row>
    <row r="1368" spans="1:14">
      <c r="A1368" s="123">
        <v>13</v>
      </c>
      <c r="B1368" s="953"/>
      <c r="C1368" s="369">
        <v>46115</v>
      </c>
      <c r="D1368" s="3" t="s">
        <v>21</v>
      </c>
      <c r="E1368" s="3" t="s">
        <v>14</v>
      </c>
      <c r="F1368" s="454" t="s">
        <v>1893</v>
      </c>
      <c r="G1368" s="454" t="s">
        <v>4939</v>
      </c>
      <c r="H1368" s="459" t="s">
        <v>34</v>
      </c>
      <c r="I1368" s="453" t="s">
        <v>5296</v>
      </c>
      <c r="J1368" s="453" t="s">
        <v>202</v>
      </c>
      <c r="K1368" s="659" t="s">
        <v>487</v>
      </c>
      <c r="L1368" s="125" t="s">
        <v>15</v>
      </c>
      <c r="M1368" s="466">
        <f>250000*2</f>
        <v>500000</v>
      </c>
      <c r="N1368" s="26"/>
    </row>
    <row r="1369" spans="1:14">
      <c r="A1369" s="123">
        <v>14</v>
      </c>
      <c r="B1369" s="962" t="s">
        <v>307</v>
      </c>
      <c r="C1369" s="134" t="s">
        <v>5442</v>
      </c>
      <c r="D1369" s="129" t="s">
        <v>306</v>
      </c>
      <c r="E1369" s="129" t="s">
        <v>322</v>
      </c>
      <c r="F1369" s="130" t="s">
        <v>5400</v>
      </c>
      <c r="G1369" s="130" t="s">
        <v>4938</v>
      </c>
      <c r="H1369" s="130" t="s">
        <v>1911</v>
      </c>
      <c r="I1369" s="562" t="s">
        <v>5401</v>
      </c>
      <c r="J1369" s="563" t="s">
        <v>1111</v>
      </c>
      <c r="K1369" s="608" t="s">
        <v>3105</v>
      </c>
      <c r="L1369" s="478"/>
      <c r="M1369" s="481">
        <v>250000</v>
      </c>
      <c r="N1369" s="964" t="s">
        <v>5443</v>
      </c>
    </row>
    <row r="1370" spans="1:14">
      <c r="A1370" s="123">
        <v>14</v>
      </c>
      <c r="B1370" s="963"/>
      <c r="C1370" s="152" t="s">
        <v>5442</v>
      </c>
      <c r="D1370" s="129" t="s">
        <v>306</v>
      </c>
      <c r="E1370" s="129" t="s">
        <v>322</v>
      </c>
      <c r="F1370" s="130" t="s">
        <v>5400</v>
      </c>
      <c r="G1370" s="564" t="s">
        <v>4964</v>
      </c>
      <c r="H1370" s="564" t="s">
        <v>347</v>
      </c>
      <c r="I1370" s="564" t="s">
        <v>4915</v>
      </c>
      <c r="J1370" s="563" t="s">
        <v>1534</v>
      </c>
      <c r="K1370" s="603" t="s">
        <v>713</v>
      </c>
      <c r="L1370" s="478"/>
      <c r="M1370" s="481">
        <v>250000</v>
      </c>
      <c r="N1370" s="964"/>
    </row>
    <row r="1371" spans="1:14">
      <c r="A1371" s="123">
        <v>14</v>
      </c>
      <c r="B1371" s="963"/>
      <c r="C1371" s="565" t="s">
        <v>5444</v>
      </c>
      <c r="D1371" s="129" t="s">
        <v>306</v>
      </c>
      <c r="E1371" s="129" t="s">
        <v>322</v>
      </c>
      <c r="F1371" s="130" t="s">
        <v>5400</v>
      </c>
      <c r="G1371" s="564" t="s">
        <v>4938</v>
      </c>
      <c r="H1371" s="564" t="s">
        <v>1911</v>
      </c>
      <c r="I1371" s="564" t="s">
        <v>5402</v>
      </c>
      <c r="J1371" s="563" t="s">
        <v>1111</v>
      </c>
      <c r="K1371" s="608" t="s">
        <v>5677</v>
      </c>
      <c r="L1371" s="478"/>
      <c r="M1371" s="481">
        <v>2500000</v>
      </c>
      <c r="N1371" s="567"/>
    </row>
    <row r="1372" spans="1:14">
      <c r="A1372" s="123">
        <v>14</v>
      </c>
      <c r="B1372" s="963"/>
      <c r="C1372" s="130" t="s">
        <v>5445</v>
      </c>
      <c r="D1372" s="563" t="s">
        <v>306</v>
      </c>
      <c r="E1372" s="563" t="s">
        <v>322</v>
      </c>
      <c r="F1372" s="563" t="s">
        <v>5400</v>
      </c>
      <c r="G1372" s="564" t="s">
        <v>4938</v>
      </c>
      <c r="H1372" s="564" t="s">
        <v>1911</v>
      </c>
      <c r="I1372" s="564" t="s">
        <v>5446</v>
      </c>
      <c r="J1372" s="563" t="s">
        <v>5447</v>
      </c>
      <c r="K1372" s="608" t="s">
        <v>4943</v>
      </c>
      <c r="L1372" s="478"/>
      <c r="M1372" s="481">
        <v>750000</v>
      </c>
      <c r="N1372" s="567"/>
    </row>
    <row r="1373" spans="1:14">
      <c r="A1373" s="123">
        <v>14</v>
      </c>
      <c r="B1373" s="963"/>
      <c r="C1373" s="130" t="s">
        <v>5448</v>
      </c>
      <c r="D1373" s="129" t="s">
        <v>306</v>
      </c>
      <c r="E1373" s="129" t="s">
        <v>322</v>
      </c>
      <c r="F1373" s="130" t="s">
        <v>5400</v>
      </c>
      <c r="G1373" s="564" t="s">
        <v>5449</v>
      </c>
      <c r="H1373" s="564" t="s">
        <v>662</v>
      </c>
      <c r="I1373" s="564" t="s">
        <v>5450</v>
      </c>
      <c r="J1373" s="563" t="s">
        <v>1534</v>
      </c>
      <c r="K1373" s="603" t="s">
        <v>713</v>
      </c>
      <c r="L1373" s="478"/>
      <c r="M1373" s="481">
        <v>250000</v>
      </c>
      <c r="N1373" s="567"/>
    </row>
    <row r="1374" spans="1:14">
      <c r="A1374" s="123">
        <v>14</v>
      </c>
      <c r="B1374" s="963"/>
      <c r="C1374" s="130" t="s">
        <v>5451</v>
      </c>
      <c r="D1374" s="129" t="s">
        <v>306</v>
      </c>
      <c r="E1374" s="129" t="s">
        <v>322</v>
      </c>
      <c r="F1374" s="130" t="s">
        <v>5400</v>
      </c>
      <c r="G1374" s="564" t="s">
        <v>5092</v>
      </c>
      <c r="H1374" s="564" t="s">
        <v>347</v>
      </c>
      <c r="I1374" s="564" t="s">
        <v>5452</v>
      </c>
      <c r="J1374" s="563" t="s">
        <v>1534</v>
      </c>
      <c r="K1374" s="603" t="s">
        <v>1054</v>
      </c>
      <c r="L1374" s="478"/>
      <c r="M1374" s="481">
        <v>1000000</v>
      </c>
      <c r="N1374" s="567"/>
    </row>
    <row r="1375" spans="1:14">
      <c r="A1375" s="123">
        <v>14</v>
      </c>
      <c r="B1375" s="963"/>
      <c r="C1375" s="130" t="s">
        <v>5453</v>
      </c>
      <c r="D1375" s="563" t="s">
        <v>306</v>
      </c>
      <c r="E1375" s="563" t="s">
        <v>322</v>
      </c>
      <c r="F1375" s="563" t="s">
        <v>5400</v>
      </c>
      <c r="G1375" s="564" t="s">
        <v>5454</v>
      </c>
      <c r="H1375" s="564" t="s">
        <v>3113</v>
      </c>
      <c r="I1375" s="564" t="s">
        <v>5455</v>
      </c>
      <c r="J1375" s="563" t="s">
        <v>5447</v>
      </c>
      <c r="K1375" s="607" t="s">
        <v>3101</v>
      </c>
      <c r="L1375" s="478"/>
      <c r="M1375" s="481">
        <v>500000</v>
      </c>
      <c r="N1375" s="478"/>
    </row>
    <row r="1376" spans="1:14">
      <c r="A1376" s="123">
        <v>14</v>
      </c>
      <c r="B1376" s="963"/>
      <c r="C1376" s="149" t="s">
        <v>5456</v>
      </c>
      <c r="D1376" s="129" t="s">
        <v>5457</v>
      </c>
      <c r="E1376" s="129" t="s">
        <v>322</v>
      </c>
      <c r="F1376" s="130" t="s">
        <v>5400</v>
      </c>
      <c r="G1376" s="564" t="s">
        <v>4938</v>
      </c>
      <c r="H1376" s="564" t="s">
        <v>3113</v>
      </c>
      <c r="I1376" s="564" t="s">
        <v>5458</v>
      </c>
      <c r="J1376" s="563" t="s">
        <v>702</v>
      </c>
      <c r="K1376" s="660" t="s">
        <v>705</v>
      </c>
      <c r="L1376" s="478"/>
      <c r="M1376" s="481">
        <v>500000</v>
      </c>
      <c r="N1376" s="26"/>
    </row>
    <row r="1377" spans="1:14">
      <c r="A1377" s="123">
        <v>14</v>
      </c>
      <c r="B1377" s="965" t="s">
        <v>311</v>
      </c>
      <c r="C1377" s="134" t="s">
        <v>5459</v>
      </c>
      <c r="D1377" s="129" t="s">
        <v>311</v>
      </c>
      <c r="E1377" s="129" t="s">
        <v>320</v>
      </c>
      <c r="F1377" s="130" t="s">
        <v>690</v>
      </c>
      <c r="G1377" s="130" t="s">
        <v>5004</v>
      </c>
      <c r="H1377" s="130" t="s">
        <v>1198</v>
      </c>
      <c r="I1377" s="562" t="s">
        <v>5460</v>
      </c>
      <c r="J1377" s="563" t="s">
        <v>638</v>
      </c>
      <c r="K1377" s="603" t="s">
        <v>713</v>
      </c>
      <c r="L1377" s="478" t="s">
        <v>309</v>
      </c>
      <c r="M1377" s="481">
        <v>250000</v>
      </c>
      <c r="N1377" s="476" t="s">
        <v>5461</v>
      </c>
    </row>
    <row r="1378" spans="1:14" ht="36">
      <c r="A1378" s="123">
        <v>14</v>
      </c>
      <c r="B1378" s="965"/>
      <c r="C1378" s="565" t="s">
        <v>5462</v>
      </c>
      <c r="D1378" s="129" t="s">
        <v>311</v>
      </c>
      <c r="E1378" s="129" t="s">
        <v>675</v>
      </c>
      <c r="F1378" s="130" t="s">
        <v>720</v>
      </c>
      <c r="G1378" s="130">
        <v>7060</v>
      </c>
      <c r="H1378" s="130" t="s">
        <v>371</v>
      </c>
      <c r="I1378" s="564" t="s">
        <v>5463</v>
      </c>
      <c r="J1378" s="130" t="s">
        <v>638</v>
      </c>
      <c r="K1378" s="605" t="s">
        <v>713</v>
      </c>
      <c r="L1378" s="148" t="s">
        <v>309</v>
      </c>
      <c r="M1378" s="492">
        <v>250000</v>
      </c>
      <c r="N1378" s="476" t="s">
        <v>5464</v>
      </c>
    </row>
    <row r="1379" spans="1:14">
      <c r="A1379" s="123">
        <v>14</v>
      </c>
      <c r="B1379" s="965"/>
      <c r="C1379" s="130" t="s">
        <v>5462</v>
      </c>
      <c r="D1379" s="129" t="s">
        <v>311</v>
      </c>
      <c r="E1379" s="129" t="s">
        <v>320</v>
      </c>
      <c r="F1379" s="130" t="s">
        <v>337</v>
      </c>
      <c r="G1379" s="130" t="s">
        <v>3054</v>
      </c>
      <c r="H1379" s="130" t="s">
        <v>354</v>
      </c>
      <c r="I1379" s="130" t="s">
        <v>310</v>
      </c>
      <c r="J1379" s="130" t="s">
        <v>5465</v>
      </c>
      <c r="K1379" s="601" t="s">
        <v>692</v>
      </c>
      <c r="L1379" s="148" t="s">
        <v>309</v>
      </c>
      <c r="M1379" s="492">
        <v>500000</v>
      </c>
      <c r="N1379" s="476" t="s">
        <v>5466</v>
      </c>
    </row>
    <row r="1380" spans="1:14">
      <c r="A1380" s="123">
        <v>14</v>
      </c>
      <c r="B1380" s="965"/>
      <c r="C1380" s="130" t="s">
        <v>5467</v>
      </c>
      <c r="D1380" s="129" t="s">
        <v>311</v>
      </c>
      <c r="E1380" s="129" t="s">
        <v>320</v>
      </c>
      <c r="F1380" s="130" t="s">
        <v>337</v>
      </c>
      <c r="G1380" s="130" t="s">
        <v>3054</v>
      </c>
      <c r="H1380" s="130" t="s">
        <v>354</v>
      </c>
      <c r="I1380" s="130" t="s">
        <v>310</v>
      </c>
      <c r="J1380" s="130" t="s">
        <v>5465</v>
      </c>
      <c r="K1380" s="601" t="s">
        <v>692</v>
      </c>
      <c r="L1380" s="148" t="s">
        <v>309</v>
      </c>
      <c r="M1380" s="492">
        <v>500000</v>
      </c>
      <c r="N1380" s="476" t="s">
        <v>5466</v>
      </c>
    </row>
    <row r="1381" spans="1:14" ht="22.5">
      <c r="A1381" s="123">
        <v>14</v>
      </c>
      <c r="B1381" s="965"/>
      <c r="C1381" s="130" t="s">
        <v>5468</v>
      </c>
      <c r="D1381" s="129" t="s">
        <v>311</v>
      </c>
      <c r="E1381" s="129" t="s">
        <v>320</v>
      </c>
      <c r="F1381" s="566" t="s">
        <v>5469</v>
      </c>
      <c r="G1381" s="130" t="s">
        <v>5060</v>
      </c>
      <c r="H1381" s="130" t="s">
        <v>354</v>
      </c>
      <c r="I1381" s="130" t="s">
        <v>310</v>
      </c>
      <c r="J1381" s="130" t="s">
        <v>5465</v>
      </c>
      <c r="K1381" s="601" t="s">
        <v>692</v>
      </c>
      <c r="L1381" s="148" t="s">
        <v>309</v>
      </c>
      <c r="M1381" s="492">
        <v>500000</v>
      </c>
      <c r="N1381" s="476" t="s">
        <v>5466</v>
      </c>
    </row>
    <row r="1382" spans="1:14" ht="22.5">
      <c r="A1382" s="123">
        <v>14</v>
      </c>
      <c r="B1382" s="965"/>
      <c r="C1382" s="130" t="s">
        <v>5470</v>
      </c>
      <c r="D1382" s="129" t="s">
        <v>311</v>
      </c>
      <c r="E1382" s="129" t="s">
        <v>320</v>
      </c>
      <c r="F1382" s="566" t="s">
        <v>5469</v>
      </c>
      <c r="G1382" s="130" t="s">
        <v>5060</v>
      </c>
      <c r="H1382" s="130" t="s">
        <v>354</v>
      </c>
      <c r="I1382" s="130" t="s">
        <v>310</v>
      </c>
      <c r="J1382" s="130" t="s">
        <v>5465</v>
      </c>
      <c r="K1382" s="601" t="s">
        <v>692</v>
      </c>
      <c r="L1382" s="148" t="s">
        <v>309</v>
      </c>
      <c r="M1382" s="492">
        <v>500000</v>
      </c>
      <c r="N1382" s="476" t="s">
        <v>5466</v>
      </c>
    </row>
    <row r="1383" spans="1:14">
      <c r="A1383" s="123">
        <v>15</v>
      </c>
      <c r="B1383" s="970" t="s">
        <v>20</v>
      </c>
      <c r="C1383" s="570" t="s">
        <v>5489</v>
      </c>
      <c r="D1383" s="94" t="s">
        <v>306</v>
      </c>
      <c r="E1383" s="94" t="s">
        <v>322</v>
      </c>
      <c r="F1383" s="571" t="s">
        <v>5400</v>
      </c>
      <c r="G1383" s="571" t="s">
        <v>5488</v>
      </c>
      <c r="H1383" s="571" t="s">
        <v>23</v>
      </c>
      <c r="I1383" s="572" t="s">
        <v>5509</v>
      </c>
      <c r="J1383" s="94" t="s">
        <v>1111</v>
      </c>
      <c r="K1383" s="578" t="s">
        <v>3974</v>
      </c>
      <c r="L1383" s="45"/>
      <c r="M1383" s="392">
        <v>600000</v>
      </c>
      <c r="N1383" s="579" t="s">
        <v>5487</v>
      </c>
    </row>
    <row r="1384" spans="1:14">
      <c r="A1384" s="123">
        <v>15</v>
      </c>
      <c r="B1384" s="970"/>
      <c r="C1384" s="570">
        <v>46123</v>
      </c>
      <c r="D1384" s="94" t="s">
        <v>306</v>
      </c>
      <c r="E1384" s="94" t="s">
        <v>322</v>
      </c>
      <c r="F1384" s="571" t="s">
        <v>5400</v>
      </c>
      <c r="G1384" s="571" t="s">
        <v>4938</v>
      </c>
      <c r="H1384" s="571" t="s">
        <v>1911</v>
      </c>
      <c r="I1384" s="572" t="s">
        <v>5401</v>
      </c>
      <c r="J1384" s="94" t="s">
        <v>1111</v>
      </c>
      <c r="K1384" s="609" t="s">
        <v>3105</v>
      </c>
      <c r="L1384" s="45"/>
      <c r="M1384" s="392">
        <v>250000</v>
      </c>
      <c r="N1384" s="579" t="s">
        <v>5441</v>
      </c>
    </row>
    <row r="1385" spans="1:14">
      <c r="A1385" s="123">
        <v>15</v>
      </c>
      <c r="B1385" s="970"/>
      <c r="C1385" s="570">
        <v>46125</v>
      </c>
      <c r="D1385" s="94" t="s">
        <v>5524</v>
      </c>
      <c r="E1385" s="94" t="s">
        <v>322</v>
      </c>
      <c r="F1385" s="571" t="s">
        <v>5400</v>
      </c>
      <c r="G1385" s="571" t="s">
        <v>5525</v>
      </c>
      <c r="H1385" s="571" t="s">
        <v>5526</v>
      </c>
      <c r="I1385" s="572" t="s">
        <v>5527</v>
      </c>
      <c r="J1385" s="94" t="s">
        <v>5529</v>
      </c>
      <c r="K1385" s="604" t="s">
        <v>5528</v>
      </c>
      <c r="L1385" s="45"/>
      <c r="M1385" s="392">
        <v>250000</v>
      </c>
      <c r="N1385" s="579"/>
    </row>
    <row r="1386" spans="1:14" ht="27">
      <c r="A1386" s="123">
        <v>15</v>
      </c>
      <c r="B1386" s="970"/>
      <c r="C1386" s="573" t="s">
        <v>5505</v>
      </c>
      <c r="D1386" s="45" t="s">
        <v>124</v>
      </c>
      <c r="E1386" s="45" t="s">
        <v>151</v>
      </c>
      <c r="F1386" s="372" t="s">
        <v>5254</v>
      </c>
      <c r="G1386" s="38">
        <v>1614</v>
      </c>
      <c r="H1386" s="571" t="s">
        <v>1911</v>
      </c>
      <c r="I1386" s="260" t="s">
        <v>3402</v>
      </c>
      <c r="J1386" s="45" t="s">
        <v>1259</v>
      </c>
      <c r="K1386" s="610" t="s">
        <v>5523</v>
      </c>
      <c r="L1386" s="45"/>
      <c r="M1386" s="96">
        <f>250000*5</f>
        <v>1250000</v>
      </c>
      <c r="N1386" s="580"/>
    </row>
    <row r="1387" spans="1:14" ht="27">
      <c r="A1387" s="123">
        <v>15</v>
      </c>
      <c r="B1387" s="970"/>
      <c r="C1387" s="573" t="s">
        <v>5507</v>
      </c>
      <c r="D1387" s="45" t="s">
        <v>124</v>
      </c>
      <c r="E1387" s="45" t="s">
        <v>151</v>
      </c>
      <c r="F1387" s="372" t="s">
        <v>5254</v>
      </c>
      <c r="G1387" s="38" t="s">
        <v>5506</v>
      </c>
      <c r="H1387" s="575" t="s">
        <v>18</v>
      </c>
      <c r="I1387" s="260" t="s">
        <v>378</v>
      </c>
      <c r="J1387" s="45" t="s">
        <v>168</v>
      </c>
      <c r="K1387" s="45" t="s">
        <v>5530</v>
      </c>
      <c r="L1387" s="45"/>
      <c r="M1387" s="96">
        <f>250000*5</f>
        <v>1250000</v>
      </c>
      <c r="N1387" s="580"/>
    </row>
    <row r="1388" spans="1:14" ht="27">
      <c r="A1388" s="123">
        <v>15</v>
      </c>
      <c r="B1388" s="970"/>
      <c r="C1388" s="573" t="s">
        <v>5505</v>
      </c>
      <c r="D1388" s="45" t="s">
        <v>124</v>
      </c>
      <c r="E1388" s="45" t="s">
        <v>151</v>
      </c>
      <c r="F1388" s="372" t="s">
        <v>5254</v>
      </c>
      <c r="G1388" s="38" t="s">
        <v>5506</v>
      </c>
      <c r="H1388" s="575" t="s">
        <v>1225</v>
      </c>
      <c r="I1388" s="260" t="s">
        <v>3020</v>
      </c>
      <c r="J1388" s="45" t="s">
        <v>1264</v>
      </c>
      <c r="K1388" s="610" t="s">
        <v>3251</v>
      </c>
      <c r="L1388" s="45"/>
      <c r="M1388" s="96">
        <f>250000*5</f>
        <v>1250000</v>
      </c>
      <c r="N1388" s="580"/>
    </row>
    <row r="1389" spans="1:14">
      <c r="A1389" s="123">
        <v>15</v>
      </c>
      <c r="B1389" s="970" t="s">
        <v>5531</v>
      </c>
      <c r="C1389" s="570">
        <v>46097</v>
      </c>
      <c r="D1389" s="45" t="s">
        <v>21</v>
      </c>
      <c r="E1389" s="45" t="s">
        <v>14</v>
      </c>
      <c r="F1389" s="38" t="s">
        <v>1319</v>
      </c>
      <c r="G1389" s="372" t="s">
        <v>2916</v>
      </c>
      <c r="H1389" s="574" t="s">
        <v>2917</v>
      </c>
      <c r="I1389" s="38" t="s">
        <v>4887</v>
      </c>
      <c r="J1389" s="372"/>
      <c r="K1389" s="372" t="s">
        <v>2500</v>
      </c>
      <c r="L1389" s="45" t="s">
        <v>15</v>
      </c>
      <c r="M1389" s="96">
        <v>600000</v>
      </c>
      <c r="N1389" s="579" t="s">
        <v>5487</v>
      </c>
    </row>
    <row r="1390" spans="1:14">
      <c r="A1390" s="123">
        <v>15</v>
      </c>
      <c r="B1390" s="970"/>
      <c r="C1390" s="573">
        <v>46120</v>
      </c>
      <c r="D1390" s="45" t="s">
        <v>21</v>
      </c>
      <c r="E1390" s="45" t="s">
        <v>14</v>
      </c>
      <c r="F1390" s="372" t="s">
        <v>107</v>
      </c>
      <c r="G1390" s="372" t="s">
        <v>2959</v>
      </c>
      <c r="H1390" s="575" t="s">
        <v>143</v>
      </c>
      <c r="I1390" s="38" t="s">
        <v>3607</v>
      </c>
      <c r="J1390" s="372"/>
      <c r="K1390" s="600" t="s">
        <v>1300</v>
      </c>
      <c r="L1390" s="45" t="s">
        <v>15</v>
      </c>
      <c r="M1390" s="96">
        <v>250000</v>
      </c>
      <c r="N1390" s="579" t="s">
        <v>5441</v>
      </c>
    </row>
    <row r="1391" spans="1:14">
      <c r="A1391" s="123">
        <v>15</v>
      </c>
      <c r="B1391" s="970"/>
      <c r="C1391" s="570">
        <v>46125</v>
      </c>
      <c r="D1391" s="45" t="s">
        <v>24</v>
      </c>
      <c r="E1391" s="45" t="s">
        <v>139</v>
      </c>
      <c r="F1391" s="372" t="s">
        <v>78</v>
      </c>
      <c r="G1391" s="38" t="s">
        <v>3008</v>
      </c>
      <c r="H1391" s="575" t="s">
        <v>1382</v>
      </c>
      <c r="I1391" s="38" t="s">
        <v>5359</v>
      </c>
      <c r="J1391" s="372" t="s">
        <v>202</v>
      </c>
      <c r="K1391" s="600" t="s">
        <v>686</v>
      </c>
      <c r="L1391" s="45" t="s">
        <v>15</v>
      </c>
      <c r="M1391" s="581">
        <v>250000</v>
      </c>
      <c r="N1391" s="579" t="s">
        <v>3904</v>
      </c>
    </row>
    <row r="1392" spans="1:14">
      <c r="A1392" s="123">
        <v>15</v>
      </c>
      <c r="B1392" s="970"/>
      <c r="C1392" s="573">
        <v>46125</v>
      </c>
      <c r="D1392" s="45" t="s">
        <v>24</v>
      </c>
      <c r="E1392" s="45" t="s">
        <v>139</v>
      </c>
      <c r="F1392" s="576" t="s">
        <v>1787</v>
      </c>
      <c r="G1392" s="372" t="s">
        <v>2135</v>
      </c>
      <c r="H1392" s="574" t="s">
        <v>67</v>
      </c>
      <c r="I1392" s="38" t="s">
        <v>5480</v>
      </c>
      <c r="J1392" s="372" t="s">
        <v>90</v>
      </c>
      <c r="K1392" s="599" t="s">
        <v>686</v>
      </c>
      <c r="L1392" s="45" t="s">
        <v>15</v>
      </c>
      <c r="M1392" s="581">
        <v>250000</v>
      </c>
      <c r="N1392" s="579" t="s">
        <v>3904</v>
      </c>
    </row>
    <row r="1393" spans="1:14" ht="27">
      <c r="A1393" s="123">
        <v>15</v>
      </c>
      <c r="B1393" s="970"/>
      <c r="C1393" s="570">
        <v>46126</v>
      </c>
      <c r="D1393" s="45" t="s">
        <v>24</v>
      </c>
      <c r="E1393" s="45" t="s">
        <v>31</v>
      </c>
      <c r="F1393" s="38" t="s">
        <v>78</v>
      </c>
      <c r="G1393" s="38" t="s">
        <v>3900</v>
      </c>
      <c r="H1393" s="575" t="s">
        <v>171</v>
      </c>
      <c r="I1393" s="38" t="s">
        <v>5483</v>
      </c>
      <c r="J1393" s="38" t="s">
        <v>5484</v>
      </c>
      <c r="K1393" s="599" t="s">
        <v>686</v>
      </c>
      <c r="L1393" s="45" t="s">
        <v>15</v>
      </c>
      <c r="M1393" s="581">
        <v>250000</v>
      </c>
      <c r="N1393" s="579" t="s">
        <v>127</v>
      </c>
    </row>
    <row r="1394" spans="1:14" ht="16.5" customHeight="1">
      <c r="A1394" s="123">
        <v>15</v>
      </c>
      <c r="B1394" s="970"/>
      <c r="C1394" s="570">
        <v>46128</v>
      </c>
      <c r="D1394" s="44" t="s">
        <v>21</v>
      </c>
      <c r="E1394" s="44" t="s">
        <v>14</v>
      </c>
      <c r="F1394" s="576" t="s">
        <v>107</v>
      </c>
      <c r="G1394" s="576" t="s">
        <v>1968</v>
      </c>
      <c r="H1394" s="574" t="s">
        <v>376</v>
      </c>
      <c r="I1394" s="577" t="s">
        <v>4843</v>
      </c>
      <c r="J1394" s="576" t="s">
        <v>90</v>
      </c>
      <c r="K1394" s="600" t="s">
        <v>641</v>
      </c>
      <c r="L1394" s="44" t="s">
        <v>15</v>
      </c>
      <c r="M1394" s="581">
        <f>250000*2</f>
        <v>500000</v>
      </c>
      <c r="N1394" s="579" t="s">
        <v>393</v>
      </c>
    </row>
    <row r="1395" spans="1:14">
      <c r="A1395" s="123">
        <v>15</v>
      </c>
      <c r="B1395" s="970"/>
      <c r="C1395" s="573">
        <v>46128</v>
      </c>
      <c r="D1395" s="45" t="s">
        <v>24</v>
      </c>
      <c r="E1395" s="45" t="s">
        <v>139</v>
      </c>
      <c r="F1395" s="576" t="s">
        <v>1787</v>
      </c>
      <c r="G1395" s="372" t="s">
        <v>2817</v>
      </c>
      <c r="H1395" s="574" t="s">
        <v>23</v>
      </c>
      <c r="I1395" s="38" t="s">
        <v>5434</v>
      </c>
      <c r="J1395" s="576"/>
      <c r="K1395" s="599" t="s">
        <v>641</v>
      </c>
      <c r="L1395" s="45"/>
      <c r="M1395" s="581">
        <f>250000*2</f>
        <v>500000</v>
      </c>
      <c r="N1395" s="579" t="s">
        <v>5508</v>
      </c>
    </row>
    <row r="1396" spans="1:14" ht="27">
      <c r="A1396" s="123">
        <v>15</v>
      </c>
      <c r="B1396" s="970"/>
      <c r="C1396" s="573">
        <v>46129</v>
      </c>
      <c r="D1396" s="45" t="s">
        <v>21</v>
      </c>
      <c r="E1396" s="45" t="s">
        <v>17</v>
      </c>
      <c r="F1396" s="38" t="s">
        <v>78</v>
      </c>
      <c r="G1396" s="38" t="s">
        <v>3900</v>
      </c>
      <c r="H1396" s="575" t="s">
        <v>36</v>
      </c>
      <c r="I1396" s="38" t="s">
        <v>5491</v>
      </c>
      <c r="J1396" s="372" t="s">
        <v>5473</v>
      </c>
      <c r="K1396" s="38" t="s">
        <v>410</v>
      </c>
      <c r="L1396" s="45" t="s">
        <v>15</v>
      </c>
      <c r="M1396" s="581">
        <v>300000</v>
      </c>
      <c r="N1396" s="579" t="s">
        <v>127</v>
      </c>
    </row>
    <row r="1397" spans="1:14">
      <c r="A1397" s="123">
        <v>15</v>
      </c>
      <c r="B1397" s="970"/>
      <c r="C1397" s="573">
        <v>46129</v>
      </c>
      <c r="D1397" s="44" t="s">
        <v>21</v>
      </c>
      <c r="E1397" s="44" t="s">
        <v>31</v>
      </c>
      <c r="F1397" s="38" t="s">
        <v>78</v>
      </c>
      <c r="G1397" s="576" t="s">
        <v>2329</v>
      </c>
      <c r="H1397" s="574" t="s">
        <v>23</v>
      </c>
      <c r="I1397" s="577" t="s">
        <v>5439</v>
      </c>
      <c r="J1397" s="372" t="s">
        <v>1277</v>
      </c>
      <c r="K1397" s="38" t="s">
        <v>686</v>
      </c>
      <c r="L1397" s="45" t="s">
        <v>15</v>
      </c>
      <c r="M1397" s="581">
        <v>250000</v>
      </c>
      <c r="N1397" s="579" t="s">
        <v>3904</v>
      </c>
    </row>
    <row r="1398" spans="1:14">
      <c r="A1398" s="123">
        <v>16</v>
      </c>
      <c r="B1398" s="970" t="s">
        <v>20</v>
      </c>
      <c r="C1398" s="573">
        <v>46132</v>
      </c>
      <c r="D1398" s="148" t="s">
        <v>306</v>
      </c>
      <c r="E1398" s="148" t="s">
        <v>322</v>
      </c>
      <c r="F1398" s="149" t="s">
        <v>5400</v>
      </c>
      <c r="G1398" s="476" t="s">
        <v>5092</v>
      </c>
      <c r="H1398" s="476" t="s">
        <v>347</v>
      </c>
      <c r="I1398" s="476" t="s">
        <v>5452</v>
      </c>
      <c r="J1398" s="478" t="s">
        <v>1534</v>
      </c>
      <c r="K1398" s="610" t="s">
        <v>2828</v>
      </c>
      <c r="L1398" s="45"/>
      <c r="M1398" s="392">
        <f>250000*2</f>
        <v>500000</v>
      </c>
      <c r="N1398" s="579"/>
    </row>
    <row r="1399" spans="1:14" ht="27">
      <c r="A1399" s="123">
        <v>16</v>
      </c>
      <c r="B1399" s="970"/>
      <c r="C1399" s="573" t="s">
        <v>5574</v>
      </c>
      <c r="D1399" s="148" t="s">
        <v>306</v>
      </c>
      <c r="E1399" s="148" t="s">
        <v>322</v>
      </c>
      <c r="F1399" s="149" t="s">
        <v>5400</v>
      </c>
      <c r="G1399" s="476">
        <v>7063</v>
      </c>
      <c r="H1399" s="476" t="s">
        <v>1391</v>
      </c>
      <c r="I1399" s="227" t="s">
        <v>3020</v>
      </c>
      <c r="J1399" s="226" t="s">
        <v>168</v>
      </c>
      <c r="K1399" s="45" t="s">
        <v>5573</v>
      </c>
      <c r="L1399" s="45"/>
      <c r="M1399" s="392">
        <f>250000*3</f>
        <v>750000</v>
      </c>
      <c r="N1399" s="579"/>
    </row>
    <row r="1400" spans="1:14" ht="27">
      <c r="A1400" s="123">
        <v>16</v>
      </c>
      <c r="B1400" s="970"/>
      <c r="C1400" s="573" t="s">
        <v>5571</v>
      </c>
      <c r="D1400" s="148" t="s">
        <v>306</v>
      </c>
      <c r="E1400" s="148" t="s">
        <v>322</v>
      </c>
      <c r="F1400" s="149" t="s">
        <v>5400</v>
      </c>
      <c r="G1400" s="260" t="s">
        <v>5572</v>
      </c>
      <c r="H1400" s="260" t="s">
        <v>102</v>
      </c>
      <c r="I1400" s="390" t="s">
        <v>1105</v>
      </c>
      <c r="J1400" s="478" t="s">
        <v>1534</v>
      </c>
      <c r="K1400" s="610" t="s">
        <v>3716</v>
      </c>
      <c r="L1400" s="45"/>
      <c r="M1400" s="392">
        <f>250000*4</f>
        <v>1000000</v>
      </c>
      <c r="N1400" s="579"/>
    </row>
    <row r="1401" spans="1:14" ht="27">
      <c r="A1401" s="123">
        <v>16</v>
      </c>
      <c r="B1401" s="970"/>
      <c r="C1401" s="573" t="s">
        <v>5571</v>
      </c>
      <c r="D1401" s="148" t="s">
        <v>306</v>
      </c>
      <c r="E1401" s="148" t="s">
        <v>322</v>
      </c>
      <c r="F1401" s="149" t="s">
        <v>5400</v>
      </c>
      <c r="G1401" s="38">
        <v>8263</v>
      </c>
      <c r="H1401" s="260" t="s">
        <v>482</v>
      </c>
      <c r="I1401" s="390" t="s">
        <v>1105</v>
      </c>
      <c r="J1401" s="478" t="s">
        <v>1534</v>
      </c>
      <c r="K1401" s="610" t="s">
        <v>5575</v>
      </c>
      <c r="L1401" s="45"/>
      <c r="M1401" s="392">
        <f>250000*5</f>
        <v>1250000</v>
      </c>
      <c r="N1401" s="579"/>
    </row>
    <row r="1402" spans="1:14">
      <c r="A1402" s="123">
        <v>16</v>
      </c>
      <c r="B1402" s="970" t="s">
        <v>21</v>
      </c>
      <c r="C1402" s="573">
        <v>46124</v>
      </c>
      <c r="D1402" s="45" t="s">
        <v>21</v>
      </c>
      <c r="E1402" s="45" t="s">
        <v>17</v>
      </c>
      <c r="F1402" s="38" t="s">
        <v>5276</v>
      </c>
      <c r="G1402" s="372" t="s">
        <v>2329</v>
      </c>
      <c r="H1402" s="574" t="s">
        <v>23</v>
      </c>
      <c r="I1402" s="38" t="s">
        <v>5532</v>
      </c>
      <c r="J1402" s="372" t="s">
        <v>202</v>
      </c>
      <c r="K1402" s="661" t="s">
        <v>487</v>
      </c>
      <c r="L1402" s="45" t="s">
        <v>15</v>
      </c>
      <c r="M1402" s="96">
        <v>500000</v>
      </c>
      <c r="N1402" s="579" t="s">
        <v>5533</v>
      </c>
    </row>
    <row r="1403" spans="1:14">
      <c r="A1403" s="123">
        <v>16</v>
      </c>
      <c r="B1403" s="970"/>
      <c r="C1403" s="127">
        <v>46132</v>
      </c>
      <c r="D1403" s="3" t="s">
        <v>21</v>
      </c>
      <c r="E1403" s="3" t="s">
        <v>14</v>
      </c>
      <c r="F1403" s="472" t="s">
        <v>107</v>
      </c>
      <c r="G1403" s="454" t="s">
        <v>2959</v>
      </c>
      <c r="H1403" s="459" t="s">
        <v>143</v>
      </c>
      <c r="I1403" s="453" t="s">
        <v>5570</v>
      </c>
      <c r="J1403" s="454" t="s">
        <v>126</v>
      </c>
      <c r="K1403" s="454" t="s">
        <v>2828</v>
      </c>
      <c r="L1403" s="136" t="s">
        <v>15</v>
      </c>
      <c r="M1403" s="96">
        <v>250000</v>
      </c>
      <c r="N1403" s="579" t="s">
        <v>128</v>
      </c>
    </row>
    <row r="1404" spans="1:14">
      <c r="A1404" s="123">
        <v>16</v>
      </c>
      <c r="B1404" s="970"/>
      <c r="C1404" s="369">
        <v>46136</v>
      </c>
      <c r="D1404" s="3" t="s">
        <v>21</v>
      </c>
      <c r="E1404" s="3" t="s">
        <v>14</v>
      </c>
      <c r="F1404" s="454" t="s">
        <v>107</v>
      </c>
      <c r="G1404" s="454" t="s">
        <v>1968</v>
      </c>
      <c r="H1404" s="459" t="s">
        <v>376</v>
      </c>
      <c r="I1404" s="453" t="s">
        <v>5397</v>
      </c>
      <c r="J1404" s="454" t="s">
        <v>90</v>
      </c>
      <c r="K1404" s="454" t="s">
        <v>2828</v>
      </c>
      <c r="L1404" s="136" t="s">
        <v>15</v>
      </c>
      <c r="M1404" s="581">
        <v>250000</v>
      </c>
      <c r="N1404" s="579" t="s">
        <v>583</v>
      </c>
    </row>
    <row r="1405" spans="1:14">
      <c r="A1405" s="123">
        <v>17</v>
      </c>
      <c r="B1405" s="953" t="s">
        <v>123</v>
      </c>
      <c r="C1405" s="570">
        <v>46139</v>
      </c>
      <c r="D1405" s="94" t="s">
        <v>306</v>
      </c>
      <c r="E1405" s="94" t="s">
        <v>322</v>
      </c>
      <c r="F1405" s="571" t="s">
        <v>5400</v>
      </c>
      <c r="G1405" s="571" t="s">
        <v>3244</v>
      </c>
      <c r="H1405" s="571" t="s">
        <v>106</v>
      </c>
      <c r="I1405" s="572" t="s">
        <v>5599</v>
      </c>
      <c r="J1405" s="584" t="s">
        <v>168</v>
      </c>
      <c r="K1405" s="578" t="s">
        <v>999</v>
      </c>
      <c r="L1405" s="45"/>
      <c r="M1405" s="392">
        <f>250000*1</f>
        <v>250000</v>
      </c>
      <c r="N1405" s="26"/>
    </row>
    <row r="1406" spans="1:14">
      <c r="A1406" s="123">
        <v>17</v>
      </c>
      <c r="B1406" s="953"/>
      <c r="C1406" s="570">
        <v>46139</v>
      </c>
      <c r="D1406" s="94" t="s">
        <v>306</v>
      </c>
      <c r="E1406" s="94" t="s">
        <v>322</v>
      </c>
      <c r="F1406" s="571" t="s">
        <v>5400</v>
      </c>
      <c r="G1406" s="571">
        <v>1571</v>
      </c>
      <c r="H1406" s="571" t="s">
        <v>482</v>
      </c>
      <c r="I1406" s="572" t="s">
        <v>2962</v>
      </c>
      <c r="J1406" s="584" t="s">
        <v>126</v>
      </c>
      <c r="K1406" s="578" t="s">
        <v>2828</v>
      </c>
      <c r="L1406" s="45"/>
      <c r="M1406" s="392">
        <v>250000</v>
      </c>
      <c r="N1406" s="26"/>
    </row>
    <row r="1407" spans="1:14">
      <c r="A1407" s="123">
        <v>17</v>
      </c>
      <c r="B1407" s="953"/>
      <c r="C1407" s="570" t="s">
        <v>5615</v>
      </c>
      <c r="D1407" s="94" t="s">
        <v>306</v>
      </c>
      <c r="E1407" s="94" t="s">
        <v>322</v>
      </c>
      <c r="F1407" s="571" t="s">
        <v>5400</v>
      </c>
      <c r="G1407" s="571">
        <v>1615</v>
      </c>
      <c r="H1407" s="571" t="s">
        <v>482</v>
      </c>
      <c r="I1407" s="572" t="s">
        <v>5616</v>
      </c>
      <c r="J1407" s="584"/>
      <c r="K1407" s="578" t="s">
        <v>5617</v>
      </c>
      <c r="L1407" s="45"/>
      <c r="M1407" s="392">
        <f>250000*2</f>
        <v>500000</v>
      </c>
      <c r="N1407" s="26"/>
    </row>
    <row r="1408" spans="1:14" ht="27">
      <c r="A1408" s="123">
        <v>17</v>
      </c>
      <c r="B1408" s="953"/>
      <c r="C1408" s="570" t="s">
        <v>5600</v>
      </c>
      <c r="D1408" s="94" t="s">
        <v>306</v>
      </c>
      <c r="E1408" s="94" t="s">
        <v>322</v>
      </c>
      <c r="F1408" s="571" t="s">
        <v>5400</v>
      </c>
      <c r="G1408" s="571" t="s">
        <v>5572</v>
      </c>
      <c r="H1408" s="571" t="s">
        <v>102</v>
      </c>
      <c r="I1408" s="572" t="s">
        <v>5613</v>
      </c>
      <c r="J1408" s="584" t="s">
        <v>1534</v>
      </c>
      <c r="K1408" s="690" t="s">
        <v>5614</v>
      </c>
      <c r="L1408" s="45"/>
      <c r="M1408" s="392">
        <f>250000*4</f>
        <v>1000000</v>
      </c>
      <c r="N1408" s="26"/>
    </row>
    <row r="1409" spans="1:14" ht="26.25" customHeight="1">
      <c r="A1409" s="123">
        <v>17</v>
      </c>
      <c r="B1409" s="953"/>
      <c r="C1409" s="570" t="s">
        <v>5601</v>
      </c>
      <c r="D1409" s="94" t="s">
        <v>306</v>
      </c>
      <c r="E1409" s="94" t="s">
        <v>322</v>
      </c>
      <c r="F1409" s="571" t="s">
        <v>5400</v>
      </c>
      <c r="G1409" s="585">
        <v>7063</v>
      </c>
      <c r="H1409" s="585" t="s">
        <v>1391</v>
      </c>
      <c r="I1409" s="585" t="s">
        <v>2962</v>
      </c>
      <c r="J1409" s="584" t="s">
        <v>1948</v>
      </c>
      <c r="K1409" s="578" t="s">
        <v>2543</v>
      </c>
      <c r="L1409" s="45"/>
      <c r="M1409" s="392">
        <f>250000*3</f>
        <v>750000</v>
      </c>
      <c r="N1409" s="26"/>
    </row>
    <row r="1410" spans="1:14">
      <c r="A1410" s="123">
        <v>17</v>
      </c>
      <c r="B1410" s="978" t="s">
        <v>5650</v>
      </c>
      <c r="C1410" s="127">
        <v>46136</v>
      </c>
      <c r="D1410" s="3" t="s">
        <v>21</v>
      </c>
      <c r="E1410" s="3" t="s">
        <v>14</v>
      </c>
      <c r="F1410" s="454" t="s">
        <v>107</v>
      </c>
      <c r="G1410" s="454" t="s">
        <v>1968</v>
      </c>
      <c r="H1410" s="459" t="s">
        <v>376</v>
      </c>
      <c r="I1410" s="453" t="s">
        <v>5397</v>
      </c>
      <c r="J1410" s="454" t="s">
        <v>90</v>
      </c>
      <c r="K1410" s="662" t="s">
        <v>41</v>
      </c>
      <c r="L1410" s="136" t="s">
        <v>15</v>
      </c>
      <c r="M1410" s="96">
        <v>250000</v>
      </c>
      <c r="N1410" s="26"/>
    </row>
    <row r="1411" spans="1:14">
      <c r="A1411" s="123">
        <v>17</v>
      </c>
      <c r="B1411" s="979"/>
      <c r="C1411" s="127">
        <v>46136</v>
      </c>
      <c r="D1411" s="3" t="s">
        <v>21</v>
      </c>
      <c r="E1411" s="3" t="s">
        <v>14</v>
      </c>
      <c r="F1411" s="454" t="s">
        <v>107</v>
      </c>
      <c r="G1411" s="454" t="s">
        <v>1968</v>
      </c>
      <c r="H1411" s="459" t="s">
        <v>67</v>
      </c>
      <c r="I1411" s="453" t="s">
        <v>1310</v>
      </c>
      <c r="J1411" s="454" t="s">
        <v>90</v>
      </c>
      <c r="K1411" s="454" t="s">
        <v>3074</v>
      </c>
      <c r="L1411" s="136" t="s">
        <v>15</v>
      </c>
      <c r="M1411" s="96">
        <v>300000</v>
      </c>
      <c r="N1411" s="26"/>
    </row>
    <row r="1412" spans="1:14">
      <c r="A1412" s="123">
        <v>17</v>
      </c>
      <c r="B1412" s="979"/>
      <c r="C1412" s="570">
        <v>46140</v>
      </c>
      <c r="D1412" s="45" t="s">
        <v>21</v>
      </c>
      <c r="E1412" s="45" t="s">
        <v>14</v>
      </c>
      <c r="F1412" s="372" t="s">
        <v>1787</v>
      </c>
      <c r="G1412" s="38" t="s">
        <v>5409</v>
      </c>
      <c r="H1412" s="575" t="s">
        <v>23</v>
      </c>
      <c r="I1412" s="38" t="s">
        <v>5584</v>
      </c>
      <c r="J1412" s="372" t="s">
        <v>120</v>
      </c>
      <c r="K1412" s="576" t="s">
        <v>2828</v>
      </c>
      <c r="L1412" s="45" t="s">
        <v>15</v>
      </c>
      <c r="M1412" s="96">
        <v>250000</v>
      </c>
      <c r="N1412" s="26"/>
    </row>
    <row r="1413" spans="1:14">
      <c r="A1413" s="123">
        <v>17</v>
      </c>
      <c r="B1413" s="979"/>
      <c r="C1413" s="570">
        <v>46141</v>
      </c>
      <c r="D1413" s="45" t="s">
        <v>21</v>
      </c>
      <c r="E1413" s="45" t="s">
        <v>14</v>
      </c>
      <c r="F1413" s="372" t="s">
        <v>1787</v>
      </c>
      <c r="G1413" s="38" t="s">
        <v>2978</v>
      </c>
      <c r="H1413" s="575" t="s">
        <v>143</v>
      </c>
      <c r="I1413" s="38" t="s">
        <v>5593</v>
      </c>
      <c r="J1413" s="372" t="s">
        <v>120</v>
      </c>
      <c r="K1413" s="576" t="s">
        <v>2828</v>
      </c>
      <c r="L1413" s="45" t="s">
        <v>15</v>
      </c>
      <c r="M1413" s="96">
        <v>250000</v>
      </c>
      <c r="N1413" s="26"/>
    </row>
    <row r="1414" spans="1:14" ht="27">
      <c r="A1414" s="123">
        <v>17</v>
      </c>
      <c r="B1414" s="980"/>
      <c r="C1414" s="573">
        <v>46142</v>
      </c>
      <c r="D1414" s="44" t="s">
        <v>21</v>
      </c>
      <c r="E1414" s="44" t="s">
        <v>14</v>
      </c>
      <c r="F1414" s="576" t="s">
        <v>107</v>
      </c>
      <c r="G1414" s="576" t="s">
        <v>3386</v>
      </c>
      <c r="H1414" s="575" t="s">
        <v>23</v>
      </c>
      <c r="I1414" s="38" t="s">
        <v>5588</v>
      </c>
      <c r="J1414" s="576" t="s">
        <v>90</v>
      </c>
      <c r="K1414" s="576" t="s">
        <v>2828</v>
      </c>
      <c r="L1414" s="44" t="s">
        <v>15</v>
      </c>
      <c r="M1414" s="581">
        <v>250000</v>
      </c>
      <c r="N1414" s="598"/>
    </row>
    <row r="1415" spans="1:14">
      <c r="A1415" s="123">
        <v>18</v>
      </c>
      <c r="B1415" s="953" t="s">
        <v>5693</v>
      </c>
      <c r="C1415" s="573">
        <v>46148</v>
      </c>
      <c r="D1415" s="94" t="s">
        <v>306</v>
      </c>
      <c r="E1415" s="94" t="s">
        <v>322</v>
      </c>
      <c r="F1415" s="571" t="s">
        <v>5400</v>
      </c>
      <c r="G1415" s="571" t="s">
        <v>4939</v>
      </c>
      <c r="H1415" s="571" t="s">
        <v>482</v>
      </c>
      <c r="I1415" s="572" t="s">
        <v>2979</v>
      </c>
      <c r="J1415" s="584" t="s">
        <v>126</v>
      </c>
      <c r="K1415" s="578" t="s">
        <v>5664</v>
      </c>
      <c r="L1415" s="45"/>
      <c r="M1415" s="392">
        <f>250000*2</f>
        <v>500000</v>
      </c>
      <c r="N1415" s="673"/>
    </row>
    <row r="1416" spans="1:14">
      <c r="A1416" s="123">
        <v>18</v>
      </c>
      <c r="B1416" s="953"/>
      <c r="C1416" s="573" t="s">
        <v>5665</v>
      </c>
      <c r="D1416" s="94" t="s">
        <v>306</v>
      </c>
      <c r="E1416" s="94" t="s">
        <v>322</v>
      </c>
      <c r="F1416" s="571" t="s">
        <v>5400</v>
      </c>
      <c r="G1416" s="571">
        <v>1615</v>
      </c>
      <c r="H1416" s="571" t="s">
        <v>482</v>
      </c>
      <c r="I1416" s="572" t="s">
        <v>5663</v>
      </c>
      <c r="J1416" s="584" t="s">
        <v>1948</v>
      </c>
      <c r="K1416" s="578" t="s">
        <v>1101</v>
      </c>
      <c r="L1416" s="45"/>
      <c r="M1416" s="392">
        <f>250000*2</f>
        <v>500000</v>
      </c>
      <c r="N1416" s="673"/>
    </row>
    <row r="1417" spans="1:14">
      <c r="A1417" s="123">
        <v>18</v>
      </c>
      <c r="B1417" s="953"/>
      <c r="C1417" s="573">
        <v>46148</v>
      </c>
      <c r="D1417" s="94" t="s">
        <v>306</v>
      </c>
      <c r="E1417" s="94" t="s">
        <v>322</v>
      </c>
      <c r="F1417" s="571" t="s">
        <v>5400</v>
      </c>
      <c r="G1417" s="571" t="s">
        <v>5506</v>
      </c>
      <c r="H1417" s="571" t="s">
        <v>18</v>
      </c>
      <c r="I1417" s="572" t="s">
        <v>5613</v>
      </c>
      <c r="J1417" s="584" t="s">
        <v>1534</v>
      </c>
      <c r="K1417" s="578" t="s">
        <v>2828</v>
      </c>
      <c r="L1417" s="45"/>
      <c r="M1417" s="392">
        <f>250000*1</f>
        <v>250000</v>
      </c>
      <c r="N1417" s="579"/>
    </row>
    <row r="1418" spans="1:14">
      <c r="A1418" s="123">
        <v>18</v>
      </c>
      <c r="B1418" s="953"/>
      <c r="C1418" s="573" t="s">
        <v>5666</v>
      </c>
      <c r="D1418" s="94" t="s">
        <v>306</v>
      </c>
      <c r="E1418" s="94" t="s">
        <v>322</v>
      </c>
      <c r="F1418" s="571" t="s">
        <v>5400</v>
      </c>
      <c r="G1418" s="571" t="s">
        <v>5506</v>
      </c>
      <c r="H1418" s="571" t="s">
        <v>264</v>
      </c>
      <c r="I1418" s="572" t="s">
        <v>5613</v>
      </c>
      <c r="J1418" s="584" t="s">
        <v>1534</v>
      </c>
      <c r="K1418" s="578" t="s">
        <v>2838</v>
      </c>
      <c r="L1418" s="45"/>
      <c r="M1418" s="392">
        <f>250000*2</f>
        <v>500000</v>
      </c>
      <c r="N1418" s="579"/>
    </row>
    <row r="1419" spans="1:14">
      <c r="A1419" s="123">
        <v>18</v>
      </c>
      <c r="B1419" s="953" t="s">
        <v>5694</v>
      </c>
      <c r="C1419" s="369">
        <v>46140</v>
      </c>
      <c r="D1419" s="4" t="s">
        <v>21</v>
      </c>
      <c r="E1419" s="4" t="s">
        <v>14</v>
      </c>
      <c r="F1419" s="31" t="s">
        <v>78</v>
      </c>
      <c r="G1419" s="193" t="s">
        <v>3008</v>
      </c>
      <c r="H1419" s="16" t="s">
        <v>1382</v>
      </c>
      <c r="I1419" s="193" t="s">
        <v>5438</v>
      </c>
      <c r="J1419" s="31" t="s">
        <v>202</v>
      </c>
      <c r="K1419" s="31" t="s">
        <v>686</v>
      </c>
      <c r="L1419" s="125" t="s">
        <v>15</v>
      </c>
      <c r="M1419" s="96">
        <v>250000</v>
      </c>
      <c r="N1419" s="45" t="s">
        <v>5667</v>
      </c>
    </row>
    <row r="1420" spans="1:14">
      <c r="A1420" s="123">
        <v>18</v>
      </c>
      <c r="B1420" s="953"/>
      <c r="C1420" s="369">
        <v>46142</v>
      </c>
      <c r="D1420" s="3" t="s">
        <v>24</v>
      </c>
      <c r="E1420" s="3" t="s">
        <v>14</v>
      </c>
      <c r="F1420" s="454" t="s">
        <v>107</v>
      </c>
      <c r="G1420" s="454" t="s">
        <v>1968</v>
      </c>
      <c r="H1420" s="459" t="s">
        <v>553</v>
      </c>
      <c r="I1420" s="453" t="s">
        <v>216</v>
      </c>
      <c r="J1420" s="454" t="s">
        <v>202</v>
      </c>
      <c r="K1420" s="453" t="s">
        <v>487</v>
      </c>
      <c r="L1420" s="136" t="s">
        <v>15</v>
      </c>
      <c r="M1420" s="96">
        <v>500000</v>
      </c>
      <c r="N1420" s="45" t="s">
        <v>5667</v>
      </c>
    </row>
    <row r="1421" spans="1:14" ht="27">
      <c r="A1421" s="123">
        <v>18</v>
      </c>
      <c r="B1421" s="953"/>
      <c r="C1421" s="369">
        <v>46146</v>
      </c>
      <c r="D1421" s="4" t="s">
        <v>24</v>
      </c>
      <c r="E1421" s="4" t="s">
        <v>31</v>
      </c>
      <c r="F1421" s="31" t="s">
        <v>5632</v>
      </c>
      <c r="G1421" s="193" t="s">
        <v>3970</v>
      </c>
      <c r="H1421" s="16" t="s">
        <v>23</v>
      </c>
      <c r="I1421" s="193" t="s">
        <v>5633</v>
      </c>
      <c r="J1421" s="31"/>
      <c r="K1421" s="193" t="s">
        <v>3075</v>
      </c>
      <c r="L1421" s="125" t="s">
        <v>15</v>
      </c>
      <c r="M1421" s="96">
        <v>400000</v>
      </c>
      <c r="N1421" s="45" t="s">
        <v>127</v>
      </c>
    </row>
    <row r="1422" spans="1:14">
      <c r="A1422" s="123">
        <v>18</v>
      </c>
      <c r="B1422" s="953"/>
      <c r="C1422" s="369">
        <v>46148</v>
      </c>
      <c r="D1422" s="3" t="s">
        <v>21</v>
      </c>
      <c r="E1422" s="3" t="s">
        <v>14</v>
      </c>
      <c r="F1422" s="472" t="s">
        <v>107</v>
      </c>
      <c r="G1422" s="454" t="s">
        <v>2959</v>
      </c>
      <c r="H1422" s="459" t="s">
        <v>143</v>
      </c>
      <c r="I1422" s="453" t="s">
        <v>5570</v>
      </c>
      <c r="J1422" s="454" t="s">
        <v>126</v>
      </c>
      <c r="K1422" s="454" t="s">
        <v>5606</v>
      </c>
      <c r="L1422" s="136" t="s">
        <v>15</v>
      </c>
      <c r="M1422" s="96">
        <v>500000</v>
      </c>
      <c r="N1422" s="579" t="s">
        <v>128</v>
      </c>
    </row>
    <row r="1423" spans="1:14">
      <c r="A1423" s="123">
        <v>18</v>
      </c>
      <c r="B1423" s="953"/>
      <c r="C1423" s="369">
        <v>46149</v>
      </c>
      <c r="D1423" s="3" t="s">
        <v>21</v>
      </c>
      <c r="E1423" s="3" t="s">
        <v>14</v>
      </c>
      <c r="F1423" s="472" t="s">
        <v>107</v>
      </c>
      <c r="G1423" s="454" t="s">
        <v>2959</v>
      </c>
      <c r="H1423" s="459" t="s">
        <v>143</v>
      </c>
      <c r="I1423" s="453" t="s">
        <v>5570</v>
      </c>
      <c r="J1423" s="454" t="s">
        <v>126</v>
      </c>
      <c r="K1423" s="454" t="s">
        <v>5606</v>
      </c>
      <c r="L1423" s="136" t="s">
        <v>15</v>
      </c>
      <c r="M1423" s="96">
        <v>500000</v>
      </c>
      <c r="N1423" s="579" t="s">
        <v>128</v>
      </c>
    </row>
    <row r="1424" spans="1:14" ht="27">
      <c r="A1424" s="123">
        <v>18</v>
      </c>
      <c r="B1424" s="953"/>
      <c r="C1424" s="369">
        <v>46150</v>
      </c>
      <c r="D1424" s="4" t="s">
        <v>21</v>
      </c>
      <c r="E1424" s="4" t="s">
        <v>14</v>
      </c>
      <c r="F1424" s="31" t="s">
        <v>1787</v>
      </c>
      <c r="G1424" s="31" t="s">
        <v>2978</v>
      </c>
      <c r="H1424" s="16" t="s">
        <v>67</v>
      </c>
      <c r="I1424" s="193" t="s">
        <v>5651</v>
      </c>
      <c r="J1424" s="31" t="s">
        <v>5484</v>
      </c>
      <c r="K1424" s="193" t="s">
        <v>3074</v>
      </c>
      <c r="L1424" s="125" t="s">
        <v>15</v>
      </c>
      <c r="M1424" s="581">
        <v>400000</v>
      </c>
      <c r="N1424" s="579" t="s">
        <v>128</v>
      </c>
    </row>
    <row r="1425" spans="1:14">
      <c r="A1425" s="123">
        <v>19</v>
      </c>
      <c r="B1425" s="1133" t="s">
        <v>5770</v>
      </c>
      <c r="C1425" s="644" t="s">
        <v>5759</v>
      </c>
      <c r="D1425" s="641" t="s">
        <v>306</v>
      </c>
      <c r="E1425" s="641" t="s">
        <v>322</v>
      </c>
      <c r="F1425" s="644" t="s">
        <v>5400</v>
      </c>
      <c r="G1425" s="644" t="s">
        <v>5760</v>
      </c>
      <c r="H1425" s="644" t="s">
        <v>1911</v>
      </c>
      <c r="I1425" s="658" t="s">
        <v>4915</v>
      </c>
      <c r="J1425" s="641" t="s">
        <v>1534</v>
      </c>
      <c r="K1425" s="641" t="s">
        <v>4943</v>
      </c>
      <c r="L1425" s="641"/>
      <c r="M1425" s="668">
        <v>750000</v>
      </c>
      <c r="N1425" s="670"/>
    </row>
    <row r="1426" spans="1:14">
      <c r="A1426" s="123">
        <v>19</v>
      </c>
      <c r="B1426" s="1133"/>
      <c r="C1426" s="644" t="s">
        <v>5761</v>
      </c>
      <c r="D1426" s="641" t="s">
        <v>306</v>
      </c>
      <c r="E1426" s="641" t="s">
        <v>322</v>
      </c>
      <c r="F1426" s="644" t="s">
        <v>5400</v>
      </c>
      <c r="G1426" s="672" t="s">
        <v>5771</v>
      </c>
      <c r="H1426" s="644" t="s">
        <v>1047</v>
      </c>
      <c r="I1426" s="658" t="s">
        <v>5762</v>
      </c>
      <c r="J1426" s="641" t="s">
        <v>1534</v>
      </c>
      <c r="K1426" s="641" t="s">
        <v>5763</v>
      </c>
      <c r="L1426" s="641"/>
      <c r="M1426" s="668">
        <v>1500000</v>
      </c>
      <c r="N1426" s="670"/>
    </row>
    <row r="1427" spans="1:14">
      <c r="A1427" s="123">
        <v>19</v>
      </c>
      <c r="B1427" s="1133"/>
      <c r="C1427" s="644" t="s">
        <v>5764</v>
      </c>
      <c r="D1427" s="641" t="s">
        <v>306</v>
      </c>
      <c r="E1427" s="641" t="s">
        <v>322</v>
      </c>
      <c r="F1427" s="644" t="s">
        <v>5400</v>
      </c>
      <c r="G1427" s="644" t="s">
        <v>5760</v>
      </c>
      <c r="H1427" s="644" t="s">
        <v>640</v>
      </c>
      <c r="I1427" s="658" t="s">
        <v>4915</v>
      </c>
      <c r="J1427" s="641" t="s">
        <v>1534</v>
      </c>
      <c r="K1427" s="641" t="s">
        <v>3101</v>
      </c>
      <c r="L1427" s="641"/>
      <c r="M1427" s="668">
        <v>500000</v>
      </c>
      <c r="N1427" s="670"/>
    </row>
    <row r="1428" spans="1:14">
      <c r="A1428" s="123">
        <v>19</v>
      </c>
      <c r="B1428" s="1133"/>
      <c r="C1428" s="644" t="s">
        <v>5765</v>
      </c>
      <c r="D1428" s="641" t="s">
        <v>306</v>
      </c>
      <c r="E1428" s="641" t="s">
        <v>322</v>
      </c>
      <c r="F1428" s="644" t="s">
        <v>5400</v>
      </c>
      <c r="G1428" s="644" t="s">
        <v>5766</v>
      </c>
      <c r="H1428" s="644" t="s">
        <v>5767</v>
      </c>
      <c r="I1428" s="658" t="s">
        <v>5768</v>
      </c>
      <c r="J1428" s="641" t="s">
        <v>664</v>
      </c>
      <c r="K1428" s="641" t="s">
        <v>5769</v>
      </c>
      <c r="L1428" s="641"/>
      <c r="M1428" s="668">
        <v>1000000</v>
      </c>
      <c r="N1428" s="644"/>
    </row>
    <row r="1429" spans="1:14" ht="22.5">
      <c r="A1429" s="123">
        <v>19</v>
      </c>
      <c r="B1429" s="1133" t="s">
        <v>21</v>
      </c>
      <c r="C1429" s="657">
        <v>46150</v>
      </c>
      <c r="D1429" s="641" t="s">
        <v>21</v>
      </c>
      <c r="E1429" s="641" t="s">
        <v>14</v>
      </c>
      <c r="F1429" s="664" t="s">
        <v>1787</v>
      </c>
      <c r="G1429" s="664" t="s">
        <v>2817</v>
      </c>
      <c r="H1429" s="643" t="s">
        <v>67</v>
      </c>
      <c r="I1429" s="642" t="s">
        <v>5651</v>
      </c>
      <c r="J1429" s="664" t="s">
        <v>120</v>
      </c>
      <c r="K1429" s="642" t="s">
        <v>5273</v>
      </c>
      <c r="L1429" s="641" t="s">
        <v>15</v>
      </c>
      <c r="M1429" s="669">
        <v>550000</v>
      </c>
      <c r="N1429" s="641" t="s">
        <v>5700</v>
      </c>
    </row>
    <row r="1430" spans="1:14">
      <c r="A1430" s="123">
        <v>19</v>
      </c>
      <c r="B1430" s="1133"/>
      <c r="C1430" s="657">
        <v>46153</v>
      </c>
      <c r="D1430" s="618" t="s">
        <v>24</v>
      </c>
      <c r="E1430" s="618" t="s">
        <v>14</v>
      </c>
      <c r="F1430" s="653" t="s">
        <v>5707</v>
      </c>
      <c r="G1430" s="653" t="s">
        <v>1968</v>
      </c>
      <c r="H1430" s="620" t="s">
        <v>142</v>
      </c>
      <c r="I1430" s="619" t="s">
        <v>5706</v>
      </c>
      <c r="J1430" s="653" t="s">
        <v>5473</v>
      </c>
      <c r="K1430" s="653" t="s">
        <v>3074</v>
      </c>
      <c r="L1430" s="618" t="s">
        <v>181</v>
      </c>
      <c r="M1430" s="669">
        <v>400000</v>
      </c>
      <c r="N1430" s="641"/>
    </row>
    <row r="1431" spans="1:14">
      <c r="A1431" s="123">
        <v>19</v>
      </c>
      <c r="B1431" s="1133"/>
      <c r="C1431" s="657">
        <v>46153</v>
      </c>
      <c r="D1431" s="618" t="s">
        <v>21</v>
      </c>
      <c r="E1431" s="618" t="s">
        <v>14</v>
      </c>
      <c r="F1431" s="653" t="s">
        <v>1893</v>
      </c>
      <c r="G1431" s="653" t="s">
        <v>4939</v>
      </c>
      <c r="H1431" s="620" t="s">
        <v>2193</v>
      </c>
      <c r="I1431" s="642" t="s">
        <v>271</v>
      </c>
      <c r="J1431" s="664" t="s">
        <v>202</v>
      </c>
      <c r="K1431" s="664" t="s">
        <v>641</v>
      </c>
      <c r="L1431" s="641" t="s">
        <v>15</v>
      </c>
      <c r="M1431" s="669">
        <v>500000</v>
      </c>
      <c r="N1431" s="641"/>
    </row>
    <row r="1432" spans="1:14">
      <c r="A1432" s="123">
        <v>19</v>
      </c>
      <c r="B1432" s="1133"/>
      <c r="C1432" s="657">
        <v>46154</v>
      </c>
      <c r="D1432" s="618" t="s">
        <v>21</v>
      </c>
      <c r="E1432" s="618" t="s">
        <v>14</v>
      </c>
      <c r="F1432" s="653" t="s">
        <v>1893</v>
      </c>
      <c r="G1432" s="653" t="s">
        <v>4939</v>
      </c>
      <c r="H1432" s="620" t="s">
        <v>2193</v>
      </c>
      <c r="I1432" s="642" t="s">
        <v>271</v>
      </c>
      <c r="J1432" s="664" t="s">
        <v>202</v>
      </c>
      <c r="K1432" s="664" t="s">
        <v>641</v>
      </c>
      <c r="L1432" s="641" t="s">
        <v>15</v>
      </c>
      <c r="M1432" s="669">
        <v>500000</v>
      </c>
      <c r="N1432" s="671"/>
    </row>
    <row r="1433" spans="1:14" ht="24">
      <c r="A1433" s="689">
        <v>20</v>
      </c>
      <c r="B1433" s="978" t="s">
        <v>5876</v>
      </c>
      <c r="C1433" s="645" t="s">
        <v>5857</v>
      </c>
      <c r="D1433" s="637" t="s">
        <v>306</v>
      </c>
      <c r="E1433" s="637" t="s">
        <v>322</v>
      </c>
      <c r="F1433" s="645" t="s">
        <v>5400</v>
      </c>
      <c r="G1433" s="645" t="s">
        <v>5051</v>
      </c>
      <c r="H1433" s="645" t="s">
        <v>4967</v>
      </c>
      <c r="I1433" s="647" t="s">
        <v>5858</v>
      </c>
      <c r="J1433" s="641" t="s">
        <v>1534</v>
      </c>
      <c r="K1433" s="646" t="s">
        <v>5859</v>
      </c>
      <c r="L1433" s="646"/>
      <c r="M1433" s="677">
        <v>1500000</v>
      </c>
      <c r="N1433" s="670"/>
    </row>
    <row r="1434" spans="1:14">
      <c r="A1434" s="689">
        <v>20</v>
      </c>
      <c r="B1434" s="979"/>
      <c r="C1434" s="645" t="s">
        <v>5860</v>
      </c>
      <c r="D1434" s="637" t="s">
        <v>306</v>
      </c>
      <c r="E1434" s="637" t="s">
        <v>322</v>
      </c>
      <c r="F1434" s="645" t="s">
        <v>5400</v>
      </c>
      <c r="G1434" s="645">
        <v>1615</v>
      </c>
      <c r="H1434" s="645" t="s">
        <v>1911</v>
      </c>
      <c r="I1434" s="647" t="s">
        <v>1057</v>
      </c>
      <c r="J1434" s="641" t="s">
        <v>5447</v>
      </c>
      <c r="K1434" s="646" t="s">
        <v>1102</v>
      </c>
      <c r="L1434" s="646"/>
      <c r="M1434" s="677">
        <v>250000</v>
      </c>
      <c r="N1434" s="670"/>
    </row>
    <row r="1435" spans="1:14" ht="24">
      <c r="A1435" s="689">
        <v>20</v>
      </c>
      <c r="B1435" s="979"/>
      <c r="C1435" s="645" t="s">
        <v>5861</v>
      </c>
      <c r="D1435" s="637" t="s">
        <v>306</v>
      </c>
      <c r="E1435" s="637" t="s">
        <v>322</v>
      </c>
      <c r="F1435" s="645" t="s">
        <v>5400</v>
      </c>
      <c r="G1435" s="645">
        <v>1571</v>
      </c>
      <c r="H1435" s="645" t="s">
        <v>1911</v>
      </c>
      <c r="I1435" s="647" t="s">
        <v>5862</v>
      </c>
      <c r="J1435" s="641" t="s">
        <v>5447</v>
      </c>
      <c r="K1435" s="646" t="s">
        <v>1100</v>
      </c>
      <c r="L1435" s="646"/>
      <c r="M1435" s="677">
        <v>500000</v>
      </c>
      <c r="N1435" s="670"/>
    </row>
    <row r="1436" spans="1:14">
      <c r="A1436" s="689">
        <v>20</v>
      </c>
      <c r="B1436" s="979"/>
      <c r="C1436" s="645" t="s">
        <v>5863</v>
      </c>
      <c r="D1436" s="637" t="s">
        <v>306</v>
      </c>
      <c r="E1436" s="637" t="s">
        <v>322</v>
      </c>
      <c r="F1436" s="647" t="s">
        <v>3056</v>
      </c>
      <c r="G1436" s="647" t="s">
        <v>5094</v>
      </c>
      <c r="H1436" s="647" t="s">
        <v>640</v>
      </c>
      <c r="I1436" s="647" t="s">
        <v>5864</v>
      </c>
      <c r="J1436" s="647" t="s">
        <v>1111</v>
      </c>
      <c r="K1436" s="647" t="s">
        <v>3105</v>
      </c>
      <c r="L1436" s="646"/>
      <c r="M1436" s="677">
        <v>250000</v>
      </c>
      <c r="N1436" s="670"/>
    </row>
    <row r="1437" spans="1:14" ht="24">
      <c r="A1437" s="689">
        <v>20</v>
      </c>
      <c r="B1437" s="980"/>
      <c r="C1437" s="645" t="s">
        <v>5865</v>
      </c>
      <c r="D1437" s="637" t="s">
        <v>306</v>
      </c>
      <c r="E1437" s="637" t="s">
        <v>322</v>
      </c>
      <c r="F1437" s="645" t="s">
        <v>5400</v>
      </c>
      <c r="G1437" s="645" t="s">
        <v>5766</v>
      </c>
      <c r="H1437" s="645" t="s">
        <v>1047</v>
      </c>
      <c r="I1437" s="647" t="s">
        <v>5862</v>
      </c>
      <c r="J1437" s="641" t="s">
        <v>5447</v>
      </c>
      <c r="K1437" s="646" t="s">
        <v>1100</v>
      </c>
      <c r="L1437" s="646"/>
      <c r="M1437" s="677">
        <v>500000</v>
      </c>
      <c r="N1437" s="644"/>
    </row>
    <row r="1438" spans="1:14">
      <c r="A1438" s="689">
        <v>20</v>
      </c>
      <c r="B1438" s="978" t="s">
        <v>21</v>
      </c>
      <c r="C1438" s="645" t="s">
        <v>5866</v>
      </c>
      <c r="D1438" s="637" t="s">
        <v>311</v>
      </c>
      <c r="E1438" s="637" t="s">
        <v>320</v>
      </c>
      <c r="F1438" s="647" t="s">
        <v>337</v>
      </c>
      <c r="G1438" s="647" t="s">
        <v>3168</v>
      </c>
      <c r="H1438" s="647" t="s">
        <v>3169</v>
      </c>
      <c r="I1438" s="645" t="s">
        <v>5867</v>
      </c>
      <c r="J1438" s="645" t="s">
        <v>5868</v>
      </c>
      <c r="K1438" s="645" t="s">
        <v>713</v>
      </c>
      <c r="L1438" s="646" t="s">
        <v>309</v>
      </c>
      <c r="M1438" s="677">
        <v>250000</v>
      </c>
      <c r="N1438" s="641" t="s">
        <v>5869</v>
      </c>
    </row>
    <row r="1439" spans="1:14">
      <c r="A1439" s="689">
        <v>20</v>
      </c>
      <c r="B1439" s="979"/>
      <c r="C1439" s="967" t="s">
        <v>5860</v>
      </c>
      <c r="D1439" s="968" t="s">
        <v>311</v>
      </c>
      <c r="E1439" s="968" t="s">
        <v>320</v>
      </c>
      <c r="F1439" s="969" t="s">
        <v>5188</v>
      </c>
      <c r="G1439" s="658" t="s">
        <v>1919</v>
      </c>
      <c r="H1439" s="969" t="s">
        <v>347</v>
      </c>
      <c r="I1439" s="969" t="s">
        <v>5870</v>
      </c>
      <c r="J1439" s="969"/>
      <c r="K1439" s="969" t="s">
        <v>692</v>
      </c>
      <c r="L1439" s="968" t="s">
        <v>309</v>
      </c>
      <c r="M1439" s="971">
        <v>500000</v>
      </c>
      <c r="N1439" s="1121"/>
    </row>
    <row r="1440" spans="1:14">
      <c r="A1440" s="689">
        <v>20</v>
      </c>
      <c r="B1440" s="979"/>
      <c r="C1440" s="967"/>
      <c r="D1440" s="968"/>
      <c r="E1440" s="968"/>
      <c r="F1440" s="969"/>
      <c r="G1440" s="658" t="s">
        <v>5189</v>
      </c>
      <c r="H1440" s="969"/>
      <c r="I1440" s="969"/>
      <c r="J1440" s="969"/>
      <c r="K1440" s="969"/>
      <c r="L1440" s="968"/>
      <c r="M1440" s="971"/>
      <c r="N1440" s="1121"/>
    </row>
    <row r="1441" spans="1:14" ht="24">
      <c r="A1441" s="689">
        <v>20</v>
      </c>
      <c r="B1441" s="980"/>
      <c r="C1441" s="645" t="s">
        <v>5871</v>
      </c>
      <c r="D1441" s="646" t="s">
        <v>311</v>
      </c>
      <c r="E1441" s="646" t="s">
        <v>320</v>
      </c>
      <c r="F1441" s="645" t="s">
        <v>5872</v>
      </c>
      <c r="G1441" s="645">
        <v>124001</v>
      </c>
      <c r="H1441" s="645" t="s">
        <v>5873</v>
      </c>
      <c r="I1441" s="645" t="s">
        <v>5874</v>
      </c>
      <c r="J1441" s="645" t="s">
        <v>5875</v>
      </c>
      <c r="K1441" s="645" t="s">
        <v>3192</v>
      </c>
      <c r="L1441" s="646" t="s">
        <v>309</v>
      </c>
      <c r="M1441" s="677">
        <v>300000</v>
      </c>
      <c r="N1441" s="641"/>
    </row>
    <row r="1442" spans="1:14">
      <c r="A1442" s="689">
        <v>21</v>
      </c>
      <c r="B1442" s="952" t="s">
        <v>20</v>
      </c>
      <c r="C1442" s="640">
        <v>46164</v>
      </c>
      <c r="D1442" s="632" t="s">
        <v>19</v>
      </c>
      <c r="E1442" s="632" t="s">
        <v>25</v>
      </c>
      <c r="F1442" s="633" t="s">
        <v>1069</v>
      </c>
      <c r="G1442" s="633" t="s">
        <v>5754</v>
      </c>
      <c r="H1442" s="636" t="s">
        <v>18</v>
      </c>
      <c r="I1442" s="634" t="s">
        <v>5777</v>
      </c>
      <c r="J1442" s="633"/>
      <c r="K1442" s="634" t="s">
        <v>5820</v>
      </c>
      <c r="L1442" s="646"/>
      <c r="M1442" s="677">
        <v>500000</v>
      </c>
      <c r="N1442" s="26"/>
    </row>
    <row r="1443" spans="1:14">
      <c r="A1443" s="689">
        <v>21</v>
      </c>
      <c r="B1443" s="952"/>
      <c r="C1443" s="640">
        <v>46165</v>
      </c>
      <c r="D1443" s="632" t="s">
        <v>19</v>
      </c>
      <c r="E1443" s="632" t="s">
        <v>25</v>
      </c>
      <c r="F1443" s="645" t="s">
        <v>5838</v>
      </c>
      <c r="G1443" s="645" t="s">
        <v>5839</v>
      </c>
      <c r="H1443" s="645" t="s">
        <v>5840</v>
      </c>
      <c r="I1443" s="647" t="s">
        <v>5841</v>
      </c>
      <c r="J1443" s="646"/>
      <c r="K1443" s="646" t="s">
        <v>5842</v>
      </c>
      <c r="L1443" s="646"/>
      <c r="M1443" s="677">
        <v>250000</v>
      </c>
      <c r="N1443" s="26"/>
    </row>
    <row r="1444" spans="1:14" ht="24">
      <c r="A1444" s="689">
        <v>21</v>
      </c>
      <c r="B1444" s="952"/>
      <c r="C1444" s="640" t="s">
        <v>5846</v>
      </c>
      <c r="D1444" s="632" t="s">
        <v>19</v>
      </c>
      <c r="E1444" s="632" t="s">
        <v>25</v>
      </c>
      <c r="F1444" s="645" t="s">
        <v>5838</v>
      </c>
      <c r="G1444" s="645" t="s">
        <v>5843</v>
      </c>
      <c r="H1444" s="645" t="s">
        <v>5844</v>
      </c>
      <c r="I1444" s="647" t="s">
        <v>5845</v>
      </c>
      <c r="J1444" s="646"/>
      <c r="K1444" s="646" t="s">
        <v>3101</v>
      </c>
      <c r="L1444" s="646"/>
      <c r="M1444" s="677">
        <f>250000*2</f>
        <v>500000</v>
      </c>
      <c r="N1444" s="26"/>
    </row>
    <row r="1445" spans="1:14" ht="24">
      <c r="A1445" s="689">
        <v>21</v>
      </c>
      <c r="B1445" s="952"/>
      <c r="C1445" s="640" t="s">
        <v>5846</v>
      </c>
      <c r="D1445" s="632" t="s">
        <v>19</v>
      </c>
      <c r="E1445" s="632" t="s">
        <v>25</v>
      </c>
      <c r="F1445" s="645" t="s">
        <v>5838</v>
      </c>
      <c r="G1445" s="645" t="s">
        <v>5854</v>
      </c>
      <c r="H1445" s="645" t="s">
        <v>5855</v>
      </c>
      <c r="I1445" s="647" t="s">
        <v>5856</v>
      </c>
      <c r="J1445" s="646"/>
      <c r="K1445" s="646" t="s">
        <v>3101</v>
      </c>
      <c r="L1445" s="646"/>
      <c r="M1445" s="677">
        <f>250000*2</f>
        <v>500000</v>
      </c>
      <c r="N1445" s="26"/>
    </row>
    <row r="1446" spans="1:14" ht="24">
      <c r="A1446" s="689">
        <v>21</v>
      </c>
      <c r="B1446" s="952"/>
      <c r="C1446" s="640" t="s">
        <v>5851</v>
      </c>
      <c r="D1446" s="632" t="s">
        <v>19</v>
      </c>
      <c r="E1446" s="632" t="s">
        <v>25</v>
      </c>
      <c r="F1446" s="645" t="s">
        <v>5838</v>
      </c>
      <c r="G1446" s="633" t="s">
        <v>5847</v>
      </c>
      <c r="H1446" s="636" t="s">
        <v>5849</v>
      </c>
      <c r="I1446" s="634" t="s">
        <v>5853</v>
      </c>
      <c r="J1446" s="633"/>
      <c r="K1446" s="634" t="s">
        <v>5852</v>
      </c>
      <c r="L1446" s="646"/>
      <c r="M1446" s="677">
        <f>250000*2</f>
        <v>500000</v>
      </c>
      <c r="N1446" s="26"/>
    </row>
    <row r="1447" spans="1:14">
      <c r="A1447" s="689">
        <v>21</v>
      </c>
      <c r="B1447" s="952"/>
      <c r="C1447" s="640">
        <v>46171</v>
      </c>
      <c r="D1447" s="632" t="s">
        <v>19</v>
      </c>
      <c r="E1447" s="632" t="s">
        <v>25</v>
      </c>
      <c r="F1447" s="645" t="s">
        <v>5838</v>
      </c>
      <c r="G1447" s="633" t="s">
        <v>5847</v>
      </c>
      <c r="H1447" s="645" t="s">
        <v>5848</v>
      </c>
      <c r="I1447" s="647" t="s">
        <v>5850</v>
      </c>
      <c r="J1447" s="646"/>
      <c r="K1447" s="634" t="s">
        <v>5852</v>
      </c>
      <c r="L1447" s="646"/>
      <c r="M1447" s="677">
        <f>250000*2</f>
        <v>500000</v>
      </c>
      <c r="N1447" s="26"/>
    </row>
    <row r="1448" spans="1:14">
      <c r="A1448" s="691">
        <v>21</v>
      </c>
      <c r="B1448" s="952" t="s">
        <v>21</v>
      </c>
      <c r="C1448" s="640">
        <v>46168</v>
      </c>
      <c r="D1448" s="646" t="s">
        <v>21</v>
      </c>
      <c r="E1448" s="646" t="s">
        <v>14</v>
      </c>
      <c r="F1448" s="648" t="s">
        <v>107</v>
      </c>
      <c r="G1448" s="648" t="s">
        <v>2959</v>
      </c>
      <c r="H1448" s="651" t="s">
        <v>3421</v>
      </c>
      <c r="I1448" s="649" t="s">
        <v>5825</v>
      </c>
      <c r="J1448" s="649"/>
      <c r="K1448" s="734" t="s">
        <v>3447</v>
      </c>
      <c r="L1448" s="646" t="s">
        <v>15</v>
      </c>
      <c r="M1448" s="678">
        <v>500000</v>
      </c>
      <c r="N1448" s="26"/>
    </row>
    <row r="1449" spans="1:14">
      <c r="A1449" s="691">
        <v>21</v>
      </c>
      <c r="B1449" s="952"/>
      <c r="C1449" s="640">
        <v>46168</v>
      </c>
      <c r="D1449" s="646" t="s">
        <v>21</v>
      </c>
      <c r="E1449" s="646" t="s">
        <v>14</v>
      </c>
      <c r="F1449" s="648" t="s">
        <v>3280</v>
      </c>
      <c r="G1449" s="648" t="s">
        <v>3295</v>
      </c>
      <c r="H1449" s="651" t="s">
        <v>67</v>
      </c>
      <c r="I1449" s="649" t="s">
        <v>3466</v>
      </c>
      <c r="J1449" s="648" t="s">
        <v>90</v>
      </c>
      <c r="K1449" s="649" t="s">
        <v>3074</v>
      </c>
      <c r="L1449" s="646" t="s">
        <v>15</v>
      </c>
      <c r="M1449" s="678">
        <v>300000</v>
      </c>
      <c r="N1449" s="26"/>
    </row>
    <row r="1450" spans="1:14">
      <c r="A1450" s="691">
        <v>21</v>
      </c>
      <c r="B1450" s="952"/>
      <c r="C1450" s="640">
        <v>46169</v>
      </c>
      <c r="D1450" s="646" t="s">
        <v>21</v>
      </c>
      <c r="E1450" s="646" t="s">
        <v>14</v>
      </c>
      <c r="F1450" s="648" t="s">
        <v>107</v>
      </c>
      <c r="G1450" s="648" t="s">
        <v>2959</v>
      </c>
      <c r="H1450" s="651" t="s">
        <v>3421</v>
      </c>
      <c r="I1450" s="649" t="s">
        <v>5825</v>
      </c>
      <c r="J1450" s="649"/>
      <c r="K1450" s="734" t="s">
        <v>3447</v>
      </c>
      <c r="L1450" s="646" t="s">
        <v>15</v>
      </c>
      <c r="M1450" s="678">
        <v>500000</v>
      </c>
      <c r="N1450" s="26"/>
    </row>
    <row r="1451" spans="1:14">
      <c r="A1451" s="691">
        <v>21</v>
      </c>
      <c r="B1451" s="952"/>
      <c r="C1451" s="640">
        <v>46170</v>
      </c>
      <c r="D1451" s="632" t="s">
        <v>21</v>
      </c>
      <c r="E1451" s="632" t="s">
        <v>17</v>
      </c>
      <c r="F1451" s="634" t="s">
        <v>1893</v>
      </c>
      <c r="G1451" s="634" t="s">
        <v>1323</v>
      </c>
      <c r="H1451" s="636" t="s">
        <v>1391</v>
      </c>
      <c r="I1451" s="634" t="s">
        <v>5790</v>
      </c>
      <c r="J1451" s="633" t="s">
        <v>90</v>
      </c>
      <c r="K1451" s="634" t="s">
        <v>2828</v>
      </c>
      <c r="L1451" s="646" t="s">
        <v>15</v>
      </c>
      <c r="M1451" s="678">
        <v>250000</v>
      </c>
      <c r="N1451" s="26"/>
    </row>
    <row r="1452" spans="1:14">
      <c r="A1452" s="691">
        <v>21</v>
      </c>
      <c r="B1452" s="952"/>
      <c r="C1452" s="640">
        <v>46171</v>
      </c>
      <c r="D1452" s="632" t="s">
        <v>21</v>
      </c>
      <c r="E1452" s="632" t="s">
        <v>14</v>
      </c>
      <c r="F1452" s="633" t="s">
        <v>211</v>
      </c>
      <c r="G1452" s="633" t="s">
        <v>5754</v>
      </c>
      <c r="H1452" s="636" t="s">
        <v>5832</v>
      </c>
      <c r="I1452" s="634" t="s">
        <v>5831</v>
      </c>
      <c r="J1452" s="633" t="s">
        <v>90</v>
      </c>
      <c r="K1452" s="633" t="s">
        <v>2828</v>
      </c>
      <c r="L1452" s="646" t="s">
        <v>15</v>
      </c>
      <c r="M1452" s="678">
        <v>250000</v>
      </c>
      <c r="N1452" s="26"/>
    </row>
    <row r="1453" spans="1:14">
      <c r="A1453" s="691">
        <v>22</v>
      </c>
      <c r="B1453" s="1122" t="s">
        <v>20</v>
      </c>
      <c r="C1453" s="656">
        <v>46172</v>
      </c>
      <c r="D1453" s="632" t="s">
        <v>5934</v>
      </c>
      <c r="E1453" s="632" t="s">
        <v>5935</v>
      </c>
      <c r="F1453" s="633" t="s">
        <v>5936</v>
      </c>
      <c r="G1453" s="633" t="s">
        <v>5937</v>
      </c>
      <c r="H1453" s="636" t="s">
        <v>5938</v>
      </c>
      <c r="I1453" s="634" t="s">
        <v>5939</v>
      </c>
      <c r="J1453" s="633" t="s">
        <v>5943</v>
      </c>
      <c r="K1453" s="634" t="s">
        <v>5940</v>
      </c>
      <c r="L1453" s="646"/>
      <c r="M1453" s="677">
        <v>250000</v>
      </c>
      <c r="N1453" s="1124" t="s">
        <v>5942</v>
      </c>
    </row>
    <row r="1454" spans="1:14">
      <c r="A1454" s="691">
        <v>22</v>
      </c>
      <c r="B1454" s="1123"/>
      <c r="C1454" s="656">
        <v>46172</v>
      </c>
      <c r="D1454" s="632" t="s">
        <v>5934</v>
      </c>
      <c r="E1454" s="632" t="s">
        <v>5935</v>
      </c>
      <c r="F1454" s="633" t="s">
        <v>5936</v>
      </c>
      <c r="G1454" s="674">
        <v>1517</v>
      </c>
      <c r="H1454" s="674" t="s">
        <v>5941</v>
      </c>
      <c r="I1454" s="675" t="s">
        <v>5957</v>
      </c>
      <c r="J1454" s="685" t="s">
        <v>5944</v>
      </c>
      <c r="K1454" s="634" t="s">
        <v>5940</v>
      </c>
      <c r="L1454" s="646"/>
      <c r="M1454" s="677">
        <v>250000</v>
      </c>
      <c r="N1454" s="1125"/>
    </row>
    <row r="1455" spans="1:14">
      <c r="A1455" s="691">
        <v>22</v>
      </c>
      <c r="B1455" s="1123"/>
      <c r="C1455" s="656" t="s">
        <v>5950</v>
      </c>
      <c r="D1455" s="632" t="s">
        <v>5934</v>
      </c>
      <c r="E1455" s="632" t="s">
        <v>5935</v>
      </c>
      <c r="F1455" s="633" t="s">
        <v>5936</v>
      </c>
      <c r="G1455" s="674" t="s">
        <v>5951</v>
      </c>
      <c r="H1455" s="674" t="s">
        <v>5952</v>
      </c>
      <c r="I1455" s="675" t="s">
        <v>5953</v>
      </c>
      <c r="J1455" s="685" t="s">
        <v>5954</v>
      </c>
      <c r="K1455" s="676" t="s">
        <v>5955</v>
      </c>
      <c r="L1455" s="646"/>
      <c r="M1455" s="677">
        <f>250000*4</f>
        <v>1000000</v>
      </c>
      <c r="N1455" s="686"/>
    </row>
    <row r="1456" spans="1:14">
      <c r="A1456" s="691">
        <v>22</v>
      </c>
      <c r="B1456" s="1123"/>
      <c r="C1456" s="656" t="s">
        <v>5958</v>
      </c>
      <c r="D1456" s="632" t="s">
        <v>5934</v>
      </c>
      <c r="E1456" s="632" t="s">
        <v>5935</v>
      </c>
      <c r="F1456" s="633" t="s">
        <v>5936</v>
      </c>
      <c r="G1456" s="674">
        <v>1517</v>
      </c>
      <c r="H1456" s="674" t="s">
        <v>5941</v>
      </c>
      <c r="I1456" s="675" t="s">
        <v>5956</v>
      </c>
      <c r="J1456" s="685" t="s">
        <v>5947</v>
      </c>
      <c r="K1456" s="676" t="s">
        <v>5948</v>
      </c>
      <c r="L1456" s="646"/>
      <c r="M1456" s="677">
        <f>250000*2</f>
        <v>500000</v>
      </c>
      <c r="N1456" s="686"/>
    </row>
    <row r="1457" spans="1:14">
      <c r="A1457" s="691">
        <v>22</v>
      </c>
      <c r="B1457" s="1123"/>
      <c r="C1457" s="656" t="s">
        <v>5949</v>
      </c>
      <c r="D1457" s="632" t="s">
        <v>5934</v>
      </c>
      <c r="E1457" s="632" t="s">
        <v>5935</v>
      </c>
      <c r="F1457" s="633" t="s">
        <v>5936</v>
      </c>
      <c r="G1457" s="674">
        <v>7062</v>
      </c>
      <c r="H1457" s="674" t="s">
        <v>5945</v>
      </c>
      <c r="I1457" s="675" t="s">
        <v>5946</v>
      </c>
      <c r="J1457" s="685" t="s">
        <v>5947</v>
      </c>
      <c r="K1457" s="676" t="s">
        <v>5948</v>
      </c>
      <c r="L1457" s="646"/>
      <c r="M1457" s="677">
        <v>500000</v>
      </c>
      <c r="N1457" s="686"/>
    </row>
    <row r="1458" spans="1:14">
      <c r="A1458" s="691">
        <v>22</v>
      </c>
      <c r="B1458" s="1123"/>
      <c r="C1458" s="656" t="s">
        <v>5949</v>
      </c>
      <c r="D1458" s="632" t="s">
        <v>5934</v>
      </c>
      <c r="E1458" s="632" t="s">
        <v>5935</v>
      </c>
      <c r="F1458" s="633" t="s">
        <v>5936</v>
      </c>
      <c r="G1458" s="633" t="s">
        <v>5959</v>
      </c>
      <c r="H1458" s="674" t="s">
        <v>5960</v>
      </c>
      <c r="I1458" s="675" t="s">
        <v>5962</v>
      </c>
      <c r="J1458" s="685" t="s">
        <v>5961</v>
      </c>
      <c r="K1458" s="676" t="s">
        <v>5948</v>
      </c>
      <c r="L1458" s="646"/>
      <c r="M1458" s="677">
        <v>500000</v>
      </c>
      <c r="N1458" s="687"/>
    </row>
    <row r="1459" spans="1:14">
      <c r="A1459" s="691">
        <v>22</v>
      </c>
      <c r="B1459" s="1122" t="s">
        <v>21</v>
      </c>
      <c r="C1459" s="640">
        <v>46174</v>
      </c>
      <c r="D1459" s="632" t="s">
        <v>5966</v>
      </c>
      <c r="E1459" s="632" t="s">
        <v>14</v>
      </c>
      <c r="F1459" s="633" t="s">
        <v>211</v>
      </c>
      <c r="G1459" s="633" t="s">
        <v>2916</v>
      </c>
      <c r="H1459" s="636" t="s">
        <v>2917</v>
      </c>
      <c r="I1459" s="634" t="s">
        <v>5833</v>
      </c>
      <c r="J1459" s="1127" t="s">
        <v>3274</v>
      </c>
      <c r="K1459" s="1127" t="s">
        <v>3454</v>
      </c>
      <c r="L1459" s="646" t="s">
        <v>3265</v>
      </c>
      <c r="M1459" s="1129">
        <v>250000</v>
      </c>
      <c r="N1459" s="688" t="s">
        <v>5964</v>
      </c>
    </row>
    <row r="1460" spans="1:14">
      <c r="A1460" s="691">
        <v>22</v>
      </c>
      <c r="B1460" s="1123"/>
      <c r="C1460" s="640">
        <v>46174</v>
      </c>
      <c r="D1460" s="632" t="s">
        <v>5966</v>
      </c>
      <c r="E1460" s="632" t="s">
        <v>14</v>
      </c>
      <c r="F1460" s="633" t="s">
        <v>211</v>
      </c>
      <c r="G1460" s="633" t="s">
        <v>5754</v>
      </c>
      <c r="H1460" s="636" t="s">
        <v>5832</v>
      </c>
      <c r="I1460" s="634" t="s">
        <v>5831</v>
      </c>
      <c r="J1460" s="1128"/>
      <c r="K1460" s="1128"/>
      <c r="L1460" s="646" t="s">
        <v>3265</v>
      </c>
      <c r="M1460" s="1130"/>
      <c r="N1460" s="688" t="s">
        <v>5965</v>
      </c>
    </row>
    <row r="1461" spans="1:14">
      <c r="A1461" s="691">
        <v>22</v>
      </c>
      <c r="B1461" s="1123"/>
      <c r="C1461" s="640">
        <v>46175</v>
      </c>
      <c r="D1461" s="632" t="s">
        <v>21</v>
      </c>
      <c r="E1461" s="632" t="s">
        <v>17</v>
      </c>
      <c r="F1461" s="634" t="s">
        <v>1893</v>
      </c>
      <c r="G1461" s="634" t="s">
        <v>1323</v>
      </c>
      <c r="H1461" s="636" t="s">
        <v>1391</v>
      </c>
      <c r="I1461" s="634" t="s">
        <v>5790</v>
      </c>
      <c r="J1461" s="633" t="s">
        <v>3274</v>
      </c>
      <c r="K1461" s="735" t="s">
        <v>5896</v>
      </c>
      <c r="L1461" s="646" t="s">
        <v>3265</v>
      </c>
      <c r="M1461" s="678">
        <v>250000</v>
      </c>
      <c r="N1461" s="688" t="s">
        <v>5967</v>
      </c>
    </row>
    <row r="1462" spans="1:14">
      <c r="A1462" s="691">
        <v>22</v>
      </c>
      <c r="B1462" s="1123"/>
      <c r="C1462" s="640">
        <v>46175</v>
      </c>
      <c r="D1462" s="632" t="s">
        <v>2064</v>
      </c>
      <c r="E1462" s="632" t="s">
        <v>3264</v>
      </c>
      <c r="F1462" s="634" t="s">
        <v>5963</v>
      </c>
      <c r="G1462" s="633" t="s">
        <v>5796</v>
      </c>
      <c r="H1462" s="636" t="s">
        <v>4091</v>
      </c>
      <c r="I1462" s="577" t="s">
        <v>5972</v>
      </c>
      <c r="J1462" s="633" t="s">
        <v>5898</v>
      </c>
      <c r="K1462" s="634" t="s">
        <v>5883</v>
      </c>
      <c r="L1462" s="632" t="s">
        <v>3265</v>
      </c>
      <c r="M1462" s="678">
        <v>250000</v>
      </c>
      <c r="N1462" s="688" t="s">
        <v>5973</v>
      </c>
    </row>
    <row r="1463" spans="1:14">
      <c r="A1463" s="691">
        <v>22</v>
      </c>
      <c r="B1463" s="1123"/>
      <c r="C1463" s="656">
        <v>46177</v>
      </c>
      <c r="D1463" s="632" t="s">
        <v>5900</v>
      </c>
      <c r="E1463" s="632" t="s">
        <v>14</v>
      </c>
      <c r="F1463" s="633" t="s">
        <v>5901</v>
      </c>
      <c r="G1463" s="633" t="s">
        <v>5902</v>
      </c>
      <c r="H1463" s="636" t="s">
        <v>5903</v>
      </c>
      <c r="I1463" s="634" t="s">
        <v>5904</v>
      </c>
      <c r="J1463" s="633" t="s">
        <v>5905</v>
      </c>
      <c r="K1463" s="633" t="s">
        <v>5906</v>
      </c>
      <c r="L1463" s="646" t="s">
        <v>5893</v>
      </c>
      <c r="M1463" s="678">
        <v>600000</v>
      </c>
      <c r="N1463" s="688" t="s">
        <v>5968</v>
      </c>
    </row>
    <row r="1464" spans="1:14">
      <c r="A1464" s="691">
        <v>22</v>
      </c>
      <c r="B1464" s="1123"/>
      <c r="C1464" s="640">
        <v>46178</v>
      </c>
      <c r="D1464" s="646" t="s">
        <v>5913</v>
      </c>
      <c r="E1464" s="646" t="s">
        <v>5914</v>
      </c>
      <c r="F1464" s="648" t="s">
        <v>5915</v>
      </c>
      <c r="G1464" s="648" t="s">
        <v>5916</v>
      </c>
      <c r="H1464" s="651" t="s">
        <v>553</v>
      </c>
      <c r="I1464" s="649" t="s">
        <v>5918</v>
      </c>
      <c r="J1464" s="648"/>
      <c r="K1464" s="1131" t="s">
        <v>5920</v>
      </c>
      <c r="L1464" s="646" t="s">
        <v>15</v>
      </c>
      <c r="M1464" s="1129">
        <v>500000</v>
      </c>
      <c r="N1464" s="688" t="s">
        <v>5969</v>
      </c>
    </row>
    <row r="1465" spans="1:14">
      <c r="A1465" s="691">
        <v>22</v>
      </c>
      <c r="B1465" s="1126"/>
      <c r="C1465" s="640">
        <v>46178</v>
      </c>
      <c r="D1465" s="646" t="s">
        <v>5913</v>
      </c>
      <c r="E1465" s="646" t="s">
        <v>5914</v>
      </c>
      <c r="F1465" s="648" t="s">
        <v>5915</v>
      </c>
      <c r="G1465" s="648" t="s">
        <v>5916</v>
      </c>
      <c r="H1465" s="651" t="s">
        <v>5917</v>
      </c>
      <c r="I1465" s="649" t="s">
        <v>5919</v>
      </c>
      <c r="J1465" s="648"/>
      <c r="K1465" s="1132"/>
      <c r="L1465" s="646" t="s">
        <v>15</v>
      </c>
      <c r="M1465" s="1130"/>
      <c r="N1465" s="688" t="s">
        <v>5970</v>
      </c>
    </row>
    <row r="1466" spans="1:14">
      <c r="A1466" s="689">
        <v>23</v>
      </c>
      <c r="B1466" s="952" t="s">
        <v>20</v>
      </c>
      <c r="C1466" s="640">
        <v>46179</v>
      </c>
      <c r="D1466" s="632" t="s">
        <v>6057</v>
      </c>
      <c r="E1466" s="632" t="s">
        <v>6058</v>
      </c>
      <c r="F1466" s="633" t="s">
        <v>6059</v>
      </c>
      <c r="G1466" s="633">
        <v>1615</v>
      </c>
      <c r="H1466" s="636" t="s">
        <v>6055</v>
      </c>
      <c r="I1466" s="634" t="s">
        <v>6060</v>
      </c>
      <c r="J1466" s="633" t="s">
        <v>6061</v>
      </c>
      <c r="K1466" s="634" t="s">
        <v>6078</v>
      </c>
      <c r="L1466" s="698" t="s">
        <v>6063</v>
      </c>
      <c r="M1466" s="677">
        <v>250000</v>
      </c>
      <c r="N1466" s="646" t="s">
        <v>5989</v>
      </c>
    </row>
    <row r="1467" spans="1:14">
      <c r="A1467" s="689">
        <v>23</v>
      </c>
      <c r="B1467" s="952"/>
      <c r="C1467" s="640" t="s">
        <v>6056</v>
      </c>
      <c r="D1467" s="632" t="s">
        <v>6057</v>
      </c>
      <c r="E1467" s="632" t="s">
        <v>6058</v>
      </c>
      <c r="F1467" s="633" t="s">
        <v>6059</v>
      </c>
      <c r="G1467" s="633">
        <v>1615</v>
      </c>
      <c r="H1467" s="636" t="s">
        <v>6055</v>
      </c>
      <c r="I1467" s="634" t="s">
        <v>6060</v>
      </c>
      <c r="J1467" s="633" t="s">
        <v>6061</v>
      </c>
      <c r="K1467" s="634" t="s">
        <v>6062</v>
      </c>
      <c r="L1467" s="698" t="s">
        <v>6063</v>
      </c>
      <c r="M1467" s="677">
        <f>250000*5</f>
        <v>1250000</v>
      </c>
      <c r="N1467" s="632"/>
    </row>
    <row r="1468" spans="1:14">
      <c r="A1468" s="689">
        <v>23</v>
      </c>
      <c r="B1468" s="952"/>
      <c r="C1468" s="640" t="s">
        <v>6064</v>
      </c>
      <c r="D1468" s="632" t="s">
        <v>6057</v>
      </c>
      <c r="E1468" s="632" t="s">
        <v>6058</v>
      </c>
      <c r="F1468" s="633" t="s">
        <v>6059</v>
      </c>
      <c r="G1468" s="645" t="s">
        <v>6065</v>
      </c>
      <c r="H1468" s="645" t="s">
        <v>6066</v>
      </c>
      <c r="I1468" s="647" t="s">
        <v>6067</v>
      </c>
      <c r="J1468" s="646"/>
      <c r="K1468" s="646" t="s">
        <v>6068</v>
      </c>
      <c r="L1468" s="698" t="s">
        <v>6063</v>
      </c>
      <c r="M1468" s="677">
        <f>250000*2</f>
        <v>500000</v>
      </c>
      <c r="N1468" s="699"/>
    </row>
    <row r="1469" spans="1:14" ht="24">
      <c r="A1469" s="689">
        <v>23</v>
      </c>
      <c r="B1469" s="952"/>
      <c r="C1469" s="640" t="s">
        <v>6069</v>
      </c>
      <c r="D1469" s="632" t="s">
        <v>6057</v>
      </c>
      <c r="E1469" s="632" t="s">
        <v>6058</v>
      </c>
      <c r="F1469" s="633" t="s">
        <v>6059</v>
      </c>
      <c r="G1469" s="645" t="s">
        <v>6075</v>
      </c>
      <c r="H1469" s="645" t="s">
        <v>6071</v>
      </c>
      <c r="I1469" s="647" t="s">
        <v>6070</v>
      </c>
      <c r="J1469" s="646"/>
      <c r="K1469" s="646" t="s">
        <v>6076</v>
      </c>
      <c r="L1469" s="698" t="s">
        <v>6063</v>
      </c>
      <c r="M1469" s="677">
        <f>250000*4</f>
        <v>1000000</v>
      </c>
      <c r="N1469" s="699"/>
    </row>
    <row r="1470" spans="1:14">
      <c r="A1470" s="689">
        <v>23</v>
      </c>
      <c r="B1470" s="952"/>
      <c r="C1470" s="640" t="s">
        <v>6072</v>
      </c>
      <c r="D1470" s="632" t="s">
        <v>6057</v>
      </c>
      <c r="E1470" s="632" t="s">
        <v>6058</v>
      </c>
      <c r="F1470" s="633" t="s">
        <v>6059</v>
      </c>
      <c r="G1470" s="645">
        <v>7062</v>
      </c>
      <c r="H1470" s="645" t="s">
        <v>6073</v>
      </c>
      <c r="I1470" s="647" t="s">
        <v>6074</v>
      </c>
      <c r="J1470" s="646"/>
      <c r="K1470" s="646" t="s">
        <v>6077</v>
      </c>
      <c r="L1470" s="698" t="s">
        <v>6063</v>
      </c>
      <c r="M1470" s="677">
        <f>250000*3</f>
        <v>750000</v>
      </c>
      <c r="N1470" s="699"/>
    </row>
    <row r="1471" spans="1:14">
      <c r="A1471" s="689">
        <v>23</v>
      </c>
      <c r="B1471" s="952" t="s">
        <v>21</v>
      </c>
      <c r="C1471" s="369">
        <v>46177</v>
      </c>
      <c r="D1471" s="3" t="s">
        <v>21</v>
      </c>
      <c r="E1471" s="3" t="s">
        <v>14</v>
      </c>
      <c r="F1471" s="454" t="s">
        <v>107</v>
      </c>
      <c r="G1471" s="454" t="s">
        <v>3386</v>
      </c>
      <c r="H1471" s="459" t="s">
        <v>5903</v>
      </c>
      <c r="I1471" s="453" t="s">
        <v>5904</v>
      </c>
      <c r="J1471" s="454" t="s">
        <v>90</v>
      </c>
      <c r="K1471" s="736" t="s">
        <v>686</v>
      </c>
      <c r="L1471" s="125" t="s">
        <v>15</v>
      </c>
      <c r="M1471" s="678">
        <v>250000</v>
      </c>
      <c r="N1471" s="646" t="s">
        <v>5989</v>
      </c>
    </row>
    <row r="1472" spans="1:14">
      <c r="A1472" s="689">
        <v>23</v>
      </c>
      <c r="B1472" s="952"/>
      <c r="C1472" s="369">
        <v>46178</v>
      </c>
      <c r="D1472" s="3" t="s">
        <v>21</v>
      </c>
      <c r="E1472" s="3" t="s">
        <v>14</v>
      </c>
      <c r="F1472" s="454" t="s">
        <v>107</v>
      </c>
      <c r="G1472" s="454" t="s">
        <v>3386</v>
      </c>
      <c r="H1472" s="459" t="s">
        <v>5903</v>
      </c>
      <c r="I1472" s="453" t="s">
        <v>5904</v>
      </c>
      <c r="J1472" s="454" t="s">
        <v>90</v>
      </c>
      <c r="K1472" s="736" t="s">
        <v>686</v>
      </c>
      <c r="L1472" s="125" t="s">
        <v>15</v>
      </c>
      <c r="M1472" s="678">
        <v>250000</v>
      </c>
      <c r="N1472" s="646" t="s">
        <v>5989</v>
      </c>
    </row>
    <row r="1473" spans="1:14">
      <c r="A1473" s="689">
        <v>23</v>
      </c>
      <c r="B1473" s="952"/>
      <c r="C1473" s="369">
        <v>46178</v>
      </c>
      <c r="D1473" s="4" t="s">
        <v>21</v>
      </c>
      <c r="E1473" s="4" t="s">
        <v>14</v>
      </c>
      <c r="F1473" s="31" t="s">
        <v>1893</v>
      </c>
      <c r="G1473" s="454" t="s">
        <v>4939</v>
      </c>
      <c r="H1473" s="16" t="s">
        <v>6012</v>
      </c>
      <c r="I1473" s="193" t="s">
        <v>6000</v>
      </c>
      <c r="J1473" s="31" t="s">
        <v>6037</v>
      </c>
      <c r="K1473" s="193" t="s">
        <v>6011</v>
      </c>
      <c r="L1473" s="125" t="s">
        <v>15</v>
      </c>
      <c r="M1473" s="678">
        <v>300000</v>
      </c>
      <c r="N1473" s="646" t="s">
        <v>5989</v>
      </c>
    </row>
    <row r="1474" spans="1:14" ht="27">
      <c r="A1474" s="689">
        <v>23</v>
      </c>
      <c r="B1474" s="952"/>
      <c r="C1474" s="369">
        <v>46181</v>
      </c>
      <c r="D1474" s="3" t="s">
        <v>6004</v>
      </c>
      <c r="E1474" s="3" t="s">
        <v>6005</v>
      </c>
      <c r="F1474" s="454" t="s">
        <v>6006</v>
      </c>
      <c r="G1474" s="453" t="s">
        <v>6015</v>
      </c>
      <c r="H1474" s="459" t="s">
        <v>6003</v>
      </c>
      <c r="I1474" s="453" t="s">
        <v>6013</v>
      </c>
      <c r="J1474" s="1136" t="s">
        <v>90</v>
      </c>
      <c r="K1474" s="1136" t="s">
        <v>6007</v>
      </c>
      <c r="L1474" s="136" t="s">
        <v>15</v>
      </c>
      <c r="M1474" s="1137">
        <v>250000</v>
      </c>
      <c r="N1474" s="646"/>
    </row>
    <row r="1475" spans="1:14" ht="27">
      <c r="A1475" s="689">
        <v>23</v>
      </c>
      <c r="B1475" s="952"/>
      <c r="C1475" s="369">
        <v>46181</v>
      </c>
      <c r="D1475" s="4" t="s">
        <v>21</v>
      </c>
      <c r="E1475" s="4" t="s">
        <v>17</v>
      </c>
      <c r="F1475" s="31" t="s">
        <v>78</v>
      </c>
      <c r="G1475" s="453" t="s">
        <v>6015</v>
      </c>
      <c r="H1475" s="16" t="s">
        <v>37</v>
      </c>
      <c r="I1475" s="193" t="s">
        <v>5996</v>
      </c>
      <c r="J1475" s="1136"/>
      <c r="K1475" s="1136"/>
      <c r="L1475" s="136" t="s">
        <v>15</v>
      </c>
      <c r="M1475" s="1137"/>
      <c r="N1475" s="646"/>
    </row>
    <row r="1476" spans="1:14">
      <c r="A1476" s="689">
        <v>23</v>
      </c>
      <c r="B1476" s="952"/>
      <c r="C1476" s="369">
        <v>46181</v>
      </c>
      <c r="D1476" s="3" t="s">
        <v>21</v>
      </c>
      <c r="E1476" s="3" t="s">
        <v>14</v>
      </c>
      <c r="F1476" s="454" t="s">
        <v>1893</v>
      </c>
      <c r="G1476" s="454" t="s">
        <v>4939</v>
      </c>
      <c r="H1476" s="459" t="s">
        <v>482</v>
      </c>
      <c r="I1476" s="453" t="s">
        <v>6038</v>
      </c>
      <c r="J1476" s="454" t="s">
        <v>6039</v>
      </c>
      <c r="K1476" s="453" t="s">
        <v>6040</v>
      </c>
      <c r="L1476" s="125" t="s">
        <v>6041</v>
      </c>
      <c r="M1476" s="678">
        <v>300000</v>
      </c>
      <c r="N1476" s="646"/>
    </row>
    <row r="1477" spans="1:14">
      <c r="A1477" s="689">
        <v>23</v>
      </c>
      <c r="B1477" s="952"/>
      <c r="C1477" s="369">
        <v>46181</v>
      </c>
      <c r="D1477" s="3" t="s">
        <v>21</v>
      </c>
      <c r="E1477" s="3" t="s">
        <v>14</v>
      </c>
      <c r="F1477" s="472" t="s">
        <v>149</v>
      </c>
      <c r="G1477" s="454" t="s">
        <v>4090</v>
      </c>
      <c r="H1477" s="459" t="s">
        <v>4091</v>
      </c>
      <c r="I1477" s="453" t="s">
        <v>5992</v>
      </c>
      <c r="J1477" s="454" t="s">
        <v>6002</v>
      </c>
      <c r="K1477" s="350" t="s">
        <v>153</v>
      </c>
      <c r="L1477" s="136" t="s">
        <v>15</v>
      </c>
      <c r="M1477" s="678">
        <v>250000</v>
      </c>
      <c r="N1477" s="646"/>
    </row>
    <row r="1478" spans="1:14">
      <c r="A1478" s="689">
        <v>23</v>
      </c>
      <c r="B1478" s="952"/>
      <c r="C1478" s="369">
        <v>46182</v>
      </c>
      <c r="D1478" s="3" t="s">
        <v>21</v>
      </c>
      <c r="E1478" s="3" t="s">
        <v>14</v>
      </c>
      <c r="F1478" s="472" t="s">
        <v>149</v>
      </c>
      <c r="G1478" s="454" t="s">
        <v>4090</v>
      </c>
      <c r="H1478" s="459" t="s">
        <v>4091</v>
      </c>
      <c r="I1478" s="453" t="s">
        <v>1276</v>
      </c>
      <c r="J1478" s="454" t="s">
        <v>6002</v>
      </c>
      <c r="K1478" s="350" t="s">
        <v>153</v>
      </c>
      <c r="L1478" s="136" t="s">
        <v>15</v>
      </c>
      <c r="M1478" s="678">
        <v>250000</v>
      </c>
      <c r="N1478" s="646"/>
    </row>
    <row r="1479" spans="1:14">
      <c r="A1479" s="689">
        <v>23</v>
      </c>
      <c r="B1479" s="952"/>
      <c r="C1479" s="369">
        <v>46182</v>
      </c>
      <c r="D1479" s="4" t="s">
        <v>21</v>
      </c>
      <c r="E1479" s="4" t="s">
        <v>14</v>
      </c>
      <c r="F1479" s="31" t="s">
        <v>1893</v>
      </c>
      <c r="G1479" s="454" t="s">
        <v>4939</v>
      </c>
      <c r="H1479" s="16" t="s">
        <v>3301</v>
      </c>
      <c r="I1479" s="193" t="s">
        <v>6053</v>
      </c>
      <c r="J1479" s="31"/>
      <c r="K1479" s="193" t="s">
        <v>6050</v>
      </c>
      <c r="L1479" s="125" t="s">
        <v>15</v>
      </c>
      <c r="M1479" s="678">
        <v>300000</v>
      </c>
      <c r="N1479" s="646"/>
    </row>
    <row r="1480" spans="1:14">
      <c r="A1480" s="689">
        <v>23</v>
      </c>
      <c r="B1480" s="952"/>
      <c r="C1480" s="369">
        <v>46182</v>
      </c>
      <c r="D1480" s="3" t="s">
        <v>21</v>
      </c>
      <c r="E1480" s="3" t="s">
        <v>14</v>
      </c>
      <c r="F1480" s="454" t="s">
        <v>107</v>
      </c>
      <c r="G1480" s="454" t="s">
        <v>3386</v>
      </c>
      <c r="H1480" s="459" t="s">
        <v>6010</v>
      </c>
      <c r="I1480" s="193" t="s">
        <v>6043</v>
      </c>
      <c r="J1480" s="31" t="s">
        <v>6052</v>
      </c>
      <c r="K1480" s="193" t="s">
        <v>6051</v>
      </c>
      <c r="L1480" s="125" t="s">
        <v>6044</v>
      </c>
      <c r="M1480" s="678">
        <v>300000</v>
      </c>
      <c r="N1480" s="646"/>
    </row>
    <row r="1481" spans="1:14">
      <c r="A1481" s="689">
        <v>23</v>
      </c>
      <c r="B1481" s="952"/>
      <c r="C1481" s="369">
        <v>46183</v>
      </c>
      <c r="D1481" s="3" t="s">
        <v>21</v>
      </c>
      <c r="E1481" s="3" t="s">
        <v>14</v>
      </c>
      <c r="F1481" s="454" t="s">
        <v>107</v>
      </c>
      <c r="G1481" s="454" t="s">
        <v>3386</v>
      </c>
      <c r="H1481" s="459" t="s">
        <v>6010</v>
      </c>
      <c r="I1481" s="193" t="s">
        <v>6047</v>
      </c>
      <c r="J1481" s="31"/>
      <c r="K1481" s="193" t="s">
        <v>6046</v>
      </c>
      <c r="L1481" s="125" t="s">
        <v>6044</v>
      </c>
      <c r="M1481" s="678">
        <v>300000</v>
      </c>
      <c r="N1481" s="646"/>
    </row>
    <row r="1482" spans="1:14">
      <c r="A1482" s="689">
        <v>23</v>
      </c>
      <c r="B1482" s="952"/>
      <c r="C1482" s="369">
        <v>46183</v>
      </c>
      <c r="D1482" s="3" t="s">
        <v>21</v>
      </c>
      <c r="E1482" s="3" t="s">
        <v>14</v>
      </c>
      <c r="F1482" s="454" t="s">
        <v>1893</v>
      </c>
      <c r="G1482" s="454" t="s">
        <v>4939</v>
      </c>
      <c r="H1482" s="459" t="s">
        <v>482</v>
      </c>
      <c r="I1482" s="453" t="s">
        <v>6038</v>
      </c>
      <c r="J1482" s="454" t="s">
        <v>6039</v>
      </c>
      <c r="K1482" s="363" t="s">
        <v>6042</v>
      </c>
      <c r="L1482" s="125" t="s">
        <v>6041</v>
      </c>
      <c r="M1482" s="678">
        <v>800000</v>
      </c>
      <c r="N1482" s="646"/>
    </row>
    <row r="1483" spans="1:14">
      <c r="A1483" s="689">
        <v>23</v>
      </c>
      <c r="B1483" s="952"/>
      <c r="C1483" s="369">
        <v>46184</v>
      </c>
      <c r="D1483" s="3" t="s">
        <v>21</v>
      </c>
      <c r="E1483" s="3" t="s">
        <v>14</v>
      </c>
      <c r="F1483" s="454" t="s">
        <v>1893</v>
      </c>
      <c r="G1483" s="454" t="s">
        <v>4939</v>
      </c>
      <c r="H1483" s="459" t="s">
        <v>482</v>
      </c>
      <c r="I1483" s="453" t="s">
        <v>6038</v>
      </c>
      <c r="J1483" s="454" t="s">
        <v>6039</v>
      </c>
      <c r="K1483" s="363" t="s">
        <v>6042</v>
      </c>
      <c r="L1483" s="125" t="s">
        <v>6041</v>
      </c>
      <c r="M1483" s="678">
        <v>800000</v>
      </c>
      <c r="N1483" s="646"/>
    </row>
    <row r="1484" spans="1:14">
      <c r="A1484" s="689">
        <v>23</v>
      </c>
      <c r="B1484" s="952"/>
      <c r="C1484" s="369">
        <v>46184</v>
      </c>
      <c r="D1484" s="4" t="s">
        <v>21</v>
      </c>
      <c r="E1484" s="4" t="s">
        <v>14</v>
      </c>
      <c r="F1484" s="31" t="s">
        <v>107</v>
      </c>
      <c r="G1484" s="31" t="s">
        <v>2959</v>
      </c>
      <c r="H1484" s="16" t="s">
        <v>376</v>
      </c>
      <c r="I1484" s="193" t="s">
        <v>5919</v>
      </c>
      <c r="J1484" s="31" t="s">
        <v>6017</v>
      </c>
      <c r="K1484" s="193" t="s">
        <v>6018</v>
      </c>
      <c r="L1484" s="125" t="s">
        <v>15</v>
      </c>
      <c r="M1484" s="678">
        <v>250000</v>
      </c>
      <c r="N1484" s="646"/>
    </row>
    <row r="1485" spans="1:14">
      <c r="A1485" s="689">
        <v>23</v>
      </c>
      <c r="B1485" s="952"/>
      <c r="C1485" s="369">
        <v>46185</v>
      </c>
      <c r="D1485" s="3" t="s">
        <v>21</v>
      </c>
      <c r="E1485" s="3" t="s">
        <v>14</v>
      </c>
      <c r="F1485" s="454" t="s">
        <v>1893</v>
      </c>
      <c r="G1485" s="454" t="s">
        <v>4939</v>
      </c>
      <c r="H1485" s="459" t="s">
        <v>482</v>
      </c>
      <c r="I1485" s="453" t="s">
        <v>6038</v>
      </c>
      <c r="J1485" s="454" t="s">
        <v>6039</v>
      </c>
      <c r="K1485" s="363" t="s">
        <v>6042</v>
      </c>
      <c r="L1485" s="125" t="s">
        <v>6041</v>
      </c>
      <c r="M1485" s="678">
        <v>800000</v>
      </c>
      <c r="N1485" s="646"/>
    </row>
    <row r="1486" spans="1:14">
      <c r="A1486" s="689">
        <v>24</v>
      </c>
      <c r="B1486" s="952" t="s">
        <v>20</v>
      </c>
      <c r="C1486" s="369">
        <v>46186</v>
      </c>
      <c r="D1486" s="632" t="s">
        <v>19</v>
      </c>
      <c r="E1486" s="632" t="s">
        <v>151</v>
      </c>
      <c r="F1486" s="633" t="s">
        <v>5254</v>
      </c>
      <c r="G1486" s="633">
        <v>7063</v>
      </c>
      <c r="H1486" s="636" t="s">
        <v>1391</v>
      </c>
      <c r="I1486" s="634" t="s">
        <v>1105</v>
      </c>
      <c r="J1486" s="633" t="s">
        <v>1259</v>
      </c>
      <c r="K1486" s="634" t="s">
        <v>2828</v>
      </c>
      <c r="L1486" s="698" t="s">
        <v>209</v>
      </c>
      <c r="M1486" s="677">
        <v>250000</v>
      </c>
      <c r="N1486" s="646" t="s">
        <v>6104</v>
      </c>
    </row>
    <row r="1487" spans="1:14" ht="27">
      <c r="A1487" s="689">
        <v>24</v>
      </c>
      <c r="B1487" s="952"/>
      <c r="C1487" s="369" t="s">
        <v>6139</v>
      </c>
      <c r="D1487" s="632" t="s">
        <v>19</v>
      </c>
      <c r="E1487" s="632" t="s">
        <v>151</v>
      </c>
      <c r="F1487" s="633" t="s">
        <v>5254</v>
      </c>
      <c r="G1487" s="633">
        <v>7063</v>
      </c>
      <c r="H1487" s="636" t="s">
        <v>1391</v>
      </c>
      <c r="I1487" s="634" t="s">
        <v>1105</v>
      </c>
      <c r="J1487" s="633" t="s">
        <v>1259</v>
      </c>
      <c r="K1487" s="634" t="s">
        <v>3004</v>
      </c>
      <c r="L1487" s="698" t="s">
        <v>209</v>
      </c>
      <c r="M1487" s="677">
        <v>750000</v>
      </c>
      <c r="N1487" s="646"/>
    </row>
    <row r="1488" spans="1:14">
      <c r="A1488" s="689">
        <v>24</v>
      </c>
      <c r="B1488" s="952"/>
      <c r="C1488" s="369">
        <v>46188</v>
      </c>
      <c r="D1488" s="632" t="s">
        <v>19</v>
      </c>
      <c r="E1488" s="632" t="s">
        <v>151</v>
      </c>
      <c r="F1488" s="633" t="s">
        <v>5254</v>
      </c>
      <c r="G1488" s="633" t="s">
        <v>5847</v>
      </c>
      <c r="H1488" s="636" t="s">
        <v>6133</v>
      </c>
      <c r="I1488" s="634" t="s">
        <v>6134</v>
      </c>
      <c r="J1488" s="633" t="s">
        <v>168</v>
      </c>
      <c r="K1488" s="634" t="s">
        <v>1101</v>
      </c>
      <c r="L1488" s="698" t="s">
        <v>209</v>
      </c>
      <c r="M1488" s="677">
        <v>500000</v>
      </c>
      <c r="N1488" s="632"/>
    </row>
    <row r="1489" spans="1:14" ht="27">
      <c r="A1489" s="689">
        <v>24</v>
      </c>
      <c r="B1489" s="952"/>
      <c r="C1489" s="369" t="s">
        <v>6137</v>
      </c>
      <c r="D1489" s="632" t="s">
        <v>19</v>
      </c>
      <c r="E1489" s="632" t="s">
        <v>151</v>
      </c>
      <c r="F1489" s="633" t="s">
        <v>5254</v>
      </c>
      <c r="G1489" s="645">
        <v>7062</v>
      </c>
      <c r="H1489" s="645" t="s">
        <v>143</v>
      </c>
      <c r="I1489" s="647" t="s">
        <v>2962</v>
      </c>
      <c r="J1489" s="633" t="s">
        <v>168</v>
      </c>
      <c r="K1489" s="634" t="s">
        <v>1101</v>
      </c>
      <c r="L1489" s="698" t="s">
        <v>209</v>
      </c>
      <c r="M1489" s="677">
        <v>500000</v>
      </c>
      <c r="N1489" s="699"/>
    </row>
    <row r="1490" spans="1:14" ht="24">
      <c r="A1490" s="689">
        <v>24</v>
      </c>
      <c r="B1490" s="952"/>
      <c r="C1490" s="640" t="s">
        <v>6138</v>
      </c>
      <c r="D1490" s="632" t="s">
        <v>19</v>
      </c>
      <c r="E1490" s="632" t="s">
        <v>151</v>
      </c>
      <c r="F1490" s="633" t="s">
        <v>5254</v>
      </c>
      <c r="G1490" s="645" t="s">
        <v>6075</v>
      </c>
      <c r="H1490" s="645" t="s">
        <v>145</v>
      </c>
      <c r="I1490" s="647" t="s">
        <v>378</v>
      </c>
      <c r="J1490" s="646" t="s">
        <v>126</v>
      </c>
      <c r="K1490" s="646" t="s">
        <v>999</v>
      </c>
      <c r="L1490" s="698" t="s">
        <v>209</v>
      </c>
      <c r="M1490" s="677">
        <v>250000</v>
      </c>
      <c r="N1490" s="699"/>
    </row>
    <row r="1491" spans="1:14" ht="24">
      <c r="A1491" s="689">
        <v>24</v>
      </c>
      <c r="B1491" s="952"/>
      <c r="C1491" s="640" t="s">
        <v>6138</v>
      </c>
      <c r="D1491" s="632" t="s">
        <v>19</v>
      </c>
      <c r="E1491" s="632" t="s">
        <v>151</v>
      </c>
      <c r="F1491" s="633" t="s">
        <v>5254</v>
      </c>
      <c r="G1491" s="633" t="s">
        <v>6140</v>
      </c>
      <c r="H1491" s="636" t="s">
        <v>34</v>
      </c>
      <c r="I1491" s="634" t="s">
        <v>1105</v>
      </c>
      <c r="J1491" s="633" t="s">
        <v>1259</v>
      </c>
      <c r="K1491" s="634" t="s">
        <v>2838</v>
      </c>
      <c r="L1491" s="698" t="s">
        <v>209</v>
      </c>
      <c r="M1491" s="677">
        <v>500000</v>
      </c>
      <c r="N1491" s="699"/>
    </row>
    <row r="1492" spans="1:14">
      <c r="A1492" s="689">
        <v>24</v>
      </c>
      <c r="B1492" s="952"/>
      <c r="C1492" s="640">
        <v>46192</v>
      </c>
      <c r="D1492" s="632" t="s">
        <v>19</v>
      </c>
      <c r="E1492" s="632" t="s">
        <v>151</v>
      </c>
      <c r="F1492" s="633" t="s">
        <v>5254</v>
      </c>
      <c r="G1492" s="645" t="s">
        <v>6135</v>
      </c>
      <c r="H1492" s="645" t="s">
        <v>143</v>
      </c>
      <c r="I1492" s="647" t="s">
        <v>6136</v>
      </c>
      <c r="J1492" s="646" t="s">
        <v>168</v>
      </c>
      <c r="K1492" s="646" t="s">
        <v>2828</v>
      </c>
      <c r="L1492" s="698" t="s">
        <v>209</v>
      </c>
      <c r="M1492" s="677">
        <v>250000</v>
      </c>
      <c r="N1492" s="699"/>
    </row>
    <row r="1493" spans="1:14">
      <c r="A1493" s="689">
        <v>24</v>
      </c>
      <c r="B1493" s="952" t="s">
        <v>21</v>
      </c>
      <c r="C1493" s="127">
        <v>46181</v>
      </c>
      <c r="D1493" s="3" t="s">
        <v>21</v>
      </c>
      <c r="E1493" s="3" t="s">
        <v>14</v>
      </c>
      <c r="F1493" s="472" t="s">
        <v>149</v>
      </c>
      <c r="G1493" s="454" t="s">
        <v>4090</v>
      </c>
      <c r="H1493" s="459" t="s">
        <v>4091</v>
      </c>
      <c r="I1493" s="453" t="s">
        <v>6105</v>
      </c>
      <c r="J1493" s="454" t="s">
        <v>168</v>
      </c>
      <c r="K1493" s="454" t="s">
        <v>999</v>
      </c>
      <c r="L1493" s="136" t="s">
        <v>15</v>
      </c>
      <c r="M1493" s="678">
        <v>300000</v>
      </c>
      <c r="N1493" s="646" t="s">
        <v>6104</v>
      </c>
    </row>
    <row r="1494" spans="1:14">
      <c r="A1494" s="689">
        <v>24</v>
      </c>
      <c r="B1494" s="952"/>
      <c r="C1494" s="127">
        <v>46182</v>
      </c>
      <c r="D1494" s="3" t="s">
        <v>21</v>
      </c>
      <c r="E1494" s="3" t="s">
        <v>14</v>
      </c>
      <c r="F1494" s="472" t="s">
        <v>149</v>
      </c>
      <c r="G1494" s="454" t="s">
        <v>4090</v>
      </c>
      <c r="H1494" s="459" t="s">
        <v>4091</v>
      </c>
      <c r="I1494" s="453" t="s">
        <v>6105</v>
      </c>
      <c r="J1494" s="454" t="s">
        <v>168</v>
      </c>
      <c r="K1494" s="454" t="s">
        <v>999</v>
      </c>
      <c r="L1494" s="136" t="s">
        <v>15</v>
      </c>
      <c r="M1494" s="678">
        <v>300000</v>
      </c>
      <c r="N1494" s="646" t="s">
        <v>6104</v>
      </c>
    </row>
    <row r="1495" spans="1:14">
      <c r="A1495" s="689">
        <v>24</v>
      </c>
      <c r="B1495" s="952"/>
      <c r="C1495" s="127">
        <v>46183</v>
      </c>
      <c r="D1495" s="3" t="s">
        <v>21</v>
      </c>
      <c r="E1495" s="3" t="s">
        <v>14</v>
      </c>
      <c r="F1495" s="472" t="s">
        <v>149</v>
      </c>
      <c r="G1495" s="454" t="s">
        <v>4090</v>
      </c>
      <c r="H1495" s="459" t="s">
        <v>4091</v>
      </c>
      <c r="I1495" s="453" t="s">
        <v>6117</v>
      </c>
      <c r="J1495" s="454" t="s">
        <v>168</v>
      </c>
      <c r="K1495" s="454" t="s">
        <v>999</v>
      </c>
      <c r="L1495" s="136" t="s">
        <v>15</v>
      </c>
      <c r="M1495" s="678">
        <v>300000</v>
      </c>
      <c r="N1495" s="646" t="s">
        <v>6104</v>
      </c>
    </row>
    <row r="1496" spans="1:14">
      <c r="A1496" s="689">
        <v>24</v>
      </c>
      <c r="B1496" s="952"/>
      <c r="C1496" s="127">
        <v>46184</v>
      </c>
      <c r="D1496" s="3" t="s">
        <v>21</v>
      </c>
      <c r="E1496" s="3" t="s">
        <v>14</v>
      </c>
      <c r="F1496" s="472" t="s">
        <v>149</v>
      </c>
      <c r="G1496" s="454" t="s">
        <v>4090</v>
      </c>
      <c r="H1496" s="459" t="s">
        <v>4091</v>
      </c>
      <c r="I1496" s="453" t="s">
        <v>303</v>
      </c>
      <c r="J1496" s="454" t="s">
        <v>168</v>
      </c>
      <c r="K1496" s="454" t="s">
        <v>999</v>
      </c>
      <c r="L1496" s="136" t="s">
        <v>15</v>
      </c>
      <c r="M1496" s="678">
        <v>300000</v>
      </c>
      <c r="N1496" s="646" t="s">
        <v>6104</v>
      </c>
    </row>
    <row r="1497" spans="1:14">
      <c r="A1497" s="689">
        <v>24</v>
      </c>
      <c r="B1497" s="952"/>
      <c r="C1497" s="369">
        <v>46185</v>
      </c>
      <c r="D1497" s="4" t="s">
        <v>138</v>
      </c>
      <c r="E1497" s="4" t="s">
        <v>14</v>
      </c>
      <c r="F1497" s="31" t="s">
        <v>1893</v>
      </c>
      <c r="G1497" s="31" t="s">
        <v>6089</v>
      </c>
      <c r="H1497" s="16" t="s">
        <v>34</v>
      </c>
      <c r="I1497" s="193" t="s">
        <v>6091</v>
      </c>
      <c r="J1497" s="454" t="s">
        <v>120</v>
      </c>
      <c r="K1497" s="737" t="s">
        <v>686</v>
      </c>
      <c r="L1497" s="459" t="s">
        <v>15</v>
      </c>
      <c r="M1497" s="678">
        <v>250000</v>
      </c>
      <c r="N1497" s="646" t="s">
        <v>6104</v>
      </c>
    </row>
    <row r="1498" spans="1:14">
      <c r="A1498" s="689">
        <v>24</v>
      </c>
      <c r="B1498" s="952"/>
      <c r="C1498" s="369">
        <v>46188</v>
      </c>
      <c r="D1498" s="3" t="s">
        <v>138</v>
      </c>
      <c r="E1498" s="3" t="s">
        <v>14</v>
      </c>
      <c r="F1498" s="454" t="s">
        <v>107</v>
      </c>
      <c r="G1498" s="454" t="s">
        <v>3386</v>
      </c>
      <c r="H1498" s="459" t="s">
        <v>115</v>
      </c>
      <c r="I1498" s="453" t="s">
        <v>6122</v>
      </c>
      <c r="J1498" s="453"/>
      <c r="K1498" s="453" t="s">
        <v>6367</v>
      </c>
      <c r="L1498" s="125" t="s">
        <v>15</v>
      </c>
      <c r="M1498" s="678">
        <v>500000</v>
      </c>
      <c r="N1498" s="646" t="s">
        <v>6141</v>
      </c>
    </row>
    <row r="1499" spans="1:14">
      <c r="A1499" s="689">
        <v>24</v>
      </c>
      <c r="B1499" s="952"/>
      <c r="C1499" s="369">
        <v>46189</v>
      </c>
      <c r="D1499" s="3" t="s">
        <v>138</v>
      </c>
      <c r="E1499" s="3" t="s">
        <v>14</v>
      </c>
      <c r="F1499" s="454" t="s">
        <v>107</v>
      </c>
      <c r="G1499" s="454" t="s">
        <v>3386</v>
      </c>
      <c r="H1499" s="459" t="s">
        <v>115</v>
      </c>
      <c r="I1499" s="193" t="s">
        <v>303</v>
      </c>
      <c r="J1499" s="31" t="s">
        <v>120</v>
      </c>
      <c r="K1499" s="708" t="s">
        <v>3105</v>
      </c>
      <c r="L1499" s="125" t="s">
        <v>15</v>
      </c>
      <c r="M1499" s="678">
        <v>250000</v>
      </c>
      <c r="N1499" s="646" t="s">
        <v>128</v>
      </c>
    </row>
    <row r="1500" spans="1:14">
      <c r="A1500" s="689">
        <v>24</v>
      </c>
      <c r="B1500" s="952"/>
      <c r="C1500" s="369">
        <v>46189</v>
      </c>
      <c r="D1500" s="3" t="s">
        <v>21</v>
      </c>
      <c r="E1500" s="3" t="s">
        <v>14</v>
      </c>
      <c r="F1500" s="454" t="s">
        <v>1893</v>
      </c>
      <c r="G1500" s="454" t="s">
        <v>4939</v>
      </c>
      <c r="H1500" s="459" t="s">
        <v>482</v>
      </c>
      <c r="I1500" s="453" t="s">
        <v>271</v>
      </c>
      <c r="J1500" s="453" t="s">
        <v>493</v>
      </c>
      <c r="K1500" s="453" t="s">
        <v>999</v>
      </c>
      <c r="L1500" s="125" t="s">
        <v>15</v>
      </c>
      <c r="M1500" s="678">
        <v>300000</v>
      </c>
      <c r="N1500" s="646" t="s">
        <v>128</v>
      </c>
    </row>
    <row r="1501" spans="1:14" ht="27">
      <c r="A1501" s="689">
        <v>24</v>
      </c>
      <c r="B1501" s="952"/>
      <c r="C1501" s="369">
        <v>46189</v>
      </c>
      <c r="D1501" s="3" t="s">
        <v>24</v>
      </c>
      <c r="E1501" s="3" t="s">
        <v>31</v>
      </c>
      <c r="F1501" s="453" t="s">
        <v>6095</v>
      </c>
      <c r="G1501" s="31" t="s">
        <v>2713</v>
      </c>
      <c r="H1501" s="16" t="s">
        <v>115</v>
      </c>
      <c r="I1501" s="193" t="s">
        <v>6100</v>
      </c>
      <c r="J1501" s="31"/>
      <c r="K1501" s="363" t="s">
        <v>6096</v>
      </c>
      <c r="L1501" s="125" t="s">
        <v>15</v>
      </c>
      <c r="M1501" s="678">
        <v>500000</v>
      </c>
      <c r="N1501" s="646" t="s">
        <v>127</v>
      </c>
    </row>
    <row r="1502" spans="1:14" ht="27">
      <c r="A1502" s="689">
        <v>24</v>
      </c>
      <c r="B1502" s="952"/>
      <c r="C1502" s="369">
        <v>46190</v>
      </c>
      <c r="D1502" s="3" t="s">
        <v>24</v>
      </c>
      <c r="E1502" s="3" t="s">
        <v>31</v>
      </c>
      <c r="F1502" s="453" t="s">
        <v>6095</v>
      </c>
      <c r="G1502" s="31" t="s">
        <v>2713</v>
      </c>
      <c r="H1502" s="16" t="s">
        <v>23</v>
      </c>
      <c r="I1502" s="193" t="s">
        <v>6099</v>
      </c>
      <c r="J1502" s="31"/>
      <c r="K1502" s="363" t="s">
        <v>6096</v>
      </c>
      <c r="L1502" s="125" t="s">
        <v>15</v>
      </c>
      <c r="M1502" s="678">
        <v>500000</v>
      </c>
      <c r="N1502" s="646" t="s">
        <v>127</v>
      </c>
    </row>
    <row r="1503" spans="1:14">
      <c r="A1503" s="689">
        <v>24</v>
      </c>
      <c r="B1503" s="952"/>
      <c r="C1503" s="369">
        <v>46190</v>
      </c>
      <c r="D1503" s="3" t="s">
        <v>21</v>
      </c>
      <c r="E1503" s="3" t="s">
        <v>14</v>
      </c>
      <c r="F1503" s="454" t="s">
        <v>1893</v>
      </c>
      <c r="G1503" s="454" t="s">
        <v>4939</v>
      </c>
      <c r="H1503" s="459" t="s">
        <v>482</v>
      </c>
      <c r="I1503" s="453" t="s">
        <v>271</v>
      </c>
      <c r="J1503" s="453" t="s">
        <v>493</v>
      </c>
      <c r="K1503" s="453" t="s">
        <v>999</v>
      </c>
      <c r="L1503" s="125" t="s">
        <v>15</v>
      </c>
      <c r="M1503" s="678">
        <v>300000</v>
      </c>
      <c r="N1503" s="646" t="s">
        <v>128</v>
      </c>
    </row>
    <row r="1504" spans="1:14" ht="40.5">
      <c r="A1504" s="689">
        <v>24</v>
      </c>
      <c r="B1504" s="952"/>
      <c r="C1504" s="369">
        <v>46191</v>
      </c>
      <c r="D1504" s="4" t="s">
        <v>21</v>
      </c>
      <c r="E1504" s="4" t="s">
        <v>14</v>
      </c>
      <c r="F1504" s="291" t="s">
        <v>149</v>
      </c>
      <c r="G1504" s="31" t="s">
        <v>4090</v>
      </c>
      <c r="H1504" s="16" t="s">
        <v>4091</v>
      </c>
      <c r="I1504" s="193" t="s">
        <v>6115</v>
      </c>
      <c r="J1504" s="31"/>
      <c r="K1504" s="732" t="s">
        <v>6096</v>
      </c>
      <c r="L1504" s="125" t="s">
        <v>15</v>
      </c>
      <c r="M1504" s="678">
        <v>500000</v>
      </c>
      <c r="N1504" s="646" t="s">
        <v>128</v>
      </c>
    </row>
    <row r="1505" spans="1:14">
      <c r="A1505" s="689">
        <v>24</v>
      </c>
      <c r="B1505" s="952"/>
      <c r="C1505" s="369">
        <v>46191</v>
      </c>
      <c r="D1505" s="3" t="s">
        <v>24</v>
      </c>
      <c r="E1505" s="3" t="s">
        <v>31</v>
      </c>
      <c r="F1505" s="453" t="s">
        <v>78</v>
      </c>
      <c r="G1505" s="31">
        <v>7060</v>
      </c>
      <c r="H1505" s="16" t="s">
        <v>35</v>
      </c>
      <c r="I1505" s="193" t="s">
        <v>6112</v>
      </c>
      <c r="J1505" s="31" t="s">
        <v>120</v>
      </c>
      <c r="K1505" s="193" t="s">
        <v>2828</v>
      </c>
      <c r="L1505" s="125" t="s">
        <v>15</v>
      </c>
      <c r="M1505" s="678">
        <v>250000</v>
      </c>
      <c r="N1505" s="646" t="s">
        <v>127</v>
      </c>
    </row>
    <row r="1506" spans="1:14">
      <c r="A1506" s="689">
        <v>24</v>
      </c>
      <c r="B1506" s="952"/>
      <c r="C1506" s="369">
        <v>46192</v>
      </c>
      <c r="D1506" s="3" t="s">
        <v>21</v>
      </c>
      <c r="E1506" s="3" t="s">
        <v>14</v>
      </c>
      <c r="F1506" s="454" t="s">
        <v>211</v>
      </c>
      <c r="G1506" s="454" t="s">
        <v>5754</v>
      </c>
      <c r="H1506" s="459" t="s">
        <v>5832</v>
      </c>
      <c r="I1506" s="453" t="s">
        <v>6107</v>
      </c>
      <c r="J1506" s="31" t="s">
        <v>120</v>
      </c>
      <c r="K1506" s="708" t="s">
        <v>2828</v>
      </c>
      <c r="L1506" s="125" t="s">
        <v>15</v>
      </c>
      <c r="M1506" s="678">
        <v>250000</v>
      </c>
      <c r="N1506" s="646" t="s">
        <v>1192</v>
      </c>
    </row>
    <row r="1507" spans="1:14">
      <c r="A1507" s="689">
        <v>24</v>
      </c>
      <c r="B1507" s="952"/>
      <c r="C1507" s="369">
        <v>46191</v>
      </c>
      <c r="D1507" s="3" t="s">
        <v>21</v>
      </c>
      <c r="E1507" s="3" t="s">
        <v>14</v>
      </c>
      <c r="F1507" s="454" t="s">
        <v>1893</v>
      </c>
      <c r="G1507" s="454" t="s">
        <v>4939</v>
      </c>
      <c r="H1507" s="459" t="s">
        <v>482</v>
      </c>
      <c r="I1507" s="453" t="s">
        <v>271</v>
      </c>
      <c r="J1507" s="453" t="s">
        <v>493</v>
      </c>
      <c r="K1507" s="453" t="s">
        <v>999</v>
      </c>
      <c r="L1507" s="125" t="s">
        <v>15</v>
      </c>
      <c r="M1507" s="678">
        <v>300000</v>
      </c>
      <c r="N1507" s="646" t="s">
        <v>128</v>
      </c>
    </row>
    <row r="1508" spans="1:14">
      <c r="A1508" s="689">
        <v>24</v>
      </c>
      <c r="B1508" s="952"/>
      <c r="C1508" s="369">
        <v>46192</v>
      </c>
      <c r="D1508" s="3" t="s">
        <v>21</v>
      </c>
      <c r="E1508" s="3" t="s">
        <v>14</v>
      </c>
      <c r="F1508" s="454" t="s">
        <v>1893</v>
      </c>
      <c r="G1508" s="454" t="s">
        <v>4939</v>
      </c>
      <c r="H1508" s="459" t="s">
        <v>482</v>
      </c>
      <c r="I1508" s="453" t="s">
        <v>271</v>
      </c>
      <c r="J1508" s="453" t="s">
        <v>493</v>
      </c>
      <c r="K1508" s="453" t="s">
        <v>999</v>
      </c>
      <c r="L1508" s="125" t="s">
        <v>15</v>
      </c>
      <c r="M1508" s="678">
        <v>300000</v>
      </c>
      <c r="N1508" s="646" t="s">
        <v>128</v>
      </c>
    </row>
    <row r="1509" spans="1:14">
      <c r="A1509" s="689">
        <v>25</v>
      </c>
      <c r="B1509" s="1138" t="s">
        <v>20</v>
      </c>
      <c r="C1509" s="640">
        <v>46189</v>
      </c>
      <c r="D1509" s="721" t="s">
        <v>421</v>
      </c>
      <c r="E1509" s="632"/>
      <c r="F1509" s="633" t="s">
        <v>5254</v>
      </c>
      <c r="G1509" s="633" t="s">
        <v>3589</v>
      </c>
      <c r="H1509" s="636"/>
      <c r="I1509" s="634" t="s">
        <v>6248</v>
      </c>
      <c r="J1509" s="633" t="s">
        <v>252</v>
      </c>
      <c r="K1509" s="634" t="s">
        <v>2828</v>
      </c>
      <c r="L1509" s="698"/>
      <c r="M1509" s="677">
        <v>250000</v>
      </c>
      <c r="N1509" s="688" t="s">
        <v>6226</v>
      </c>
    </row>
    <row r="1510" spans="1:14">
      <c r="A1510" s="689">
        <v>25</v>
      </c>
      <c r="B1510" s="1139"/>
      <c r="C1510" s="640">
        <v>46192</v>
      </c>
      <c r="D1510" s="721" t="s">
        <v>421</v>
      </c>
      <c r="E1510" s="632"/>
      <c r="F1510" s="633" t="s">
        <v>5254</v>
      </c>
      <c r="G1510" s="633" t="s">
        <v>3589</v>
      </c>
      <c r="H1510" s="636"/>
      <c r="I1510" s="634" t="s">
        <v>6248</v>
      </c>
      <c r="J1510" s="633" t="s">
        <v>252</v>
      </c>
      <c r="K1510" s="634" t="s">
        <v>2828</v>
      </c>
      <c r="L1510" s="698"/>
      <c r="M1510" s="677">
        <v>250000</v>
      </c>
      <c r="N1510" s="688" t="s">
        <v>6226</v>
      </c>
    </row>
    <row r="1511" spans="1:14">
      <c r="A1511" s="689">
        <v>25</v>
      </c>
      <c r="B1511" s="1139"/>
      <c r="C1511" s="640">
        <v>46193</v>
      </c>
      <c r="D1511" s="721" t="s">
        <v>421</v>
      </c>
      <c r="E1511" s="632"/>
      <c r="F1511" s="633" t="s">
        <v>5254</v>
      </c>
      <c r="G1511" s="633" t="s">
        <v>3589</v>
      </c>
      <c r="H1511" s="636"/>
      <c r="I1511" s="634" t="s">
        <v>6248</v>
      </c>
      <c r="J1511" s="633" t="s">
        <v>252</v>
      </c>
      <c r="K1511" s="634" t="s">
        <v>2828</v>
      </c>
      <c r="L1511" s="698"/>
      <c r="M1511" s="677">
        <v>250000</v>
      </c>
      <c r="N1511" s="688" t="s">
        <v>6226</v>
      </c>
    </row>
    <row r="1512" spans="1:14" ht="24">
      <c r="A1512" s="689">
        <v>25</v>
      </c>
      <c r="B1512" s="1139"/>
      <c r="C1512" s="656" t="s">
        <v>6249</v>
      </c>
      <c r="D1512" s="721" t="s">
        <v>585</v>
      </c>
      <c r="E1512" s="632" t="s">
        <v>298</v>
      </c>
      <c r="F1512" s="633" t="s">
        <v>5254</v>
      </c>
      <c r="G1512" s="725" t="s">
        <v>6250</v>
      </c>
      <c r="H1512" s="722" t="s">
        <v>34</v>
      </c>
      <c r="I1512" s="723" t="s">
        <v>6251</v>
      </c>
      <c r="J1512" s="633" t="s">
        <v>3661</v>
      </c>
      <c r="K1512" s="634" t="s">
        <v>3035</v>
      </c>
      <c r="L1512" s="698"/>
      <c r="M1512" s="677">
        <f>250000*5</f>
        <v>1250000</v>
      </c>
      <c r="N1512" s="688"/>
    </row>
    <row r="1513" spans="1:14" ht="24">
      <c r="A1513" s="689">
        <v>25</v>
      </c>
      <c r="B1513" s="1139"/>
      <c r="C1513" s="656" t="s">
        <v>6249</v>
      </c>
      <c r="D1513" s="632" t="s">
        <v>585</v>
      </c>
      <c r="E1513" s="632" t="s">
        <v>298</v>
      </c>
      <c r="F1513" s="633" t="s">
        <v>5254</v>
      </c>
      <c r="G1513" s="674" t="s">
        <v>6135</v>
      </c>
      <c r="H1513" s="674" t="s">
        <v>1172</v>
      </c>
      <c r="I1513" s="675" t="s">
        <v>1105</v>
      </c>
      <c r="J1513" s="633" t="s">
        <v>1259</v>
      </c>
      <c r="K1513" s="634" t="s">
        <v>3004</v>
      </c>
      <c r="L1513" s="698"/>
      <c r="M1513" s="677">
        <v>750000</v>
      </c>
      <c r="N1513" s="686"/>
    </row>
    <row r="1514" spans="1:14" ht="24">
      <c r="A1514" s="689">
        <v>25</v>
      </c>
      <c r="B1514" s="1139"/>
      <c r="C1514" s="656" t="s">
        <v>6249</v>
      </c>
      <c r="D1514" s="632" t="s">
        <v>585</v>
      </c>
      <c r="E1514" s="632" t="s">
        <v>298</v>
      </c>
      <c r="F1514" s="633" t="s">
        <v>5254</v>
      </c>
      <c r="G1514" s="674" t="s">
        <v>5754</v>
      </c>
      <c r="H1514" s="674" t="s">
        <v>18</v>
      </c>
      <c r="I1514" s="675" t="s">
        <v>6252</v>
      </c>
      <c r="J1514" s="685" t="s">
        <v>812</v>
      </c>
      <c r="K1514" s="676" t="s">
        <v>3004</v>
      </c>
      <c r="L1514" s="698"/>
      <c r="M1514" s="677">
        <v>750000</v>
      </c>
      <c r="N1514" s="686"/>
    </row>
    <row r="1515" spans="1:14" ht="24">
      <c r="A1515" s="689">
        <v>25</v>
      </c>
      <c r="B1515" s="1138" t="s">
        <v>21</v>
      </c>
      <c r="C1515" s="656">
        <v>46195</v>
      </c>
      <c r="D1515" s="646" t="s">
        <v>21</v>
      </c>
      <c r="E1515" s="646" t="s">
        <v>17</v>
      </c>
      <c r="F1515" s="649" t="s">
        <v>4745</v>
      </c>
      <c r="G1515" s="648" t="s">
        <v>2654</v>
      </c>
      <c r="H1515" s="651" t="s">
        <v>23</v>
      </c>
      <c r="I1515" s="649" t="s">
        <v>6211</v>
      </c>
      <c r="J1515" s="633"/>
      <c r="K1515" s="735" t="s">
        <v>641</v>
      </c>
      <c r="L1515" s="632" t="s">
        <v>15</v>
      </c>
      <c r="M1515" s="729">
        <v>500000</v>
      </c>
      <c r="N1515" s="688" t="s">
        <v>582</v>
      </c>
    </row>
    <row r="1516" spans="1:14">
      <c r="A1516" s="689">
        <v>25</v>
      </c>
      <c r="B1516" s="1139"/>
      <c r="C1516" s="656">
        <v>46195</v>
      </c>
      <c r="D1516" s="632" t="s">
        <v>21</v>
      </c>
      <c r="E1516" s="632" t="s">
        <v>14</v>
      </c>
      <c r="F1516" s="633" t="s">
        <v>1893</v>
      </c>
      <c r="G1516" s="633" t="s">
        <v>4939</v>
      </c>
      <c r="H1516" s="636" t="s">
        <v>482</v>
      </c>
      <c r="I1516" s="634" t="s">
        <v>271</v>
      </c>
      <c r="J1516" s="634" t="s">
        <v>493</v>
      </c>
      <c r="K1516" s="634" t="s">
        <v>999</v>
      </c>
      <c r="L1516" s="646" t="s">
        <v>15</v>
      </c>
      <c r="M1516" s="729">
        <v>300000</v>
      </c>
      <c r="N1516" s="688" t="s">
        <v>807</v>
      </c>
    </row>
    <row r="1517" spans="1:14" ht="24">
      <c r="A1517" s="689">
        <v>25</v>
      </c>
      <c r="B1517" s="1139"/>
      <c r="C1517" s="656">
        <v>46196</v>
      </c>
      <c r="D1517" s="646" t="s">
        <v>21</v>
      </c>
      <c r="E1517" s="646" t="s">
        <v>17</v>
      </c>
      <c r="F1517" s="649" t="s">
        <v>4745</v>
      </c>
      <c r="G1517" s="648" t="s">
        <v>2654</v>
      </c>
      <c r="H1517" s="651" t="s">
        <v>23</v>
      </c>
      <c r="I1517" s="649" t="s">
        <v>6211</v>
      </c>
      <c r="J1517" s="633"/>
      <c r="K1517" s="632" t="s">
        <v>641</v>
      </c>
      <c r="L1517" s="632" t="s">
        <v>15</v>
      </c>
      <c r="M1517" s="729">
        <v>500000</v>
      </c>
      <c r="N1517" s="688" t="s">
        <v>582</v>
      </c>
    </row>
    <row r="1518" spans="1:14">
      <c r="A1518" s="689">
        <v>25</v>
      </c>
      <c r="B1518" s="1139"/>
      <c r="C1518" s="656">
        <v>46196</v>
      </c>
      <c r="D1518" s="632" t="s">
        <v>21</v>
      </c>
      <c r="E1518" s="632" t="s">
        <v>14</v>
      </c>
      <c r="F1518" s="633" t="s">
        <v>107</v>
      </c>
      <c r="G1518" s="633" t="s">
        <v>3386</v>
      </c>
      <c r="H1518" s="636" t="s">
        <v>115</v>
      </c>
      <c r="I1518" s="634" t="s">
        <v>303</v>
      </c>
      <c r="J1518" s="648" t="s">
        <v>120</v>
      </c>
      <c r="K1518" s="648" t="s">
        <v>999</v>
      </c>
      <c r="L1518" s="646" t="s">
        <v>15</v>
      </c>
      <c r="M1518" s="678">
        <v>300000</v>
      </c>
      <c r="N1518" s="688" t="s">
        <v>807</v>
      </c>
    </row>
    <row r="1519" spans="1:14" ht="24">
      <c r="A1519" s="689">
        <v>25</v>
      </c>
      <c r="B1519" s="1139"/>
      <c r="C1519" s="726">
        <v>46197</v>
      </c>
      <c r="D1519" s="632" t="s">
        <v>21</v>
      </c>
      <c r="E1519" s="632" t="s">
        <v>14</v>
      </c>
      <c r="F1519" s="727" t="s">
        <v>149</v>
      </c>
      <c r="G1519" s="633" t="s">
        <v>4090</v>
      </c>
      <c r="H1519" s="636" t="s">
        <v>4091</v>
      </c>
      <c r="I1519" s="634" t="s">
        <v>6254</v>
      </c>
      <c r="J1519" s="633" t="s">
        <v>252</v>
      </c>
      <c r="K1519" s="733" t="s">
        <v>487</v>
      </c>
      <c r="L1519" s="632" t="s">
        <v>15</v>
      </c>
      <c r="M1519" s="678">
        <v>500000</v>
      </c>
      <c r="N1519" s="688" t="s">
        <v>807</v>
      </c>
    </row>
    <row r="1520" spans="1:14">
      <c r="A1520" s="689">
        <v>25</v>
      </c>
      <c r="B1520" s="1139"/>
      <c r="C1520" s="726">
        <v>46197</v>
      </c>
      <c r="D1520" s="632" t="s">
        <v>21</v>
      </c>
      <c r="E1520" s="632" t="s">
        <v>14</v>
      </c>
      <c r="F1520" s="633" t="s">
        <v>107</v>
      </c>
      <c r="G1520" s="633" t="s">
        <v>2959</v>
      </c>
      <c r="H1520" s="636" t="s">
        <v>143</v>
      </c>
      <c r="I1520" s="634" t="s">
        <v>6230</v>
      </c>
      <c r="J1520" s="633" t="s">
        <v>493</v>
      </c>
      <c r="K1520" s="634" t="s">
        <v>999</v>
      </c>
      <c r="L1520" s="632" t="s">
        <v>15</v>
      </c>
      <c r="M1520" s="678">
        <v>300000</v>
      </c>
      <c r="N1520" s="688"/>
    </row>
    <row r="1521" spans="1:14">
      <c r="A1521" s="689">
        <v>25</v>
      </c>
      <c r="B1521" s="1139"/>
      <c r="C1521" s="726">
        <v>46197</v>
      </c>
      <c r="D1521" s="632" t="s">
        <v>21</v>
      </c>
      <c r="E1521" s="632" t="s">
        <v>14</v>
      </c>
      <c r="F1521" s="633" t="s">
        <v>107</v>
      </c>
      <c r="G1521" s="633" t="s">
        <v>2959</v>
      </c>
      <c r="H1521" s="636" t="s">
        <v>553</v>
      </c>
      <c r="I1521" s="634" t="s">
        <v>6221</v>
      </c>
      <c r="J1521" s="633" t="s">
        <v>493</v>
      </c>
      <c r="K1521" s="634" t="s">
        <v>999</v>
      </c>
      <c r="L1521" s="632" t="s">
        <v>15</v>
      </c>
      <c r="M1521" s="678">
        <v>300000</v>
      </c>
      <c r="N1521" s="688"/>
    </row>
    <row r="1522" spans="1:14" ht="24">
      <c r="A1522" s="689">
        <v>25</v>
      </c>
      <c r="B1522" s="1139"/>
      <c r="C1522" s="726">
        <v>46198</v>
      </c>
      <c r="D1522" s="632" t="s">
        <v>21</v>
      </c>
      <c r="E1522" s="632" t="s">
        <v>17</v>
      </c>
      <c r="F1522" s="634" t="s">
        <v>6095</v>
      </c>
      <c r="G1522" s="633" t="s">
        <v>2713</v>
      </c>
      <c r="H1522" s="636" t="s">
        <v>115</v>
      </c>
      <c r="I1522" s="634" t="s">
        <v>6253</v>
      </c>
      <c r="J1522" s="633"/>
      <c r="K1522" s="733" t="s">
        <v>6096</v>
      </c>
      <c r="L1522" s="632" t="s">
        <v>15</v>
      </c>
      <c r="M1522" s="678">
        <v>500000</v>
      </c>
      <c r="N1522" s="688"/>
    </row>
    <row r="1523" spans="1:14">
      <c r="A1523" s="689">
        <v>25</v>
      </c>
      <c r="B1523" s="1139"/>
      <c r="C1523" s="726">
        <v>46198</v>
      </c>
      <c r="D1523" s="632" t="s">
        <v>21</v>
      </c>
      <c r="E1523" s="632" t="s">
        <v>14</v>
      </c>
      <c r="F1523" s="633" t="s">
        <v>1893</v>
      </c>
      <c r="G1523" s="633" t="s">
        <v>4939</v>
      </c>
      <c r="H1523" s="636" t="s">
        <v>482</v>
      </c>
      <c r="I1523" s="634" t="s">
        <v>271</v>
      </c>
      <c r="J1523" s="634" t="s">
        <v>493</v>
      </c>
      <c r="K1523" s="634" t="s">
        <v>999</v>
      </c>
      <c r="L1523" s="632" t="s">
        <v>15</v>
      </c>
      <c r="M1523" s="678">
        <v>300000</v>
      </c>
      <c r="N1523" s="688"/>
    </row>
    <row r="1524" spans="1:14">
      <c r="A1524" s="689">
        <v>25</v>
      </c>
      <c r="B1524" s="1139"/>
      <c r="C1524" s="726">
        <v>46198</v>
      </c>
      <c r="D1524" s="632" t="s">
        <v>21</v>
      </c>
      <c r="E1524" s="632" t="s">
        <v>14</v>
      </c>
      <c r="F1524" s="633" t="s">
        <v>427</v>
      </c>
      <c r="G1524" s="633" t="s">
        <v>6135</v>
      </c>
      <c r="H1524" s="636" t="s">
        <v>1172</v>
      </c>
      <c r="I1524" s="634" t="s">
        <v>271</v>
      </c>
      <c r="J1524" s="633" t="s">
        <v>812</v>
      </c>
      <c r="K1524" s="633" t="s">
        <v>2838</v>
      </c>
      <c r="L1524" s="632" t="s">
        <v>15</v>
      </c>
      <c r="M1524" s="678">
        <v>500000</v>
      </c>
      <c r="N1524" s="688"/>
    </row>
    <row r="1525" spans="1:14">
      <c r="A1525" s="689">
        <v>25</v>
      </c>
      <c r="B1525" s="1139"/>
      <c r="C1525" s="726">
        <v>46199</v>
      </c>
      <c r="D1525" s="632" t="s">
        <v>21</v>
      </c>
      <c r="E1525" s="632" t="s">
        <v>14</v>
      </c>
      <c r="F1525" s="633" t="s">
        <v>427</v>
      </c>
      <c r="G1525" s="633" t="s">
        <v>6135</v>
      </c>
      <c r="H1525" s="636" t="s">
        <v>1172</v>
      </c>
      <c r="I1525" s="634" t="s">
        <v>271</v>
      </c>
      <c r="J1525" s="633" t="s">
        <v>812</v>
      </c>
      <c r="K1525" s="774" t="s">
        <v>2838</v>
      </c>
      <c r="L1525" s="632" t="s">
        <v>15</v>
      </c>
      <c r="M1525" s="678">
        <v>500000</v>
      </c>
      <c r="N1525" s="688"/>
    </row>
    <row r="1526" spans="1:14">
      <c r="A1526" s="689">
        <v>25</v>
      </c>
      <c r="B1526" s="1139"/>
      <c r="C1526" s="728">
        <v>46199</v>
      </c>
      <c r="D1526" s="632" t="s">
        <v>21</v>
      </c>
      <c r="E1526" s="632" t="s">
        <v>14</v>
      </c>
      <c r="F1526" s="633" t="s">
        <v>1893</v>
      </c>
      <c r="G1526" s="633" t="s">
        <v>4939</v>
      </c>
      <c r="H1526" s="636" t="s">
        <v>482</v>
      </c>
      <c r="I1526" s="634" t="s">
        <v>271</v>
      </c>
      <c r="J1526" s="634" t="s">
        <v>493</v>
      </c>
      <c r="K1526" s="634" t="s">
        <v>999</v>
      </c>
      <c r="L1526" s="632" t="s">
        <v>15</v>
      </c>
      <c r="M1526" s="678">
        <v>300000</v>
      </c>
      <c r="N1526" s="688"/>
    </row>
    <row r="1527" spans="1:14">
      <c r="A1527" s="689">
        <v>26</v>
      </c>
      <c r="B1527" s="1138" t="s">
        <v>20</v>
      </c>
      <c r="C1527" s="640">
        <v>46200</v>
      </c>
      <c r="D1527" s="721" t="s">
        <v>19</v>
      </c>
      <c r="E1527" s="632" t="s">
        <v>25</v>
      </c>
      <c r="F1527" s="633" t="s">
        <v>5838</v>
      </c>
      <c r="G1527" s="633" t="s">
        <v>6315</v>
      </c>
      <c r="H1527" s="636" t="s">
        <v>18</v>
      </c>
      <c r="I1527" s="634" t="s">
        <v>6316</v>
      </c>
      <c r="J1527" s="633" t="s">
        <v>5944</v>
      </c>
      <c r="K1527" s="735" t="s">
        <v>3454</v>
      </c>
      <c r="L1527" s="698" t="s">
        <v>5610</v>
      </c>
      <c r="M1527" s="677">
        <v>250000</v>
      </c>
      <c r="N1527" s="688" t="s">
        <v>6314</v>
      </c>
    </row>
    <row r="1528" spans="1:14" ht="24">
      <c r="A1528" s="689">
        <v>26</v>
      </c>
      <c r="B1528" s="1139"/>
      <c r="C1528" s="640" t="s">
        <v>6318</v>
      </c>
      <c r="D1528" s="721" t="s">
        <v>19</v>
      </c>
      <c r="E1528" s="632" t="s">
        <v>25</v>
      </c>
      <c r="F1528" s="633" t="s">
        <v>5838</v>
      </c>
      <c r="G1528" s="633" t="s">
        <v>6315</v>
      </c>
      <c r="H1528" s="636" t="s">
        <v>18</v>
      </c>
      <c r="I1528" s="634" t="s">
        <v>6316</v>
      </c>
      <c r="J1528" s="633" t="s">
        <v>5944</v>
      </c>
      <c r="K1528" s="735" t="s">
        <v>3828</v>
      </c>
      <c r="L1528" s="698" t="s">
        <v>5610</v>
      </c>
      <c r="M1528" s="677">
        <f>250000*3</f>
        <v>750000</v>
      </c>
      <c r="N1528" s="688"/>
    </row>
    <row r="1529" spans="1:14" ht="24">
      <c r="A1529" s="689">
        <v>26</v>
      </c>
      <c r="B1529" s="1139"/>
      <c r="C1529" s="640" t="s">
        <v>6318</v>
      </c>
      <c r="D1529" s="721" t="s">
        <v>19</v>
      </c>
      <c r="E1529" s="632" t="s">
        <v>25</v>
      </c>
      <c r="F1529" s="633" t="s">
        <v>5838</v>
      </c>
      <c r="G1529" s="633">
        <v>7065</v>
      </c>
      <c r="H1529" s="636" t="s">
        <v>6071</v>
      </c>
      <c r="I1529" s="634" t="s">
        <v>6324</v>
      </c>
      <c r="J1529" s="633" t="s">
        <v>90</v>
      </c>
      <c r="K1529" s="735" t="s">
        <v>3828</v>
      </c>
      <c r="L1529" s="698" t="s">
        <v>5610</v>
      </c>
      <c r="M1529" s="677">
        <f>250000*3</f>
        <v>750000</v>
      </c>
      <c r="N1529" s="688"/>
    </row>
    <row r="1530" spans="1:14" ht="24">
      <c r="A1530" s="689">
        <v>26</v>
      </c>
      <c r="B1530" s="1139"/>
      <c r="C1530" s="640" t="s">
        <v>6320</v>
      </c>
      <c r="D1530" s="721" t="s">
        <v>19</v>
      </c>
      <c r="E1530" s="632" t="s">
        <v>25</v>
      </c>
      <c r="F1530" s="633" t="s">
        <v>5838</v>
      </c>
      <c r="G1530" s="633" t="s">
        <v>6250</v>
      </c>
      <c r="H1530" s="636" t="s">
        <v>34</v>
      </c>
      <c r="I1530" s="634" t="s">
        <v>6321</v>
      </c>
      <c r="J1530" s="633" t="s">
        <v>3429</v>
      </c>
      <c r="K1530" s="634" t="s">
        <v>3803</v>
      </c>
      <c r="L1530" s="698" t="s">
        <v>5610</v>
      </c>
      <c r="M1530" s="677">
        <v>250000</v>
      </c>
      <c r="N1530" s="688"/>
    </row>
    <row r="1531" spans="1:14" ht="24">
      <c r="A1531" s="689">
        <v>26</v>
      </c>
      <c r="B1531" s="1139"/>
      <c r="C1531" s="640" t="s">
        <v>6320</v>
      </c>
      <c r="D1531" s="721" t="s">
        <v>19</v>
      </c>
      <c r="E1531" s="632" t="s">
        <v>25</v>
      </c>
      <c r="F1531" s="633" t="s">
        <v>5838</v>
      </c>
      <c r="G1531" s="633" t="s">
        <v>5754</v>
      </c>
      <c r="H1531" s="636" t="s">
        <v>18</v>
      </c>
      <c r="I1531" s="634" t="s">
        <v>6319</v>
      </c>
      <c r="J1531" s="633" t="s">
        <v>3429</v>
      </c>
      <c r="K1531" s="634" t="s">
        <v>5955</v>
      </c>
      <c r="L1531" s="698" t="s">
        <v>5610</v>
      </c>
      <c r="M1531" s="677">
        <f>250000*4</f>
        <v>1000000</v>
      </c>
      <c r="N1531" s="688"/>
    </row>
    <row r="1532" spans="1:14" ht="24">
      <c r="A1532" s="689">
        <v>26</v>
      </c>
      <c r="B1532" s="1139"/>
      <c r="C1532" s="656" t="s">
        <v>6322</v>
      </c>
      <c r="D1532" s="721" t="s">
        <v>19</v>
      </c>
      <c r="E1532" s="632" t="s">
        <v>25</v>
      </c>
      <c r="F1532" s="633" t="s">
        <v>5838</v>
      </c>
      <c r="G1532" s="674" t="s">
        <v>6250</v>
      </c>
      <c r="H1532" s="674" t="s">
        <v>6323</v>
      </c>
      <c r="I1532" s="675" t="s">
        <v>3876</v>
      </c>
      <c r="J1532" s="633" t="s">
        <v>5944</v>
      </c>
      <c r="K1532" s="735" t="s">
        <v>3702</v>
      </c>
      <c r="L1532" s="698" t="s">
        <v>5610</v>
      </c>
      <c r="M1532" s="677">
        <f>250000*2</f>
        <v>500000</v>
      </c>
      <c r="N1532" s="686"/>
    </row>
    <row r="1533" spans="1:14">
      <c r="A1533" s="689">
        <v>26</v>
      </c>
      <c r="B1533" s="952" t="s">
        <v>21</v>
      </c>
      <c r="C1533" s="198">
        <v>46199</v>
      </c>
      <c r="D1533" s="3" t="s">
        <v>21</v>
      </c>
      <c r="E1533" s="3" t="s">
        <v>14</v>
      </c>
      <c r="F1533" s="454" t="s">
        <v>107</v>
      </c>
      <c r="G1533" s="454" t="s">
        <v>3386</v>
      </c>
      <c r="H1533" s="459" t="s">
        <v>102</v>
      </c>
      <c r="I1533" s="453" t="s">
        <v>6317</v>
      </c>
      <c r="J1533" s="454"/>
      <c r="K1533" s="773" t="s">
        <v>684</v>
      </c>
      <c r="L1533" s="136" t="s">
        <v>15</v>
      </c>
      <c r="M1533" s="729">
        <v>500000</v>
      </c>
      <c r="N1533" s="688" t="s">
        <v>6314</v>
      </c>
    </row>
    <row r="1534" spans="1:14">
      <c r="A1534" s="689">
        <v>26</v>
      </c>
      <c r="B1534" s="952"/>
      <c r="C1534" s="399">
        <v>46202</v>
      </c>
      <c r="D1534" s="3" t="s">
        <v>21</v>
      </c>
      <c r="E1534" s="3" t="s">
        <v>14</v>
      </c>
      <c r="F1534" s="454" t="s">
        <v>107</v>
      </c>
      <c r="G1534" s="454" t="s">
        <v>3386</v>
      </c>
      <c r="H1534" s="459" t="s">
        <v>23</v>
      </c>
      <c r="I1534" s="453" t="s">
        <v>6288</v>
      </c>
      <c r="J1534" s="68" t="s">
        <v>6292</v>
      </c>
      <c r="K1534" s="136" t="s">
        <v>3075</v>
      </c>
      <c r="L1534" s="136" t="s">
        <v>15</v>
      </c>
      <c r="M1534" s="729">
        <v>300000</v>
      </c>
      <c r="N1534" s="688" t="s">
        <v>807</v>
      </c>
    </row>
    <row r="1535" spans="1:14">
      <c r="A1535" s="689">
        <v>26</v>
      </c>
      <c r="B1535" s="952"/>
      <c r="C1535" s="399">
        <v>46203</v>
      </c>
      <c r="D1535" s="3" t="s">
        <v>21</v>
      </c>
      <c r="E1535" s="3" t="s">
        <v>14</v>
      </c>
      <c r="F1535" s="454" t="s">
        <v>427</v>
      </c>
      <c r="G1535" s="454" t="s">
        <v>3386</v>
      </c>
      <c r="H1535" s="459" t="s">
        <v>23</v>
      </c>
      <c r="I1535" s="453" t="s">
        <v>6219</v>
      </c>
      <c r="J1535" s="68" t="s">
        <v>3831</v>
      </c>
      <c r="K1535" s="136" t="s">
        <v>3492</v>
      </c>
      <c r="L1535" s="136" t="s">
        <v>15</v>
      </c>
      <c r="M1535" s="729">
        <v>300000</v>
      </c>
      <c r="N1535" s="688" t="s">
        <v>807</v>
      </c>
    </row>
    <row r="1536" spans="1:14">
      <c r="A1536" s="689">
        <v>26</v>
      </c>
      <c r="B1536" s="952"/>
      <c r="C1536" s="399">
        <v>46203</v>
      </c>
      <c r="D1536" s="3" t="s">
        <v>21</v>
      </c>
      <c r="E1536" s="3" t="s">
        <v>17</v>
      </c>
      <c r="F1536" s="454" t="s">
        <v>107</v>
      </c>
      <c r="G1536" s="454" t="s">
        <v>2959</v>
      </c>
      <c r="H1536" s="459" t="s">
        <v>109</v>
      </c>
      <c r="I1536" s="453" t="s">
        <v>6222</v>
      </c>
      <c r="J1536" s="68"/>
      <c r="K1536" s="136" t="s">
        <v>641</v>
      </c>
      <c r="L1536" s="136" t="s">
        <v>15</v>
      </c>
      <c r="M1536" s="729">
        <v>500000</v>
      </c>
      <c r="N1536" s="688" t="s">
        <v>807</v>
      </c>
    </row>
    <row r="1537" spans="1:14">
      <c r="A1537" s="689">
        <v>26</v>
      </c>
      <c r="B1537" s="952"/>
      <c r="C1537" s="399">
        <v>46204</v>
      </c>
      <c r="D1537" s="3" t="s">
        <v>21</v>
      </c>
      <c r="E1537" s="3" t="s">
        <v>17</v>
      </c>
      <c r="F1537" s="454" t="s">
        <v>107</v>
      </c>
      <c r="G1537" s="454" t="s">
        <v>2959</v>
      </c>
      <c r="H1537" s="459" t="s">
        <v>109</v>
      </c>
      <c r="I1537" s="453" t="s">
        <v>4005</v>
      </c>
      <c r="J1537" s="68"/>
      <c r="K1537" s="136" t="s">
        <v>641</v>
      </c>
      <c r="L1537" s="136" t="s">
        <v>15</v>
      </c>
      <c r="M1537" s="678">
        <v>500000</v>
      </c>
      <c r="N1537" s="688" t="s">
        <v>807</v>
      </c>
    </row>
    <row r="1538" spans="1:14">
      <c r="A1538" s="689">
        <v>26</v>
      </c>
      <c r="B1538" s="952"/>
      <c r="C1538" s="198">
        <v>46205</v>
      </c>
      <c r="D1538" s="3" t="s">
        <v>21</v>
      </c>
      <c r="E1538" s="3" t="s">
        <v>14</v>
      </c>
      <c r="F1538" s="454" t="s">
        <v>427</v>
      </c>
      <c r="G1538" s="454" t="s">
        <v>2959</v>
      </c>
      <c r="H1538" s="459" t="s">
        <v>929</v>
      </c>
      <c r="I1538" s="453" t="s">
        <v>6302</v>
      </c>
      <c r="J1538" s="68" t="s">
        <v>6304</v>
      </c>
      <c r="K1538" s="68" t="s">
        <v>68</v>
      </c>
      <c r="L1538" s="136" t="s">
        <v>15</v>
      </c>
      <c r="M1538" s="678">
        <v>300000</v>
      </c>
      <c r="N1538" s="688" t="s">
        <v>807</v>
      </c>
    </row>
    <row r="1539" spans="1:14">
      <c r="A1539" s="689">
        <v>26</v>
      </c>
      <c r="B1539" s="952"/>
      <c r="C1539" s="399">
        <v>46205</v>
      </c>
      <c r="D1539" s="3" t="s">
        <v>21</v>
      </c>
      <c r="E1539" s="3" t="s">
        <v>17</v>
      </c>
      <c r="F1539" s="454" t="s">
        <v>107</v>
      </c>
      <c r="G1539" s="454" t="s">
        <v>2959</v>
      </c>
      <c r="H1539" s="459" t="s">
        <v>1172</v>
      </c>
      <c r="I1539" s="453" t="s">
        <v>6294</v>
      </c>
      <c r="J1539" s="68" t="s">
        <v>4168</v>
      </c>
      <c r="K1539" s="773" t="s">
        <v>3454</v>
      </c>
      <c r="L1539" s="136" t="s">
        <v>15</v>
      </c>
      <c r="M1539" s="678">
        <v>250000</v>
      </c>
      <c r="N1539" s="688" t="s">
        <v>807</v>
      </c>
    </row>
    <row r="1540" spans="1:14">
      <c r="A1540" s="689">
        <v>26</v>
      </c>
      <c r="B1540" s="952"/>
      <c r="C1540" s="369">
        <v>46206</v>
      </c>
      <c r="D1540" s="3" t="s">
        <v>21</v>
      </c>
      <c r="E1540" s="3" t="s">
        <v>17</v>
      </c>
      <c r="F1540" s="454" t="s">
        <v>107</v>
      </c>
      <c r="G1540" s="454" t="s">
        <v>2959</v>
      </c>
      <c r="H1540" s="459" t="s">
        <v>1172</v>
      </c>
      <c r="I1540" s="453" t="s">
        <v>6295</v>
      </c>
      <c r="J1540" s="68" t="s">
        <v>4168</v>
      </c>
      <c r="K1540" s="773" t="s">
        <v>2828</v>
      </c>
      <c r="L1540" s="136" t="s">
        <v>15</v>
      </c>
      <c r="M1540" s="678">
        <v>250000</v>
      </c>
      <c r="N1540" s="688" t="s">
        <v>807</v>
      </c>
    </row>
    <row r="1541" spans="1:14">
      <c r="A1541" s="691">
        <v>27</v>
      </c>
      <c r="B1541" s="952" t="s">
        <v>20</v>
      </c>
      <c r="C1541" s="640">
        <v>46207</v>
      </c>
      <c r="D1541" s="721" t="s">
        <v>6424</v>
      </c>
      <c r="E1541" s="632" t="s">
        <v>6425</v>
      </c>
      <c r="F1541" s="633" t="s">
        <v>6426</v>
      </c>
      <c r="G1541" s="633" t="s">
        <v>6427</v>
      </c>
      <c r="H1541" s="636" t="s">
        <v>6428</v>
      </c>
      <c r="I1541" s="634" t="s">
        <v>6457</v>
      </c>
      <c r="J1541" s="633" t="s">
        <v>6429</v>
      </c>
      <c r="K1541" s="634" t="s">
        <v>6430</v>
      </c>
      <c r="L1541" s="698" t="s">
        <v>6431</v>
      </c>
      <c r="M1541" s="677">
        <v>250000</v>
      </c>
      <c r="N1541" s="688" t="s">
        <v>6423</v>
      </c>
    </row>
    <row r="1542" spans="1:14">
      <c r="A1542" s="691">
        <v>27</v>
      </c>
      <c r="B1542" s="952"/>
      <c r="C1542" s="640" t="s">
        <v>6443</v>
      </c>
      <c r="D1542" s="721" t="s">
        <v>6424</v>
      </c>
      <c r="E1542" s="632" t="s">
        <v>6425</v>
      </c>
      <c r="F1542" s="633" t="s">
        <v>6426</v>
      </c>
      <c r="G1542" s="633" t="s">
        <v>6440</v>
      </c>
      <c r="H1542" s="636" t="s">
        <v>6441</v>
      </c>
      <c r="I1542" s="634" t="s">
        <v>6456</v>
      </c>
      <c r="J1542" s="633" t="s">
        <v>6442</v>
      </c>
      <c r="K1542" s="634" t="s">
        <v>6444</v>
      </c>
      <c r="L1542" s="698" t="s">
        <v>6431</v>
      </c>
      <c r="M1542" s="677">
        <f>250000*2</f>
        <v>500000</v>
      </c>
      <c r="N1542" s="688"/>
    </row>
    <row r="1543" spans="1:14">
      <c r="A1543" s="691">
        <v>27</v>
      </c>
      <c r="B1543" s="952"/>
      <c r="C1543" s="640" t="s">
        <v>6452</v>
      </c>
      <c r="D1543" s="721" t="s">
        <v>6424</v>
      </c>
      <c r="E1543" s="632" t="s">
        <v>6425</v>
      </c>
      <c r="F1543" s="633" t="s">
        <v>6426</v>
      </c>
      <c r="G1543" s="633">
        <v>7065</v>
      </c>
      <c r="H1543" s="636" t="s">
        <v>6445</v>
      </c>
      <c r="I1543" s="634" t="s">
        <v>6446</v>
      </c>
      <c r="J1543" s="633"/>
      <c r="K1543" s="634" t="s">
        <v>6447</v>
      </c>
      <c r="L1543" s="698" t="s">
        <v>6431</v>
      </c>
      <c r="M1543" s="677">
        <f>250000*3</f>
        <v>750000</v>
      </c>
      <c r="N1543" s="688"/>
    </row>
    <row r="1544" spans="1:14">
      <c r="A1544" s="691">
        <v>27</v>
      </c>
      <c r="B1544" s="952"/>
      <c r="C1544" s="640" t="s">
        <v>6452</v>
      </c>
      <c r="D1544" s="721" t="s">
        <v>6424</v>
      </c>
      <c r="E1544" s="632" t="s">
        <v>6425</v>
      </c>
      <c r="F1544" s="633" t="s">
        <v>6426</v>
      </c>
      <c r="G1544" s="633" t="s">
        <v>6448</v>
      </c>
      <c r="H1544" s="636" t="s">
        <v>6449</v>
      </c>
      <c r="I1544" s="634" t="s">
        <v>6450</v>
      </c>
      <c r="J1544" s="633"/>
      <c r="K1544" s="735" t="s">
        <v>6451</v>
      </c>
      <c r="L1544" s="698" t="s">
        <v>6431</v>
      </c>
      <c r="M1544" s="677">
        <f>250000*3</f>
        <v>750000</v>
      </c>
      <c r="N1544" s="688"/>
    </row>
    <row r="1545" spans="1:14">
      <c r="A1545" s="691">
        <v>27</v>
      </c>
      <c r="B1545" s="952"/>
      <c r="C1545" s="640" t="s">
        <v>6443</v>
      </c>
      <c r="D1545" s="721" t="s">
        <v>6424</v>
      </c>
      <c r="E1545" s="632" t="s">
        <v>6425</v>
      </c>
      <c r="F1545" s="633" t="s">
        <v>6426</v>
      </c>
      <c r="G1545" s="633" t="s">
        <v>6427</v>
      </c>
      <c r="H1545" s="636" t="s">
        <v>6453</v>
      </c>
      <c r="I1545" s="634" t="s">
        <v>6454</v>
      </c>
      <c r="J1545" s="633" t="s">
        <v>6429</v>
      </c>
      <c r="K1545" s="735" t="s">
        <v>6455</v>
      </c>
      <c r="L1545" s="698" t="s">
        <v>6431</v>
      </c>
      <c r="M1545" s="677">
        <f>250000*2</f>
        <v>500000</v>
      </c>
      <c r="N1545" s="688"/>
    </row>
    <row r="1546" spans="1:14">
      <c r="A1546" s="691">
        <v>27</v>
      </c>
      <c r="B1546" s="952"/>
      <c r="C1546" s="656" t="s">
        <v>6452</v>
      </c>
      <c r="D1546" s="721" t="s">
        <v>6424</v>
      </c>
      <c r="E1546" s="632" t="s">
        <v>6425</v>
      </c>
      <c r="F1546" s="633" t="s">
        <v>6426</v>
      </c>
      <c r="G1546" s="674" t="s">
        <v>6440</v>
      </c>
      <c r="H1546" s="674" t="s">
        <v>6441</v>
      </c>
      <c r="I1546" s="675" t="s">
        <v>6457</v>
      </c>
      <c r="J1546" s="633" t="s">
        <v>6429</v>
      </c>
      <c r="K1546" s="735" t="s">
        <v>6451</v>
      </c>
      <c r="L1546" s="698" t="s">
        <v>6431</v>
      </c>
      <c r="M1546" s="677">
        <f>250000*3</f>
        <v>750000</v>
      </c>
      <c r="N1546" s="686"/>
    </row>
    <row r="1547" spans="1:14">
      <c r="A1547" s="691">
        <v>27</v>
      </c>
      <c r="B1547" s="952" t="s">
        <v>21</v>
      </c>
      <c r="C1547" s="640">
        <v>46168</v>
      </c>
      <c r="D1547" s="632" t="s">
        <v>1255</v>
      </c>
      <c r="E1547" s="632" t="s">
        <v>14</v>
      </c>
      <c r="F1547" s="633" t="s">
        <v>427</v>
      </c>
      <c r="G1547" s="633" t="s">
        <v>3386</v>
      </c>
      <c r="H1547" s="636" t="s">
        <v>943</v>
      </c>
      <c r="I1547" s="649" t="s">
        <v>6434</v>
      </c>
      <c r="J1547" s="649"/>
      <c r="K1547" s="648" t="s">
        <v>6433</v>
      </c>
      <c r="L1547" s="646" t="s">
        <v>6349</v>
      </c>
      <c r="M1547" s="729">
        <v>300000</v>
      </c>
      <c r="N1547" s="688" t="s">
        <v>6435</v>
      </c>
    </row>
    <row r="1548" spans="1:14">
      <c r="A1548" s="691">
        <v>27</v>
      </c>
      <c r="B1548" s="952"/>
      <c r="C1548" s="640">
        <v>46207</v>
      </c>
      <c r="D1548" s="632" t="s">
        <v>1301</v>
      </c>
      <c r="E1548" s="632" t="s">
        <v>14</v>
      </c>
      <c r="F1548" s="633" t="s">
        <v>427</v>
      </c>
      <c r="G1548" s="633" t="s">
        <v>3386</v>
      </c>
      <c r="H1548" s="636" t="s">
        <v>943</v>
      </c>
      <c r="I1548" s="649" t="s">
        <v>6392</v>
      </c>
      <c r="J1548" s="649" t="s">
        <v>6398</v>
      </c>
      <c r="K1548" s="775" t="s">
        <v>6348</v>
      </c>
      <c r="L1548" s="646" t="s">
        <v>6349</v>
      </c>
      <c r="M1548" s="729">
        <v>250000</v>
      </c>
      <c r="N1548" s="688" t="s">
        <v>6423</v>
      </c>
    </row>
    <row r="1549" spans="1:14">
      <c r="A1549" s="691">
        <v>27</v>
      </c>
      <c r="B1549" s="952"/>
      <c r="C1549" s="656">
        <v>46209</v>
      </c>
      <c r="D1549" s="632" t="s">
        <v>21</v>
      </c>
      <c r="E1549" s="632" t="s">
        <v>14</v>
      </c>
      <c r="F1549" s="633" t="s">
        <v>1893</v>
      </c>
      <c r="G1549" s="633" t="s">
        <v>4939</v>
      </c>
      <c r="H1549" s="636" t="s">
        <v>482</v>
      </c>
      <c r="I1549" s="649" t="s">
        <v>6397</v>
      </c>
      <c r="J1549" s="648" t="s">
        <v>6398</v>
      </c>
      <c r="K1549" s="648" t="s">
        <v>6399</v>
      </c>
      <c r="L1549" s="646" t="s">
        <v>6349</v>
      </c>
      <c r="M1549" s="729">
        <v>250000</v>
      </c>
      <c r="N1549" s="688" t="s">
        <v>6437</v>
      </c>
    </row>
    <row r="1550" spans="1:14">
      <c r="A1550" s="691">
        <v>27</v>
      </c>
      <c r="B1550" s="952"/>
      <c r="C1550" s="656">
        <v>46211</v>
      </c>
      <c r="D1550" s="632" t="s">
        <v>21</v>
      </c>
      <c r="E1550" s="632" t="s">
        <v>14</v>
      </c>
      <c r="F1550" s="633" t="s">
        <v>107</v>
      </c>
      <c r="G1550" s="633" t="s">
        <v>2959</v>
      </c>
      <c r="H1550" s="636" t="s">
        <v>1172</v>
      </c>
      <c r="I1550" s="634" t="s">
        <v>6219</v>
      </c>
      <c r="J1550" s="750" t="s">
        <v>6347</v>
      </c>
      <c r="K1550" s="632" t="s">
        <v>6410</v>
      </c>
      <c r="L1550" s="632" t="s">
        <v>6349</v>
      </c>
      <c r="M1550" s="752">
        <v>250000</v>
      </c>
      <c r="N1550" s="688" t="s">
        <v>6437</v>
      </c>
    </row>
    <row r="1551" spans="1:14">
      <c r="A1551" s="691">
        <v>27</v>
      </c>
      <c r="B1551" s="952"/>
      <c r="C1551" s="656">
        <v>46211</v>
      </c>
      <c r="D1551" s="632" t="s">
        <v>21</v>
      </c>
      <c r="E1551" s="632" t="s">
        <v>14</v>
      </c>
      <c r="F1551" s="633" t="s">
        <v>107</v>
      </c>
      <c r="G1551" s="633" t="s">
        <v>2959</v>
      </c>
      <c r="H1551" s="636" t="s">
        <v>2210</v>
      </c>
      <c r="I1551" s="634" t="s">
        <v>6422</v>
      </c>
      <c r="J1551" s="750"/>
      <c r="K1551" s="632" t="s">
        <v>6413</v>
      </c>
      <c r="L1551" s="632" t="s">
        <v>6349</v>
      </c>
      <c r="M1551" s="752">
        <v>500000</v>
      </c>
      <c r="N1551" s="688" t="s">
        <v>6437</v>
      </c>
    </row>
    <row r="1552" spans="1:14">
      <c r="A1552" s="691">
        <v>27</v>
      </c>
      <c r="B1552" s="952"/>
      <c r="C1552" s="656">
        <v>46211</v>
      </c>
      <c r="D1552" s="632" t="s">
        <v>21</v>
      </c>
      <c r="E1552" s="632" t="s">
        <v>17</v>
      </c>
      <c r="F1552" s="633" t="s">
        <v>78</v>
      </c>
      <c r="G1552" s="633" t="s">
        <v>1645</v>
      </c>
      <c r="H1552" s="636" t="s">
        <v>23</v>
      </c>
      <c r="I1552" s="634" t="s">
        <v>6311</v>
      </c>
      <c r="J1552" s="633" t="s">
        <v>90</v>
      </c>
      <c r="K1552" s="634" t="s">
        <v>999</v>
      </c>
      <c r="L1552" s="632"/>
      <c r="M1552" s="678">
        <v>300000</v>
      </c>
      <c r="N1552" s="688" t="s">
        <v>6438</v>
      </c>
    </row>
    <row r="1553" spans="1:14">
      <c r="A1553" s="691">
        <v>27</v>
      </c>
      <c r="B1553" s="952"/>
      <c r="C1553" s="656">
        <v>46212</v>
      </c>
      <c r="D1553" s="632" t="s">
        <v>21</v>
      </c>
      <c r="E1553" s="632" t="s">
        <v>14</v>
      </c>
      <c r="F1553" s="633" t="s">
        <v>107</v>
      </c>
      <c r="G1553" s="633" t="s">
        <v>2959</v>
      </c>
      <c r="H1553" s="636" t="s">
        <v>1172</v>
      </c>
      <c r="I1553" s="634" t="s">
        <v>6219</v>
      </c>
      <c r="J1553" s="750" t="s">
        <v>6347</v>
      </c>
      <c r="K1553" s="1144" t="s">
        <v>6410</v>
      </c>
      <c r="L1553" s="632" t="s">
        <v>6349</v>
      </c>
      <c r="M1553" s="1129">
        <v>250000</v>
      </c>
      <c r="N1553" s="688" t="s">
        <v>6437</v>
      </c>
    </row>
    <row r="1554" spans="1:14">
      <c r="A1554" s="691">
        <v>27</v>
      </c>
      <c r="B1554" s="952"/>
      <c r="C1554" s="656">
        <v>46212</v>
      </c>
      <c r="D1554" s="632" t="s">
        <v>21</v>
      </c>
      <c r="E1554" s="632" t="s">
        <v>14</v>
      </c>
      <c r="F1554" s="633" t="s">
        <v>107</v>
      </c>
      <c r="G1554" s="633" t="s">
        <v>2959</v>
      </c>
      <c r="H1554" s="636" t="s">
        <v>67</v>
      </c>
      <c r="I1554" s="634" t="s">
        <v>6221</v>
      </c>
      <c r="J1554" s="750" t="s">
        <v>6347</v>
      </c>
      <c r="K1554" s="1145"/>
      <c r="L1554" s="632" t="s">
        <v>15</v>
      </c>
      <c r="M1554" s="1130"/>
      <c r="N1554" s="688" t="s">
        <v>6438</v>
      </c>
    </row>
    <row r="1555" spans="1:14">
      <c r="A1555" s="691">
        <v>27</v>
      </c>
      <c r="B1555" s="952"/>
      <c r="C1555" s="656">
        <v>46212</v>
      </c>
      <c r="D1555" s="632" t="s">
        <v>21</v>
      </c>
      <c r="E1555" s="632" t="s">
        <v>17</v>
      </c>
      <c r="F1555" s="633" t="s">
        <v>78</v>
      </c>
      <c r="G1555" s="633">
        <v>7060</v>
      </c>
      <c r="H1555" s="636" t="s">
        <v>36</v>
      </c>
      <c r="I1555" s="649" t="s">
        <v>6439</v>
      </c>
      <c r="J1555" s="633" t="s">
        <v>6355</v>
      </c>
      <c r="K1555" s="772" t="s">
        <v>6348</v>
      </c>
      <c r="L1555" s="632" t="s">
        <v>6349</v>
      </c>
      <c r="M1555" s="678">
        <v>250000</v>
      </c>
      <c r="N1555" s="688" t="s">
        <v>6438</v>
      </c>
    </row>
    <row r="1556" spans="1:14">
      <c r="A1556" s="691">
        <v>27</v>
      </c>
      <c r="B1556" s="952"/>
      <c r="C1556" s="656">
        <v>46213</v>
      </c>
      <c r="D1556" s="632" t="s">
        <v>21</v>
      </c>
      <c r="E1556" s="632" t="s">
        <v>14</v>
      </c>
      <c r="F1556" s="633" t="s">
        <v>211</v>
      </c>
      <c r="G1556" s="633" t="s">
        <v>2916</v>
      </c>
      <c r="H1556" s="636" t="s">
        <v>2917</v>
      </c>
      <c r="I1556" s="634" t="s">
        <v>6420</v>
      </c>
      <c r="J1556" s="648" t="s">
        <v>6312</v>
      </c>
      <c r="K1556" s="648" t="s">
        <v>6399</v>
      </c>
      <c r="L1556" s="646" t="s">
        <v>911</v>
      </c>
      <c r="M1556" s="678">
        <v>300000</v>
      </c>
      <c r="N1556" s="688" t="s">
        <v>6436</v>
      </c>
    </row>
    <row r="1557" spans="1:14">
      <c r="A1557" s="689">
        <v>28</v>
      </c>
      <c r="B1557" s="1138" t="s">
        <v>20</v>
      </c>
      <c r="C1557" s="640">
        <v>46214</v>
      </c>
      <c r="D1557" s="721" t="s">
        <v>6522</v>
      </c>
      <c r="E1557" s="632" t="s">
        <v>1638</v>
      </c>
      <c r="F1557" s="633" t="s">
        <v>6523</v>
      </c>
      <c r="G1557" s="633" t="s">
        <v>4947</v>
      </c>
      <c r="H1557" s="636" t="s">
        <v>115</v>
      </c>
      <c r="I1557" s="634" t="s">
        <v>6524</v>
      </c>
      <c r="J1557" s="633" t="s">
        <v>2172</v>
      </c>
      <c r="K1557" s="735" t="s">
        <v>6525</v>
      </c>
      <c r="L1557" s="698" t="s">
        <v>6526</v>
      </c>
      <c r="M1557" s="677">
        <v>250000</v>
      </c>
      <c r="N1557" s="688" t="s">
        <v>6521</v>
      </c>
    </row>
    <row r="1558" spans="1:14">
      <c r="A1558" s="689">
        <v>28</v>
      </c>
      <c r="B1558" s="1139"/>
      <c r="C1558" s="640">
        <v>46216</v>
      </c>
      <c r="D1558" s="721" t="s">
        <v>6522</v>
      </c>
      <c r="E1558" s="632" t="s">
        <v>1638</v>
      </c>
      <c r="F1558" s="633" t="s">
        <v>6523</v>
      </c>
      <c r="G1558" s="633" t="s">
        <v>6527</v>
      </c>
      <c r="H1558" s="636" t="s">
        <v>6528</v>
      </c>
      <c r="I1558" s="634" t="s">
        <v>6524</v>
      </c>
      <c r="J1558" s="633" t="s">
        <v>2172</v>
      </c>
      <c r="K1558" s="735" t="s">
        <v>2828</v>
      </c>
      <c r="L1558" s="698" t="s">
        <v>6526</v>
      </c>
      <c r="M1558" s="677">
        <f>250000*2</f>
        <v>500000</v>
      </c>
      <c r="N1558" s="688"/>
    </row>
    <row r="1559" spans="1:14" ht="24">
      <c r="A1559" s="689">
        <v>28</v>
      </c>
      <c r="B1559" s="1139"/>
      <c r="C1559" s="640" t="s">
        <v>6554</v>
      </c>
      <c r="D1559" s="721" t="s">
        <v>6522</v>
      </c>
      <c r="E1559" s="632" t="s">
        <v>1638</v>
      </c>
      <c r="F1559" s="633" t="s">
        <v>6523</v>
      </c>
      <c r="G1559" s="633">
        <v>7065</v>
      </c>
      <c r="H1559" s="636" t="s">
        <v>975</v>
      </c>
      <c r="I1559" s="634" t="s">
        <v>378</v>
      </c>
      <c r="J1559" s="633" t="s">
        <v>126</v>
      </c>
      <c r="K1559" s="735" t="s">
        <v>3004</v>
      </c>
      <c r="L1559" s="698" t="s">
        <v>6526</v>
      </c>
      <c r="M1559" s="677">
        <f>250000*3</f>
        <v>750000</v>
      </c>
      <c r="N1559" s="688"/>
    </row>
    <row r="1560" spans="1:14" ht="24">
      <c r="A1560" s="689">
        <v>28</v>
      </c>
      <c r="B1560" s="1139"/>
      <c r="C1560" s="640" t="s">
        <v>6555</v>
      </c>
      <c r="D1560" s="721" t="s">
        <v>6522</v>
      </c>
      <c r="E1560" s="632" t="s">
        <v>1638</v>
      </c>
      <c r="F1560" s="633" t="s">
        <v>6523</v>
      </c>
      <c r="G1560" s="674" t="s">
        <v>6250</v>
      </c>
      <c r="H1560" s="674" t="s">
        <v>6323</v>
      </c>
      <c r="I1560" s="634" t="s">
        <v>378</v>
      </c>
      <c r="J1560" s="633" t="s">
        <v>737</v>
      </c>
      <c r="K1560" s="634" t="s">
        <v>5852</v>
      </c>
      <c r="L1560" s="698" t="s">
        <v>6526</v>
      </c>
      <c r="M1560" s="677">
        <f>250000*2</f>
        <v>500000</v>
      </c>
      <c r="N1560" s="686"/>
    </row>
    <row r="1561" spans="1:14">
      <c r="A1561" s="689">
        <v>28</v>
      </c>
      <c r="B1561" s="1138" t="s">
        <v>21</v>
      </c>
      <c r="C1561" s="399">
        <v>46212</v>
      </c>
      <c r="D1561" s="3" t="s">
        <v>21</v>
      </c>
      <c r="E1561" s="3" t="s">
        <v>14</v>
      </c>
      <c r="F1561" s="454" t="s">
        <v>1787</v>
      </c>
      <c r="G1561" s="454" t="s">
        <v>2978</v>
      </c>
      <c r="H1561" s="459" t="s">
        <v>6284</v>
      </c>
      <c r="I1561" s="453" t="s">
        <v>4617</v>
      </c>
      <c r="J1561" s="454"/>
      <c r="K1561" s="453" t="s">
        <v>316</v>
      </c>
      <c r="L1561" s="136" t="s">
        <v>15</v>
      </c>
      <c r="M1561" s="729">
        <v>250000</v>
      </c>
      <c r="N1561" s="688" t="s">
        <v>6521</v>
      </c>
    </row>
    <row r="1562" spans="1:14">
      <c r="A1562" s="689">
        <v>28</v>
      </c>
      <c r="B1562" s="1139"/>
      <c r="C1562" s="640">
        <v>46214</v>
      </c>
      <c r="D1562" s="3" t="s">
        <v>21</v>
      </c>
      <c r="E1562" s="3" t="s">
        <v>30</v>
      </c>
      <c r="F1562" s="454" t="s">
        <v>107</v>
      </c>
      <c r="G1562" s="454" t="s">
        <v>3386</v>
      </c>
      <c r="H1562" s="459" t="s">
        <v>23</v>
      </c>
      <c r="I1562" s="193" t="s">
        <v>6511</v>
      </c>
      <c r="J1562" s="454" t="s">
        <v>6520</v>
      </c>
      <c r="K1562" s="773" t="s">
        <v>2828</v>
      </c>
      <c r="L1562" s="136" t="s">
        <v>15</v>
      </c>
      <c r="M1562" s="729">
        <v>250000</v>
      </c>
      <c r="N1562" s="688" t="s">
        <v>6521</v>
      </c>
    </row>
    <row r="1563" spans="1:14" ht="27">
      <c r="A1563" s="689">
        <v>28</v>
      </c>
      <c r="B1563" s="1139"/>
      <c r="C1563" s="399">
        <v>46217</v>
      </c>
      <c r="D1563" s="3" t="s">
        <v>21</v>
      </c>
      <c r="E1563" s="3" t="s">
        <v>14</v>
      </c>
      <c r="F1563" s="454" t="s">
        <v>1787</v>
      </c>
      <c r="G1563" s="454" t="s">
        <v>2978</v>
      </c>
      <c r="H1563" s="459" t="s">
        <v>23</v>
      </c>
      <c r="I1563" s="193" t="s">
        <v>6486</v>
      </c>
      <c r="J1563" s="31" t="s">
        <v>90</v>
      </c>
      <c r="K1563" s="1140" t="s">
        <v>686</v>
      </c>
      <c r="L1563" s="125" t="s">
        <v>15</v>
      </c>
      <c r="M1563" s="1129">
        <v>250000</v>
      </c>
      <c r="N1563" s="688" t="s">
        <v>393</v>
      </c>
    </row>
    <row r="1564" spans="1:14">
      <c r="A1564" s="689">
        <v>28</v>
      </c>
      <c r="B1564" s="1139"/>
      <c r="C1564" s="399">
        <v>46217</v>
      </c>
      <c r="D1564" s="3" t="s">
        <v>21</v>
      </c>
      <c r="E1564" s="3" t="s">
        <v>14</v>
      </c>
      <c r="F1564" s="454" t="s">
        <v>1787</v>
      </c>
      <c r="G1564" s="454" t="s">
        <v>2817</v>
      </c>
      <c r="H1564" s="459" t="s">
        <v>67</v>
      </c>
      <c r="I1564" s="193" t="s">
        <v>1489</v>
      </c>
      <c r="J1564" s="31" t="s">
        <v>90</v>
      </c>
      <c r="K1564" s="1141"/>
      <c r="L1564" s="125" t="s">
        <v>15</v>
      </c>
      <c r="M1564" s="1143"/>
      <c r="N1564" s="688" t="s">
        <v>128</v>
      </c>
    </row>
    <row r="1565" spans="1:14" ht="27">
      <c r="A1565" s="689">
        <v>28</v>
      </c>
      <c r="B1565" s="1139"/>
      <c r="C1565" s="399">
        <v>46217</v>
      </c>
      <c r="D1565" s="3" t="s">
        <v>21</v>
      </c>
      <c r="E1565" s="3" t="s">
        <v>14</v>
      </c>
      <c r="F1565" s="454" t="s">
        <v>1787</v>
      </c>
      <c r="G1565" s="454" t="s">
        <v>2817</v>
      </c>
      <c r="H1565" s="459" t="s">
        <v>143</v>
      </c>
      <c r="I1565" s="193" t="s">
        <v>6487</v>
      </c>
      <c r="J1565" s="31" t="s">
        <v>90</v>
      </c>
      <c r="K1565" s="1142"/>
      <c r="L1565" s="125" t="s">
        <v>15</v>
      </c>
      <c r="M1565" s="1130"/>
      <c r="N1565" s="688" t="s">
        <v>393</v>
      </c>
    </row>
    <row r="1566" spans="1:14">
      <c r="A1566" s="689">
        <v>28</v>
      </c>
      <c r="B1566" s="1139"/>
      <c r="C1566" s="399">
        <v>46217</v>
      </c>
      <c r="D1566" s="4" t="s">
        <v>21</v>
      </c>
      <c r="E1566" s="4" t="s">
        <v>14</v>
      </c>
      <c r="F1566" s="454" t="s">
        <v>107</v>
      </c>
      <c r="G1566" s="454" t="s">
        <v>3386</v>
      </c>
      <c r="H1566" s="459" t="s">
        <v>943</v>
      </c>
      <c r="I1566" s="453" t="s">
        <v>6543</v>
      </c>
      <c r="J1566" s="31" t="s">
        <v>3661</v>
      </c>
      <c r="K1566" s="31" t="s">
        <v>3075</v>
      </c>
      <c r="L1566" s="125" t="s">
        <v>15</v>
      </c>
      <c r="M1566" s="752">
        <v>300000</v>
      </c>
      <c r="N1566" s="688" t="s">
        <v>128</v>
      </c>
    </row>
    <row r="1567" spans="1:14">
      <c r="A1567" s="689">
        <v>28</v>
      </c>
      <c r="B1567" s="1139"/>
      <c r="C1567" s="399">
        <v>46218</v>
      </c>
      <c r="D1567" s="4" t="s">
        <v>21</v>
      </c>
      <c r="E1567" s="4" t="s">
        <v>14</v>
      </c>
      <c r="F1567" s="454" t="s">
        <v>107</v>
      </c>
      <c r="G1567" s="454" t="s">
        <v>3386</v>
      </c>
      <c r="H1567" s="459" t="s">
        <v>23</v>
      </c>
      <c r="I1567" s="453" t="s">
        <v>984</v>
      </c>
      <c r="J1567" s="454" t="s">
        <v>3661</v>
      </c>
      <c r="K1567" s="31" t="s">
        <v>3075</v>
      </c>
      <c r="L1567" s="125" t="s">
        <v>15</v>
      </c>
      <c r="M1567" s="729">
        <v>300000</v>
      </c>
      <c r="N1567" s="688" t="s">
        <v>128</v>
      </c>
    </row>
    <row r="1568" spans="1:14">
      <c r="A1568" s="689">
        <v>28</v>
      </c>
      <c r="B1568" s="1139"/>
      <c r="C1568" s="399">
        <v>46219</v>
      </c>
      <c r="D1568" s="4" t="s">
        <v>21</v>
      </c>
      <c r="E1568" s="4" t="s">
        <v>14</v>
      </c>
      <c r="F1568" s="454" t="s">
        <v>107</v>
      </c>
      <c r="G1568" s="454" t="s">
        <v>3386</v>
      </c>
      <c r="H1568" s="459" t="s">
        <v>23</v>
      </c>
      <c r="I1568" s="453" t="s">
        <v>984</v>
      </c>
      <c r="J1568" s="454" t="s">
        <v>3661</v>
      </c>
      <c r="K1568" s="31" t="s">
        <v>3075</v>
      </c>
      <c r="L1568" s="125" t="s">
        <v>15</v>
      </c>
      <c r="M1568" s="729">
        <v>300000</v>
      </c>
      <c r="N1568" s="688" t="s">
        <v>128</v>
      </c>
    </row>
    <row r="1569" spans="1:14">
      <c r="A1569" s="689">
        <v>28</v>
      </c>
      <c r="B1569" s="1139"/>
      <c r="C1569" s="399">
        <v>46218</v>
      </c>
      <c r="D1569" s="4" t="s">
        <v>64</v>
      </c>
      <c r="E1569" s="4" t="s">
        <v>30</v>
      </c>
      <c r="F1569" s="31" t="s">
        <v>107</v>
      </c>
      <c r="G1569" s="31" t="s">
        <v>2959</v>
      </c>
      <c r="H1569" s="16" t="s">
        <v>143</v>
      </c>
      <c r="I1569" s="193" t="s">
        <v>6529</v>
      </c>
      <c r="J1569" s="31" t="s">
        <v>6312</v>
      </c>
      <c r="K1569" s="776" t="s">
        <v>2828</v>
      </c>
      <c r="L1569" s="125" t="s">
        <v>15</v>
      </c>
      <c r="M1569" s="678">
        <v>250000</v>
      </c>
      <c r="N1569" s="688" t="s">
        <v>6530</v>
      </c>
    </row>
    <row r="1570" spans="1:14">
      <c r="A1570" s="689">
        <v>29</v>
      </c>
      <c r="B1570" s="753" t="s">
        <v>20</v>
      </c>
      <c r="C1570" s="640" t="s">
        <v>6607</v>
      </c>
      <c r="D1570" s="721" t="s">
        <v>19</v>
      </c>
      <c r="E1570" s="632" t="s">
        <v>25</v>
      </c>
      <c r="F1570" s="633" t="s">
        <v>5254</v>
      </c>
      <c r="G1570" s="766" t="s">
        <v>6250</v>
      </c>
      <c r="H1570" s="766" t="s">
        <v>6323</v>
      </c>
      <c r="I1570" s="634" t="s">
        <v>6609</v>
      </c>
      <c r="J1570" s="633" t="s">
        <v>168</v>
      </c>
      <c r="K1570" s="735" t="s">
        <v>6610</v>
      </c>
      <c r="L1570" s="698" t="s">
        <v>209</v>
      </c>
      <c r="M1570" s="677">
        <f>250000*4</f>
        <v>1000000</v>
      </c>
      <c r="N1570" s="646"/>
    </row>
    <row r="1571" spans="1:14">
      <c r="A1571" s="689">
        <v>29</v>
      </c>
      <c r="B1571" s="1122" t="s">
        <v>21</v>
      </c>
      <c r="C1571" s="399">
        <v>46219</v>
      </c>
      <c r="D1571" s="4" t="s">
        <v>21</v>
      </c>
      <c r="E1571" s="4" t="s">
        <v>14</v>
      </c>
      <c r="F1571" s="31" t="s">
        <v>1893</v>
      </c>
      <c r="G1571" s="31" t="s">
        <v>4939</v>
      </c>
      <c r="H1571" s="16" t="s">
        <v>34</v>
      </c>
      <c r="I1571" s="193" t="s">
        <v>1279</v>
      </c>
      <c r="J1571" s="31" t="s">
        <v>202</v>
      </c>
      <c r="K1571" s="1140" t="s">
        <v>1113</v>
      </c>
      <c r="L1571" s="125" t="s">
        <v>15</v>
      </c>
      <c r="M1571" s="1129">
        <v>750000</v>
      </c>
      <c r="N1571" s="1148" t="s">
        <v>6608</v>
      </c>
    </row>
    <row r="1572" spans="1:14">
      <c r="A1572" s="689">
        <v>29</v>
      </c>
      <c r="B1572" s="1123"/>
      <c r="C1572" s="399">
        <v>46219</v>
      </c>
      <c r="D1572" s="4" t="s">
        <v>21</v>
      </c>
      <c r="E1572" s="4" t="s">
        <v>14</v>
      </c>
      <c r="F1572" s="31" t="s">
        <v>1893</v>
      </c>
      <c r="G1572" s="31" t="s">
        <v>4939</v>
      </c>
      <c r="H1572" s="16" t="s">
        <v>482</v>
      </c>
      <c r="I1572" s="193" t="s">
        <v>6542</v>
      </c>
      <c r="J1572" s="31" t="s">
        <v>202</v>
      </c>
      <c r="K1572" s="1142"/>
      <c r="L1572" s="125" t="s">
        <v>15</v>
      </c>
      <c r="M1572" s="1130"/>
      <c r="N1572" s="1149"/>
    </row>
    <row r="1573" spans="1:14" ht="27">
      <c r="A1573" s="689">
        <v>29</v>
      </c>
      <c r="B1573" s="1123"/>
      <c r="C1573" s="399">
        <v>46224</v>
      </c>
      <c r="D1573" s="4" t="s">
        <v>21</v>
      </c>
      <c r="E1573" s="4" t="s">
        <v>14</v>
      </c>
      <c r="F1573" s="193" t="s">
        <v>6475</v>
      </c>
      <c r="G1573" s="31" t="s">
        <v>5796</v>
      </c>
      <c r="H1573" s="16" t="s">
        <v>4091</v>
      </c>
      <c r="I1573" s="193" t="s">
        <v>6605</v>
      </c>
      <c r="J1573" s="31" t="s">
        <v>5552</v>
      </c>
      <c r="K1573" s="31" t="s">
        <v>686</v>
      </c>
      <c r="L1573" s="125" t="s">
        <v>15</v>
      </c>
      <c r="M1573" s="729">
        <v>250000</v>
      </c>
      <c r="N1573" s="646" t="s">
        <v>6612</v>
      </c>
    </row>
    <row r="1574" spans="1:14" ht="27">
      <c r="A1574" s="689">
        <v>29</v>
      </c>
      <c r="B1574" s="1123"/>
      <c r="C1574" s="399">
        <v>46224</v>
      </c>
      <c r="D1574" s="4" t="s">
        <v>138</v>
      </c>
      <c r="E1574" s="4" t="s">
        <v>17</v>
      </c>
      <c r="F1574" s="193" t="s">
        <v>6095</v>
      </c>
      <c r="G1574" s="31" t="s">
        <v>2713</v>
      </c>
      <c r="H1574" s="16" t="s">
        <v>23</v>
      </c>
      <c r="I1574" s="193" t="s">
        <v>6473</v>
      </c>
      <c r="J1574" s="31" t="s">
        <v>168</v>
      </c>
      <c r="K1574" s="193" t="s">
        <v>41</v>
      </c>
      <c r="L1574" s="125" t="s">
        <v>15</v>
      </c>
      <c r="M1574" s="752">
        <v>250000</v>
      </c>
      <c r="N1574" s="646" t="s">
        <v>6613</v>
      </c>
    </row>
    <row r="1575" spans="1:14">
      <c r="A1575" s="689">
        <v>29</v>
      </c>
      <c r="B1575" s="1123"/>
      <c r="C1575" s="399">
        <v>46224</v>
      </c>
      <c r="D1575" s="4" t="s">
        <v>21</v>
      </c>
      <c r="E1575" s="4" t="s">
        <v>14</v>
      </c>
      <c r="F1575" s="31" t="s">
        <v>1893</v>
      </c>
      <c r="G1575" s="31" t="s">
        <v>4939</v>
      </c>
      <c r="H1575" s="16" t="s">
        <v>34</v>
      </c>
      <c r="I1575" s="193" t="s">
        <v>1279</v>
      </c>
      <c r="J1575" s="31"/>
      <c r="K1575" s="31" t="s">
        <v>641</v>
      </c>
      <c r="L1575" s="125" t="s">
        <v>15</v>
      </c>
      <c r="M1575" s="752">
        <v>500000</v>
      </c>
      <c r="N1575" s="646" t="s">
        <v>6614</v>
      </c>
    </row>
    <row r="1576" spans="1:14" ht="27">
      <c r="A1576" s="689">
        <v>29</v>
      </c>
      <c r="B1576" s="1123"/>
      <c r="C1576" s="399">
        <v>46225</v>
      </c>
      <c r="D1576" s="4" t="s">
        <v>138</v>
      </c>
      <c r="E1576" s="4" t="s">
        <v>17</v>
      </c>
      <c r="F1576" s="193" t="s">
        <v>6095</v>
      </c>
      <c r="G1576" s="31" t="s">
        <v>2713</v>
      </c>
      <c r="H1576" s="16" t="s">
        <v>23</v>
      </c>
      <c r="I1576" s="193" t="s">
        <v>6590</v>
      </c>
      <c r="J1576" s="454" t="s">
        <v>168</v>
      </c>
      <c r="K1576" s="1150" t="s">
        <v>41</v>
      </c>
      <c r="L1576" s="136" t="s">
        <v>15</v>
      </c>
      <c r="M1576" s="1129">
        <v>250000</v>
      </c>
      <c r="N1576" s="646" t="s">
        <v>6615</v>
      </c>
    </row>
    <row r="1577" spans="1:14">
      <c r="A1577" s="689">
        <v>29</v>
      </c>
      <c r="B1577" s="1123"/>
      <c r="C1577" s="399">
        <v>46225</v>
      </c>
      <c r="D1577" s="4" t="s">
        <v>21</v>
      </c>
      <c r="E1577" s="4" t="s">
        <v>14</v>
      </c>
      <c r="F1577" s="31" t="s">
        <v>149</v>
      </c>
      <c r="G1577" s="31" t="s">
        <v>5488</v>
      </c>
      <c r="H1577" s="16" t="s">
        <v>5428</v>
      </c>
      <c r="I1577" s="193" t="s">
        <v>6569</v>
      </c>
      <c r="J1577" s="454" t="s">
        <v>168</v>
      </c>
      <c r="K1577" s="1151"/>
      <c r="L1577" s="136" t="s">
        <v>15</v>
      </c>
      <c r="M1577" s="1130"/>
      <c r="N1577" s="646" t="s">
        <v>6616</v>
      </c>
    </row>
    <row r="1578" spans="1:14">
      <c r="A1578" s="689">
        <v>29</v>
      </c>
      <c r="B1578" s="1123"/>
      <c r="C1578" s="399">
        <v>46225</v>
      </c>
      <c r="D1578" s="3" t="s">
        <v>21</v>
      </c>
      <c r="E1578" s="3" t="s">
        <v>14</v>
      </c>
      <c r="F1578" s="454" t="s">
        <v>107</v>
      </c>
      <c r="G1578" s="454" t="s">
        <v>3386</v>
      </c>
      <c r="H1578" s="459" t="s">
        <v>23</v>
      </c>
      <c r="I1578" s="193" t="s">
        <v>6618</v>
      </c>
      <c r="J1578" s="454" t="s">
        <v>1948</v>
      </c>
      <c r="K1578" s="453" t="s">
        <v>3075</v>
      </c>
      <c r="L1578" s="136" t="s">
        <v>15</v>
      </c>
      <c r="M1578" s="729">
        <v>300000</v>
      </c>
      <c r="N1578" s="646" t="s">
        <v>6617</v>
      </c>
    </row>
    <row r="1579" spans="1:14">
      <c r="A1579" s="689">
        <v>29</v>
      </c>
      <c r="B1579" s="1123"/>
      <c r="C1579" s="399">
        <v>46225</v>
      </c>
      <c r="D1579" s="4" t="s">
        <v>138</v>
      </c>
      <c r="E1579" s="4" t="s">
        <v>14</v>
      </c>
      <c r="F1579" s="31" t="s">
        <v>107</v>
      </c>
      <c r="G1579" s="31" t="s">
        <v>6527</v>
      </c>
      <c r="H1579" s="16" t="s">
        <v>6528</v>
      </c>
      <c r="I1579" s="193" t="s">
        <v>6586</v>
      </c>
      <c r="J1579" s="31" t="s">
        <v>126</v>
      </c>
      <c r="K1579" s="708" t="s">
        <v>2828</v>
      </c>
      <c r="L1579" s="136" t="s">
        <v>15</v>
      </c>
      <c r="M1579" s="729">
        <v>250000</v>
      </c>
      <c r="N1579" s="646" t="s">
        <v>6611</v>
      </c>
    </row>
    <row r="1580" spans="1:14">
      <c r="A1580" s="689">
        <v>29</v>
      </c>
      <c r="B1580" s="1123"/>
      <c r="C1580" s="399">
        <v>46226</v>
      </c>
      <c r="D1580" s="4" t="s">
        <v>21</v>
      </c>
      <c r="E1580" s="4" t="s">
        <v>14</v>
      </c>
      <c r="F1580" s="31" t="s">
        <v>149</v>
      </c>
      <c r="G1580" s="31" t="s">
        <v>5488</v>
      </c>
      <c r="H1580" s="16" t="s">
        <v>5428</v>
      </c>
      <c r="I1580" s="193" t="s">
        <v>6606</v>
      </c>
      <c r="J1580" s="454" t="s">
        <v>168</v>
      </c>
      <c r="K1580" s="453" t="s">
        <v>41</v>
      </c>
      <c r="L1580" s="136" t="s">
        <v>15</v>
      </c>
      <c r="M1580" s="729">
        <v>250000</v>
      </c>
      <c r="N1580" s="646" t="s">
        <v>6619</v>
      </c>
    </row>
    <row r="1581" spans="1:14">
      <c r="A1581" s="689">
        <v>29</v>
      </c>
      <c r="B1581" s="1123"/>
      <c r="C1581" s="399">
        <v>46226</v>
      </c>
      <c r="D1581" s="4" t="s">
        <v>21</v>
      </c>
      <c r="E1581" s="4" t="s">
        <v>14</v>
      </c>
      <c r="F1581" s="31" t="s">
        <v>1787</v>
      </c>
      <c r="G1581" s="31" t="s">
        <v>2978</v>
      </c>
      <c r="H1581" s="16" t="s">
        <v>23</v>
      </c>
      <c r="I1581" s="193" t="s">
        <v>146</v>
      </c>
      <c r="J1581" s="31" t="s">
        <v>90</v>
      </c>
      <c r="K1581" s="1140" t="s">
        <v>686</v>
      </c>
      <c r="L1581" s="125" t="s">
        <v>15</v>
      </c>
      <c r="M1581" s="1129">
        <v>250000</v>
      </c>
      <c r="N1581" s="646" t="s">
        <v>6737</v>
      </c>
    </row>
    <row r="1582" spans="1:14">
      <c r="A1582" s="689">
        <v>29</v>
      </c>
      <c r="B1582" s="1123"/>
      <c r="C1582" s="399">
        <v>46226</v>
      </c>
      <c r="D1582" s="3" t="s">
        <v>21</v>
      </c>
      <c r="E1582" s="3" t="s">
        <v>14</v>
      </c>
      <c r="F1582" s="453" t="s">
        <v>1787</v>
      </c>
      <c r="G1582" s="454" t="s">
        <v>2978</v>
      </c>
      <c r="H1582" s="459" t="s">
        <v>205</v>
      </c>
      <c r="I1582" s="193" t="s">
        <v>146</v>
      </c>
      <c r="J1582" s="31" t="s">
        <v>90</v>
      </c>
      <c r="K1582" s="1142"/>
      <c r="L1582" s="125" t="s">
        <v>15</v>
      </c>
      <c r="M1582" s="1130"/>
      <c r="N1582" s="646" t="s">
        <v>6620</v>
      </c>
    </row>
    <row r="1583" spans="1:14">
      <c r="A1583" s="689">
        <v>29</v>
      </c>
      <c r="B1583" s="1123"/>
      <c r="C1583" s="399">
        <v>46227</v>
      </c>
      <c r="D1583" s="4" t="s">
        <v>21</v>
      </c>
      <c r="E1583" s="4" t="s">
        <v>14</v>
      </c>
      <c r="F1583" s="31" t="s">
        <v>1787</v>
      </c>
      <c r="G1583" s="31" t="s">
        <v>2978</v>
      </c>
      <c r="H1583" s="16" t="s">
        <v>23</v>
      </c>
      <c r="I1583" s="193" t="s">
        <v>6571</v>
      </c>
      <c r="J1583" s="31" t="s">
        <v>90</v>
      </c>
      <c r="K1583" s="1140" t="s">
        <v>686</v>
      </c>
      <c r="L1583" s="125" t="s">
        <v>15</v>
      </c>
      <c r="M1583" s="1129">
        <v>250000</v>
      </c>
      <c r="N1583" s="646" t="s">
        <v>6737</v>
      </c>
    </row>
    <row r="1584" spans="1:14">
      <c r="A1584" s="689">
        <v>29</v>
      </c>
      <c r="B1584" s="1123"/>
      <c r="C1584" s="399">
        <v>46227</v>
      </c>
      <c r="D1584" s="4" t="s">
        <v>21</v>
      </c>
      <c r="E1584" s="4" t="s">
        <v>14</v>
      </c>
      <c r="F1584" s="193" t="s">
        <v>1787</v>
      </c>
      <c r="G1584" s="31" t="s">
        <v>2978</v>
      </c>
      <c r="H1584" s="16" t="s">
        <v>205</v>
      </c>
      <c r="I1584" s="193" t="s">
        <v>6571</v>
      </c>
      <c r="J1584" s="31" t="s">
        <v>90</v>
      </c>
      <c r="K1584" s="1142"/>
      <c r="L1584" s="125" t="s">
        <v>15</v>
      </c>
      <c r="M1584" s="1130"/>
      <c r="N1584" s="646" t="s">
        <v>6621</v>
      </c>
    </row>
    <row r="1585" spans="1:14">
      <c r="A1585" s="689">
        <v>30</v>
      </c>
      <c r="B1585" s="952" t="s">
        <v>20</v>
      </c>
      <c r="C1585" s="399">
        <v>46230</v>
      </c>
      <c r="D1585" s="721" t="s">
        <v>6656</v>
      </c>
      <c r="E1585" s="632" t="s">
        <v>6658</v>
      </c>
      <c r="F1585" s="633" t="s">
        <v>6659</v>
      </c>
      <c r="G1585" s="645">
        <v>7062</v>
      </c>
      <c r="H1585" s="645" t="s">
        <v>4220</v>
      </c>
      <c r="I1585" s="634" t="s">
        <v>6661</v>
      </c>
      <c r="J1585" s="633" t="s">
        <v>4616</v>
      </c>
      <c r="K1585" s="634" t="s">
        <v>6664</v>
      </c>
      <c r="L1585" s="698"/>
      <c r="M1585" s="677">
        <v>250000</v>
      </c>
      <c r="N1585" s="646"/>
    </row>
    <row r="1586" spans="1:14" ht="24">
      <c r="A1586" s="689">
        <v>30</v>
      </c>
      <c r="B1586" s="952"/>
      <c r="C1586" s="640" t="s">
        <v>6655</v>
      </c>
      <c r="D1586" s="721" t="s">
        <v>6657</v>
      </c>
      <c r="E1586" s="632" t="s">
        <v>6658</v>
      </c>
      <c r="F1586" s="633" t="s">
        <v>6660</v>
      </c>
      <c r="G1586" s="708" t="s">
        <v>5525</v>
      </c>
      <c r="H1586" s="645"/>
      <c r="I1586" s="634" t="s">
        <v>6662</v>
      </c>
      <c r="J1586" s="633" t="s">
        <v>6663</v>
      </c>
      <c r="K1586" s="634" t="s">
        <v>6665</v>
      </c>
      <c r="L1586" s="698"/>
      <c r="M1586" s="677">
        <v>500000</v>
      </c>
      <c r="N1586" s="646"/>
    </row>
    <row r="1587" spans="1:14">
      <c r="A1587" s="689">
        <v>30</v>
      </c>
      <c r="B1587" s="952" t="s">
        <v>21</v>
      </c>
      <c r="C1587" s="399">
        <v>46219</v>
      </c>
      <c r="D1587" s="4" t="s">
        <v>21</v>
      </c>
      <c r="E1587" s="4" t="s">
        <v>14</v>
      </c>
      <c r="F1587" s="454" t="s">
        <v>107</v>
      </c>
      <c r="G1587" s="454" t="s">
        <v>3386</v>
      </c>
      <c r="H1587" s="459" t="s">
        <v>23</v>
      </c>
      <c r="I1587" s="453" t="s">
        <v>396</v>
      </c>
      <c r="J1587" s="454" t="s">
        <v>1948</v>
      </c>
      <c r="K1587" s="31" t="s">
        <v>6654</v>
      </c>
      <c r="L1587" s="125" t="s">
        <v>15</v>
      </c>
      <c r="M1587" s="752">
        <v>300000</v>
      </c>
      <c r="N1587" s="646" t="s">
        <v>6653</v>
      </c>
    </row>
    <row r="1588" spans="1:14">
      <c r="A1588" s="689">
        <v>30</v>
      </c>
      <c r="B1588" s="952"/>
      <c r="C1588" s="399">
        <v>46230</v>
      </c>
      <c r="D1588" s="3" t="s">
        <v>21</v>
      </c>
      <c r="E1588" s="3" t="s">
        <v>14</v>
      </c>
      <c r="F1588" s="454" t="s">
        <v>1787</v>
      </c>
      <c r="G1588" s="454" t="s">
        <v>2978</v>
      </c>
      <c r="H1588" s="459" t="s">
        <v>23</v>
      </c>
      <c r="I1588" s="193" t="s">
        <v>303</v>
      </c>
      <c r="J1588" s="31" t="s">
        <v>6587</v>
      </c>
      <c r="K1588" s="31" t="s">
        <v>5528</v>
      </c>
      <c r="L1588" s="125" t="s">
        <v>6373</v>
      </c>
      <c r="M1588" s="752">
        <v>250000</v>
      </c>
      <c r="N1588" s="769"/>
    </row>
    <row r="1589" spans="1:14">
      <c r="A1589" s="689">
        <v>30</v>
      </c>
      <c r="B1589" s="952"/>
      <c r="C1589" s="399">
        <v>46230</v>
      </c>
      <c r="D1589" s="4" t="s">
        <v>21</v>
      </c>
      <c r="E1589" s="4" t="s">
        <v>14</v>
      </c>
      <c r="F1589" s="31" t="s">
        <v>1893</v>
      </c>
      <c r="G1589" s="31" t="s">
        <v>4939</v>
      </c>
      <c r="H1589" s="16" t="s">
        <v>482</v>
      </c>
      <c r="I1589" s="193" t="s">
        <v>6542</v>
      </c>
      <c r="J1589" s="31"/>
      <c r="K1589" s="31" t="s">
        <v>6644</v>
      </c>
      <c r="L1589" s="125" t="s">
        <v>6373</v>
      </c>
      <c r="M1589" s="752">
        <v>550000</v>
      </c>
      <c r="N1589" s="646"/>
    </row>
    <row r="1590" spans="1:14">
      <c r="A1590" s="689">
        <v>30</v>
      </c>
      <c r="B1590" s="952"/>
      <c r="C1590" s="198">
        <v>46231</v>
      </c>
      <c r="D1590" s="3" t="s">
        <v>21</v>
      </c>
      <c r="E1590" s="3" t="s">
        <v>14</v>
      </c>
      <c r="F1590" s="454" t="s">
        <v>107</v>
      </c>
      <c r="G1590" s="454" t="s">
        <v>2959</v>
      </c>
      <c r="H1590" s="459" t="s">
        <v>143</v>
      </c>
      <c r="I1590" s="453" t="s">
        <v>6579</v>
      </c>
      <c r="J1590" s="454" t="s">
        <v>126</v>
      </c>
      <c r="K1590" s="68" t="s">
        <v>2828</v>
      </c>
      <c r="L1590" s="125" t="s">
        <v>15</v>
      </c>
      <c r="M1590" s="752">
        <v>250000</v>
      </c>
      <c r="N1590" s="646"/>
    </row>
    <row r="1591" spans="1:14">
      <c r="A1591" s="689">
        <v>30</v>
      </c>
      <c r="B1591" s="952"/>
      <c r="C1591" s="198">
        <v>46232</v>
      </c>
      <c r="D1591" s="3" t="s">
        <v>21</v>
      </c>
      <c r="E1591" s="3" t="s">
        <v>14</v>
      </c>
      <c r="F1591" s="454" t="s">
        <v>107</v>
      </c>
      <c r="G1591" s="454" t="s">
        <v>2959</v>
      </c>
      <c r="H1591" s="459" t="s">
        <v>143</v>
      </c>
      <c r="I1591" s="453" t="s">
        <v>6648</v>
      </c>
      <c r="J1591" s="454" t="s">
        <v>126</v>
      </c>
      <c r="K1591" s="68" t="s">
        <v>2828</v>
      </c>
      <c r="L1591" s="125" t="s">
        <v>15</v>
      </c>
      <c r="M1591" s="752">
        <v>250000</v>
      </c>
      <c r="N1591" s="646"/>
    </row>
    <row r="1592" spans="1:14">
      <c r="A1592" s="689">
        <v>30</v>
      </c>
      <c r="B1592" s="952"/>
      <c r="C1592" s="369">
        <v>46234</v>
      </c>
      <c r="D1592" s="4" t="s">
        <v>21</v>
      </c>
      <c r="E1592" s="4" t="s">
        <v>14</v>
      </c>
      <c r="F1592" s="31" t="s">
        <v>1787</v>
      </c>
      <c r="G1592" s="31" t="s">
        <v>2978</v>
      </c>
      <c r="H1592" s="16" t="s">
        <v>205</v>
      </c>
      <c r="I1592" s="193" t="s">
        <v>6649</v>
      </c>
      <c r="J1592" s="31"/>
      <c r="K1592" s="31" t="s">
        <v>3556</v>
      </c>
      <c r="L1592" s="125" t="s">
        <v>15</v>
      </c>
      <c r="M1592" s="752">
        <v>250000</v>
      </c>
      <c r="N1592" s="646"/>
    </row>
    <row r="1593" spans="1:14">
      <c r="A1593" s="689">
        <v>31</v>
      </c>
      <c r="B1593" s="770" t="s">
        <v>20</v>
      </c>
      <c r="C1593" s="399" t="s">
        <v>6719</v>
      </c>
      <c r="D1593" s="721" t="s">
        <v>124</v>
      </c>
      <c r="E1593" s="632" t="s">
        <v>151</v>
      </c>
      <c r="F1593" s="633" t="s">
        <v>5254</v>
      </c>
      <c r="G1593" s="734">
        <v>7065</v>
      </c>
      <c r="H1593" s="645" t="s">
        <v>145</v>
      </c>
      <c r="I1593" s="634" t="s">
        <v>6715</v>
      </c>
      <c r="J1593" s="633" t="s">
        <v>120</v>
      </c>
      <c r="K1593" s="634" t="s">
        <v>2828</v>
      </c>
      <c r="L1593" s="698"/>
      <c r="M1593" s="677">
        <f>250000*3</f>
        <v>750000</v>
      </c>
      <c r="N1593" s="646"/>
    </row>
    <row r="1594" spans="1:14">
      <c r="A1594" s="689">
        <v>31</v>
      </c>
      <c r="B1594" s="952" t="s">
        <v>21</v>
      </c>
      <c r="C1594" s="198">
        <v>46231</v>
      </c>
      <c r="D1594" s="3" t="s">
        <v>21</v>
      </c>
      <c r="E1594" s="3" t="s">
        <v>14</v>
      </c>
      <c r="F1594" s="454" t="s">
        <v>107</v>
      </c>
      <c r="G1594" s="454" t="s">
        <v>3401</v>
      </c>
      <c r="H1594" s="459" t="s">
        <v>150</v>
      </c>
      <c r="I1594" s="453" t="s">
        <v>6720</v>
      </c>
      <c r="J1594" s="454"/>
      <c r="K1594" s="454" t="s">
        <v>41</v>
      </c>
      <c r="L1594" s="136" t="s">
        <v>15</v>
      </c>
      <c r="M1594" s="752">
        <v>250000</v>
      </c>
      <c r="N1594" s="1148" t="s">
        <v>6721</v>
      </c>
    </row>
    <row r="1595" spans="1:14">
      <c r="A1595" s="689">
        <v>31</v>
      </c>
      <c r="B1595" s="952"/>
      <c r="C1595" s="198">
        <v>46231</v>
      </c>
      <c r="D1595" s="3" t="s">
        <v>21</v>
      </c>
      <c r="E1595" s="3" t="s">
        <v>14</v>
      </c>
      <c r="F1595" s="454" t="s">
        <v>1893</v>
      </c>
      <c r="G1595" s="454" t="s">
        <v>4939</v>
      </c>
      <c r="H1595" s="459" t="s">
        <v>482</v>
      </c>
      <c r="I1595" s="453" t="s">
        <v>6670</v>
      </c>
      <c r="J1595" s="454"/>
      <c r="K1595" s="454" t="s">
        <v>686</v>
      </c>
      <c r="L1595" s="136" t="s">
        <v>15</v>
      </c>
      <c r="M1595" s="752">
        <v>250000</v>
      </c>
      <c r="N1595" s="1152"/>
    </row>
    <row r="1596" spans="1:14">
      <c r="A1596" s="689">
        <v>31</v>
      </c>
      <c r="B1596" s="952"/>
      <c r="C1596" s="198">
        <v>46233</v>
      </c>
      <c r="D1596" s="3" t="s">
        <v>21</v>
      </c>
      <c r="E1596" s="3" t="s">
        <v>14</v>
      </c>
      <c r="F1596" s="454" t="s">
        <v>1893</v>
      </c>
      <c r="G1596" s="454" t="s">
        <v>4939</v>
      </c>
      <c r="H1596" s="459" t="s">
        <v>482</v>
      </c>
      <c r="I1596" s="453" t="s">
        <v>6699</v>
      </c>
      <c r="J1596" s="454"/>
      <c r="K1596" s="454" t="s">
        <v>6644</v>
      </c>
      <c r="L1596" s="136" t="s">
        <v>181</v>
      </c>
      <c r="M1596" s="752">
        <v>550000</v>
      </c>
      <c r="N1596" s="1152"/>
    </row>
    <row r="1597" spans="1:14">
      <c r="A1597" s="689">
        <v>31</v>
      </c>
      <c r="B1597" s="952"/>
      <c r="C1597" s="198">
        <v>46233</v>
      </c>
      <c r="D1597" s="3" t="s">
        <v>21</v>
      </c>
      <c r="E1597" s="3" t="s">
        <v>14</v>
      </c>
      <c r="F1597" s="454" t="s">
        <v>6692</v>
      </c>
      <c r="G1597" s="454" t="s">
        <v>5488</v>
      </c>
      <c r="H1597" s="459" t="s">
        <v>5428</v>
      </c>
      <c r="I1597" s="453" t="s">
        <v>6693</v>
      </c>
      <c r="J1597" s="31" t="s">
        <v>1948</v>
      </c>
      <c r="K1597" s="31" t="s">
        <v>153</v>
      </c>
      <c r="L1597" s="125" t="s">
        <v>181</v>
      </c>
      <c r="M1597" s="752">
        <v>250000</v>
      </c>
      <c r="N1597" s="1152"/>
    </row>
    <row r="1598" spans="1:14">
      <c r="A1598" s="689">
        <v>31</v>
      </c>
      <c r="B1598" s="952"/>
      <c r="C1598" s="399">
        <v>46234</v>
      </c>
      <c r="D1598" s="3" t="s">
        <v>21</v>
      </c>
      <c r="E1598" s="3" t="s">
        <v>14</v>
      </c>
      <c r="F1598" s="454" t="s">
        <v>6692</v>
      </c>
      <c r="G1598" s="454" t="s">
        <v>5488</v>
      </c>
      <c r="H1598" s="459" t="s">
        <v>5428</v>
      </c>
      <c r="I1598" s="453" t="s">
        <v>6693</v>
      </c>
      <c r="J1598" s="31" t="s">
        <v>1948</v>
      </c>
      <c r="K1598" s="31" t="s">
        <v>153</v>
      </c>
      <c r="L1598" s="125" t="s">
        <v>181</v>
      </c>
      <c r="M1598" s="752">
        <v>250000</v>
      </c>
      <c r="N1598" s="1149"/>
    </row>
    <row r="1599" spans="1:14">
      <c r="A1599" s="689">
        <v>31</v>
      </c>
      <c r="B1599" s="952"/>
      <c r="C1599" s="399">
        <v>46240</v>
      </c>
      <c r="D1599" s="3" t="s">
        <v>21</v>
      </c>
      <c r="E1599" s="3" t="s">
        <v>17</v>
      </c>
      <c r="F1599" s="454" t="s">
        <v>78</v>
      </c>
      <c r="G1599" s="454" t="s">
        <v>1645</v>
      </c>
      <c r="H1599" s="459" t="s">
        <v>23</v>
      </c>
      <c r="I1599" s="453" t="s">
        <v>6518</v>
      </c>
      <c r="J1599" s="31" t="s">
        <v>202</v>
      </c>
      <c r="K1599" s="31" t="s">
        <v>3353</v>
      </c>
      <c r="L1599" s="125" t="s">
        <v>181</v>
      </c>
      <c r="M1599" s="752">
        <v>300000</v>
      </c>
      <c r="N1599" s="646" t="s">
        <v>127</v>
      </c>
    </row>
    <row r="1600" spans="1:14" ht="27">
      <c r="A1600" s="689">
        <v>32</v>
      </c>
      <c r="B1600" s="952" t="s">
        <v>20</v>
      </c>
      <c r="C1600" s="399" t="s">
        <v>6815</v>
      </c>
      <c r="D1600" s="721" t="s">
        <v>219</v>
      </c>
      <c r="E1600" s="632" t="s">
        <v>151</v>
      </c>
      <c r="F1600" s="633" t="s">
        <v>5254</v>
      </c>
      <c r="G1600" s="645" t="s">
        <v>6816</v>
      </c>
      <c r="H1600" s="645" t="s">
        <v>263</v>
      </c>
      <c r="I1600" s="634" t="s">
        <v>6817</v>
      </c>
      <c r="J1600" s="633" t="s">
        <v>737</v>
      </c>
      <c r="K1600" s="634" t="s">
        <v>3035</v>
      </c>
      <c r="L1600" s="698" t="s">
        <v>6818</v>
      </c>
      <c r="M1600" s="677">
        <f>250000*5</f>
        <v>1250000</v>
      </c>
      <c r="N1600" s="26"/>
    </row>
    <row r="1601" spans="1:14" ht="27">
      <c r="A1601" s="689">
        <v>32</v>
      </c>
      <c r="B1601" s="952"/>
      <c r="C1601" s="399" t="s">
        <v>6821</v>
      </c>
      <c r="D1601" s="721" t="s">
        <v>219</v>
      </c>
      <c r="E1601" s="632" t="s">
        <v>151</v>
      </c>
      <c r="F1601" s="633" t="s">
        <v>5254</v>
      </c>
      <c r="G1601" s="734" t="s">
        <v>5847</v>
      </c>
      <c r="H1601" s="645" t="s">
        <v>6819</v>
      </c>
      <c r="I1601" s="634" t="s">
        <v>6823</v>
      </c>
      <c r="J1601" s="633" t="s">
        <v>6825</v>
      </c>
      <c r="K1601" s="634" t="s">
        <v>3702</v>
      </c>
      <c r="L1601" s="698" t="s">
        <v>6818</v>
      </c>
      <c r="M1601" s="677">
        <f>250000*2</f>
        <v>500000</v>
      </c>
      <c r="N1601" s="26"/>
    </row>
    <row r="1602" spans="1:14" ht="27">
      <c r="A1602" s="689">
        <v>32</v>
      </c>
      <c r="B1602" s="952"/>
      <c r="C1602" s="399" t="s">
        <v>6822</v>
      </c>
      <c r="D1602" s="721" t="s">
        <v>219</v>
      </c>
      <c r="E1602" s="632" t="s">
        <v>151</v>
      </c>
      <c r="F1602" s="633" t="s">
        <v>5254</v>
      </c>
      <c r="G1602" s="734">
        <v>308</v>
      </c>
      <c r="H1602" s="645" t="s">
        <v>6820</v>
      </c>
      <c r="I1602" s="634" t="s">
        <v>6824</v>
      </c>
      <c r="J1602" s="633" t="s">
        <v>168</v>
      </c>
      <c r="K1602" s="634" t="s">
        <v>4943</v>
      </c>
      <c r="L1602" s="698" t="s">
        <v>6818</v>
      </c>
      <c r="M1602" s="677">
        <f>250000*3</f>
        <v>750000</v>
      </c>
      <c r="N1602" s="26"/>
    </row>
    <row r="1603" spans="1:14" ht="27">
      <c r="A1603" s="689">
        <v>32</v>
      </c>
      <c r="B1603" s="952"/>
      <c r="C1603" s="399" t="s">
        <v>6828</v>
      </c>
      <c r="D1603" s="721" t="s">
        <v>219</v>
      </c>
      <c r="E1603" s="632" t="s">
        <v>151</v>
      </c>
      <c r="F1603" s="633" t="s">
        <v>5254</v>
      </c>
      <c r="G1603" s="734">
        <v>308</v>
      </c>
      <c r="H1603" s="645" t="s">
        <v>6820</v>
      </c>
      <c r="I1603" s="634" t="s">
        <v>6829</v>
      </c>
      <c r="J1603" s="633" t="s">
        <v>90</v>
      </c>
      <c r="K1603" s="634" t="s">
        <v>6830</v>
      </c>
      <c r="L1603" s="698"/>
      <c r="M1603" s="677">
        <f>250000*3</f>
        <v>750000</v>
      </c>
      <c r="N1603" s="26"/>
    </row>
    <row r="1604" spans="1:14">
      <c r="A1604" s="689">
        <v>32</v>
      </c>
      <c r="B1604" s="952" t="s">
        <v>21</v>
      </c>
      <c r="C1604" s="399">
        <v>46245</v>
      </c>
      <c r="D1604" s="3" t="s">
        <v>21</v>
      </c>
      <c r="E1604" s="3" t="s">
        <v>14</v>
      </c>
      <c r="F1604" s="454" t="s">
        <v>6692</v>
      </c>
      <c r="G1604" s="454" t="s">
        <v>5488</v>
      </c>
      <c r="H1604" s="459" t="s">
        <v>5428</v>
      </c>
      <c r="I1604" s="193" t="s">
        <v>6826</v>
      </c>
      <c r="J1604" s="31" t="s">
        <v>168</v>
      </c>
      <c r="K1604" s="31" t="s">
        <v>6783</v>
      </c>
      <c r="L1604" s="125" t="s">
        <v>15</v>
      </c>
      <c r="M1604" s="752">
        <v>250000</v>
      </c>
      <c r="N1604" s="26"/>
    </row>
    <row r="1605" spans="1:14">
      <c r="A1605" s="689">
        <v>32</v>
      </c>
      <c r="B1605" s="952"/>
      <c r="C1605" s="399">
        <v>46246</v>
      </c>
      <c r="D1605" s="3" t="s">
        <v>21</v>
      </c>
      <c r="E1605" s="3" t="s">
        <v>14</v>
      </c>
      <c r="F1605" s="454" t="s">
        <v>6692</v>
      </c>
      <c r="G1605" s="454" t="s">
        <v>5488</v>
      </c>
      <c r="H1605" s="459" t="s">
        <v>5428</v>
      </c>
      <c r="I1605" s="193" t="s">
        <v>6827</v>
      </c>
      <c r="J1605" s="31" t="s">
        <v>168</v>
      </c>
      <c r="K1605" s="31" t="s">
        <v>6783</v>
      </c>
      <c r="L1605" s="125" t="s">
        <v>15</v>
      </c>
      <c r="M1605" s="752">
        <v>250000</v>
      </c>
      <c r="N1605" s="26"/>
    </row>
    <row r="1606" spans="1:14">
      <c r="A1606" s="689">
        <v>32</v>
      </c>
      <c r="B1606" s="952"/>
      <c r="C1606" s="399">
        <v>46246</v>
      </c>
      <c r="D1606" s="3" t="s">
        <v>21</v>
      </c>
      <c r="E1606" s="3" t="s">
        <v>14</v>
      </c>
      <c r="F1606" s="454" t="s">
        <v>107</v>
      </c>
      <c r="G1606" s="454" t="s">
        <v>2959</v>
      </c>
      <c r="H1606" s="459" t="s">
        <v>170</v>
      </c>
      <c r="I1606" s="453" t="s">
        <v>6680</v>
      </c>
      <c r="J1606" s="31" t="s">
        <v>4168</v>
      </c>
      <c r="K1606" s="31" t="s">
        <v>3454</v>
      </c>
      <c r="L1606" s="125" t="s">
        <v>15</v>
      </c>
      <c r="M1606" s="752">
        <v>250000</v>
      </c>
      <c r="N1606" s="26"/>
    </row>
    <row r="1607" spans="1:14" ht="27">
      <c r="A1607" s="689">
        <v>32</v>
      </c>
      <c r="B1607" s="952"/>
      <c r="C1607" s="399">
        <v>46247</v>
      </c>
      <c r="D1607" s="3" t="s">
        <v>21</v>
      </c>
      <c r="E1607" s="3" t="s">
        <v>14</v>
      </c>
      <c r="F1607" s="454" t="s">
        <v>107</v>
      </c>
      <c r="G1607" s="454" t="s">
        <v>2959</v>
      </c>
      <c r="H1607" s="459" t="s">
        <v>6752</v>
      </c>
      <c r="I1607" s="453" t="s">
        <v>6805</v>
      </c>
      <c r="J1607" s="31" t="s">
        <v>6520</v>
      </c>
      <c r="K1607" s="31" t="s">
        <v>6804</v>
      </c>
      <c r="L1607" s="125" t="s">
        <v>15</v>
      </c>
      <c r="M1607" s="752">
        <v>250000</v>
      </c>
      <c r="N1607" s="26"/>
    </row>
    <row r="1608" spans="1:14">
      <c r="A1608" s="689">
        <v>32</v>
      </c>
      <c r="B1608" s="952"/>
      <c r="C1608" s="399">
        <v>46247</v>
      </c>
      <c r="D1608" s="4" t="s">
        <v>21</v>
      </c>
      <c r="E1608" s="4" t="s">
        <v>6775</v>
      </c>
      <c r="F1608" s="31" t="s">
        <v>1787</v>
      </c>
      <c r="G1608" s="31" t="s">
        <v>6776</v>
      </c>
      <c r="H1608" s="16" t="s">
        <v>6780</v>
      </c>
      <c r="I1608" s="193" t="s">
        <v>6781</v>
      </c>
      <c r="J1608" s="31"/>
      <c r="K1608" s="31" t="s">
        <v>6772</v>
      </c>
      <c r="L1608" s="277" t="s">
        <v>6782</v>
      </c>
      <c r="M1608" s="752">
        <v>500000</v>
      </c>
      <c r="N1608" s="26"/>
    </row>
    <row r="1609" spans="1:14" ht="27">
      <c r="A1609" s="689">
        <v>32</v>
      </c>
      <c r="B1609" s="952"/>
      <c r="C1609" s="399">
        <v>46248</v>
      </c>
      <c r="D1609" s="4" t="s">
        <v>21</v>
      </c>
      <c r="E1609" s="4" t="s">
        <v>6775</v>
      </c>
      <c r="F1609" s="31" t="s">
        <v>1787</v>
      </c>
      <c r="G1609" s="31" t="s">
        <v>6776</v>
      </c>
      <c r="H1609" s="16" t="s">
        <v>6777</v>
      </c>
      <c r="I1609" s="193" t="s">
        <v>6831</v>
      </c>
      <c r="J1609" s="31"/>
      <c r="K1609" s="31" t="s">
        <v>6778</v>
      </c>
      <c r="L1609" s="277" t="s">
        <v>6779</v>
      </c>
      <c r="M1609" s="752">
        <v>300000</v>
      </c>
      <c r="N1609" s="26"/>
    </row>
    <row r="1610" spans="1:14" ht="27">
      <c r="A1610" s="689">
        <v>32</v>
      </c>
      <c r="B1610" s="952"/>
      <c r="C1610" s="369">
        <v>46249</v>
      </c>
      <c r="D1610" s="4" t="s">
        <v>21</v>
      </c>
      <c r="E1610" s="4" t="s">
        <v>14</v>
      </c>
      <c r="F1610" s="31" t="s">
        <v>6811</v>
      </c>
      <c r="G1610" s="31" t="s">
        <v>6812</v>
      </c>
      <c r="H1610" s="16" t="s">
        <v>6806</v>
      </c>
      <c r="I1610" s="193" t="s">
        <v>6814</v>
      </c>
      <c r="J1610" s="31" t="s">
        <v>6813</v>
      </c>
      <c r="K1610" s="31" t="s">
        <v>641</v>
      </c>
      <c r="L1610" s="277" t="s">
        <v>6779</v>
      </c>
      <c r="M1610" s="752">
        <v>500000</v>
      </c>
      <c r="N1610" s="26"/>
    </row>
    <row r="1611" spans="1:14" ht="24">
      <c r="A1611" s="689">
        <v>33</v>
      </c>
      <c r="B1611" s="952" t="s">
        <v>307</v>
      </c>
      <c r="C1611" s="645" t="s">
        <v>6902</v>
      </c>
      <c r="D1611" s="637" t="s">
        <v>306</v>
      </c>
      <c r="E1611" s="637" t="s">
        <v>322</v>
      </c>
      <c r="F1611" s="647" t="s">
        <v>5400</v>
      </c>
      <c r="G1611" s="645">
        <v>7065</v>
      </c>
      <c r="H1611" s="645" t="s">
        <v>6903</v>
      </c>
      <c r="I1611" s="647" t="s">
        <v>6904</v>
      </c>
      <c r="J1611" s="647" t="s">
        <v>664</v>
      </c>
      <c r="K1611" s="647" t="s">
        <v>5769</v>
      </c>
      <c r="L1611" s="646" t="s">
        <v>324</v>
      </c>
      <c r="M1611" s="677">
        <v>1000000</v>
      </c>
      <c r="N1611" s="646"/>
    </row>
    <row r="1612" spans="1:14" ht="24">
      <c r="A1612" s="689">
        <v>33</v>
      </c>
      <c r="B1612" s="952"/>
      <c r="C1612" s="645" t="s">
        <v>6905</v>
      </c>
      <c r="D1612" s="637" t="s">
        <v>306</v>
      </c>
      <c r="E1612" s="637" t="s">
        <v>322</v>
      </c>
      <c r="F1612" s="647" t="s">
        <v>5400</v>
      </c>
      <c r="G1612" s="734" t="s">
        <v>6893</v>
      </c>
      <c r="H1612" s="645" t="s">
        <v>329</v>
      </c>
      <c r="I1612" s="647" t="s">
        <v>6906</v>
      </c>
      <c r="J1612" s="647" t="s">
        <v>1534</v>
      </c>
      <c r="K1612" s="647" t="s">
        <v>3101</v>
      </c>
      <c r="L1612" s="646" t="s">
        <v>324</v>
      </c>
      <c r="M1612" s="677">
        <v>500000</v>
      </c>
      <c r="N1612" s="646"/>
    </row>
    <row r="1613" spans="1:14" ht="24">
      <c r="A1613" s="689">
        <v>33</v>
      </c>
      <c r="B1613" s="952"/>
      <c r="C1613" s="645" t="s">
        <v>6907</v>
      </c>
      <c r="D1613" s="637" t="s">
        <v>306</v>
      </c>
      <c r="E1613" s="637" t="s">
        <v>322</v>
      </c>
      <c r="F1613" s="647" t="s">
        <v>5400</v>
      </c>
      <c r="G1613" s="734" t="s">
        <v>5766</v>
      </c>
      <c r="H1613" s="645" t="s">
        <v>6908</v>
      </c>
      <c r="I1613" s="647" t="s">
        <v>4915</v>
      </c>
      <c r="J1613" s="647" t="s">
        <v>1534</v>
      </c>
      <c r="K1613" s="647" t="s">
        <v>3101</v>
      </c>
      <c r="L1613" s="646" t="s">
        <v>324</v>
      </c>
      <c r="M1613" s="677">
        <v>500000</v>
      </c>
      <c r="N1613" s="646"/>
    </row>
    <row r="1614" spans="1:14">
      <c r="A1614" s="689">
        <v>33</v>
      </c>
      <c r="B1614" s="952" t="s">
        <v>311</v>
      </c>
      <c r="C1614" s="645" t="s">
        <v>6909</v>
      </c>
      <c r="D1614" s="646" t="s">
        <v>311</v>
      </c>
      <c r="E1614" s="646" t="s">
        <v>320</v>
      </c>
      <c r="F1614" s="645" t="s">
        <v>337</v>
      </c>
      <c r="G1614" s="645" t="s">
        <v>3054</v>
      </c>
      <c r="H1614" s="645" t="s">
        <v>3057</v>
      </c>
      <c r="I1614" s="645" t="s">
        <v>6910</v>
      </c>
      <c r="J1614" s="645" t="s">
        <v>5447</v>
      </c>
      <c r="K1614" s="645" t="s">
        <v>713</v>
      </c>
      <c r="L1614" s="646" t="s">
        <v>309</v>
      </c>
      <c r="M1614" s="677">
        <v>250000</v>
      </c>
      <c r="N1614" s="646" t="s">
        <v>1206</v>
      </c>
    </row>
    <row r="1615" spans="1:14">
      <c r="A1615" s="689">
        <v>33</v>
      </c>
      <c r="B1615" s="952"/>
      <c r="C1615" s="645" t="s">
        <v>6909</v>
      </c>
      <c r="D1615" s="646" t="s">
        <v>311</v>
      </c>
      <c r="E1615" s="646" t="s">
        <v>320</v>
      </c>
      <c r="F1615" s="645" t="s">
        <v>709</v>
      </c>
      <c r="G1615" s="645" t="s">
        <v>3098</v>
      </c>
      <c r="H1615" s="645" t="s">
        <v>3099</v>
      </c>
      <c r="I1615" s="645" t="s">
        <v>6911</v>
      </c>
      <c r="J1615" s="645"/>
      <c r="K1615" s="645" t="s">
        <v>6912</v>
      </c>
      <c r="L1615" s="646" t="s">
        <v>309</v>
      </c>
      <c r="M1615" s="677">
        <v>550000</v>
      </c>
      <c r="N1615" s="646" t="s">
        <v>726</v>
      </c>
    </row>
    <row r="1616" spans="1:14">
      <c r="A1616" s="689">
        <v>33</v>
      </c>
      <c r="B1616" s="952"/>
      <c r="C1616" s="645" t="s">
        <v>6913</v>
      </c>
      <c r="D1616" s="646" t="s">
        <v>311</v>
      </c>
      <c r="E1616" s="646" t="s">
        <v>320</v>
      </c>
      <c r="F1616" s="645" t="s">
        <v>709</v>
      </c>
      <c r="G1616" s="645" t="s">
        <v>3098</v>
      </c>
      <c r="H1616" s="645" t="s">
        <v>3099</v>
      </c>
      <c r="I1616" s="645" t="s">
        <v>6914</v>
      </c>
      <c r="J1616" s="645"/>
      <c r="K1616" s="645" t="s">
        <v>6912</v>
      </c>
      <c r="L1616" s="646" t="s">
        <v>309</v>
      </c>
      <c r="M1616" s="677">
        <v>550000</v>
      </c>
      <c r="N1616" s="646" t="s">
        <v>726</v>
      </c>
    </row>
    <row r="1617" spans="1:14">
      <c r="A1617" s="689">
        <v>33</v>
      </c>
      <c r="B1617" s="952"/>
      <c r="C1617" s="645" t="s">
        <v>6913</v>
      </c>
      <c r="D1617" s="646" t="s">
        <v>311</v>
      </c>
      <c r="E1617" s="646" t="s">
        <v>320</v>
      </c>
      <c r="F1617" s="645" t="s">
        <v>337</v>
      </c>
      <c r="G1617" s="645" t="s">
        <v>3054</v>
      </c>
      <c r="H1617" s="645" t="s">
        <v>6915</v>
      </c>
      <c r="I1617" s="645" t="s">
        <v>6910</v>
      </c>
      <c r="J1617" s="645" t="s">
        <v>5447</v>
      </c>
      <c r="K1617" s="645" t="s">
        <v>713</v>
      </c>
      <c r="L1617" s="646" t="s">
        <v>309</v>
      </c>
      <c r="M1617" s="677">
        <v>250000</v>
      </c>
      <c r="N1617" s="646" t="s">
        <v>1206</v>
      </c>
    </row>
    <row r="1618" spans="1:14">
      <c r="A1618" s="689">
        <v>33</v>
      </c>
      <c r="B1618" s="952"/>
      <c r="C1618" s="645" t="s">
        <v>6916</v>
      </c>
      <c r="D1618" s="646" t="s">
        <v>311</v>
      </c>
      <c r="E1618" s="646" t="s">
        <v>320</v>
      </c>
      <c r="F1618" s="645" t="s">
        <v>709</v>
      </c>
      <c r="G1618" s="645" t="s">
        <v>3098</v>
      </c>
      <c r="H1618" s="645" t="s">
        <v>3099</v>
      </c>
      <c r="I1618" s="645" t="s">
        <v>6843</v>
      </c>
      <c r="J1618" s="645"/>
      <c r="K1618" s="645" t="s">
        <v>6917</v>
      </c>
      <c r="L1618" s="646" t="s">
        <v>309</v>
      </c>
      <c r="M1618" s="677">
        <v>500000</v>
      </c>
      <c r="N1618" s="646" t="s">
        <v>726</v>
      </c>
    </row>
    <row r="1619" spans="1:14">
      <c r="A1619" s="689">
        <v>33</v>
      </c>
      <c r="B1619" s="952"/>
      <c r="C1619" s="645" t="s">
        <v>6916</v>
      </c>
      <c r="D1619" s="646" t="s">
        <v>311</v>
      </c>
      <c r="E1619" s="646" t="s">
        <v>320</v>
      </c>
      <c r="F1619" s="645" t="s">
        <v>337</v>
      </c>
      <c r="G1619" s="645" t="s">
        <v>3054</v>
      </c>
      <c r="H1619" s="645" t="s">
        <v>354</v>
      </c>
      <c r="I1619" s="645" t="s">
        <v>6910</v>
      </c>
      <c r="J1619" s="645" t="s">
        <v>5447</v>
      </c>
      <c r="K1619" s="645" t="s">
        <v>713</v>
      </c>
      <c r="L1619" s="646" t="s">
        <v>309</v>
      </c>
      <c r="M1619" s="677">
        <v>250000</v>
      </c>
      <c r="N1619" s="646" t="s">
        <v>1206</v>
      </c>
    </row>
    <row r="1620" spans="1:14">
      <c r="A1620" s="689">
        <v>33</v>
      </c>
      <c r="B1620" s="952"/>
      <c r="C1620" s="645" t="s">
        <v>6918</v>
      </c>
      <c r="D1620" s="646" t="s">
        <v>311</v>
      </c>
      <c r="E1620" s="646" t="s">
        <v>320</v>
      </c>
      <c r="F1620" s="645" t="s">
        <v>709</v>
      </c>
      <c r="G1620" s="645" t="s">
        <v>3098</v>
      </c>
      <c r="H1620" s="645" t="s">
        <v>3099</v>
      </c>
      <c r="I1620" s="645" t="s">
        <v>6919</v>
      </c>
      <c r="J1620" s="645" t="s">
        <v>5447</v>
      </c>
      <c r="K1620" s="645" t="s">
        <v>6920</v>
      </c>
      <c r="L1620" s="646" t="s">
        <v>309</v>
      </c>
      <c r="M1620" s="677">
        <v>250000</v>
      </c>
      <c r="N1620" s="646" t="s">
        <v>726</v>
      </c>
    </row>
    <row r="1621" spans="1:14">
      <c r="A1621" s="689">
        <v>33</v>
      </c>
      <c r="B1621" s="952"/>
      <c r="C1621" s="645" t="s">
        <v>6918</v>
      </c>
      <c r="D1621" s="646" t="s">
        <v>311</v>
      </c>
      <c r="E1621" s="646" t="s">
        <v>320</v>
      </c>
      <c r="F1621" s="645" t="s">
        <v>690</v>
      </c>
      <c r="G1621" s="645" t="s">
        <v>5060</v>
      </c>
      <c r="H1621" s="645" t="s">
        <v>347</v>
      </c>
      <c r="I1621" s="645" t="s">
        <v>6885</v>
      </c>
      <c r="J1621" s="645"/>
      <c r="K1621" s="645" t="s">
        <v>692</v>
      </c>
      <c r="L1621" s="646" t="s">
        <v>309</v>
      </c>
      <c r="M1621" s="677">
        <v>500000</v>
      </c>
      <c r="N1621" s="646" t="s">
        <v>1206</v>
      </c>
    </row>
    <row r="1622" spans="1:14" ht="27">
      <c r="A1622" s="803">
        <v>34</v>
      </c>
      <c r="B1622" s="952" t="s">
        <v>20</v>
      </c>
      <c r="C1622" s="369" t="s">
        <v>6888</v>
      </c>
      <c r="D1622" s="721" t="s">
        <v>49</v>
      </c>
      <c r="E1622" s="632" t="s">
        <v>25</v>
      </c>
      <c r="F1622" s="633" t="s">
        <v>5254</v>
      </c>
      <c r="G1622" s="787">
        <v>7065</v>
      </c>
      <c r="H1622" s="787" t="s">
        <v>6889</v>
      </c>
      <c r="I1622" s="789" t="s">
        <v>3020</v>
      </c>
      <c r="J1622" s="633" t="s">
        <v>168</v>
      </c>
      <c r="K1622" s="789" t="s">
        <v>3035</v>
      </c>
      <c r="L1622" s="698" t="s">
        <v>209</v>
      </c>
      <c r="M1622" s="788">
        <f>250000*5</f>
        <v>1250000</v>
      </c>
      <c r="N1622" s="646"/>
    </row>
    <row r="1623" spans="1:14" ht="27">
      <c r="A1623" s="803">
        <v>34</v>
      </c>
      <c r="B1623" s="952"/>
      <c r="C1623" s="369" t="s">
        <v>6891</v>
      </c>
      <c r="D1623" s="721" t="s">
        <v>5524</v>
      </c>
      <c r="E1623" s="632" t="s">
        <v>25</v>
      </c>
      <c r="F1623" s="633" t="s">
        <v>5254</v>
      </c>
      <c r="G1623" s="787">
        <v>2688</v>
      </c>
      <c r="H1623" s="787" t="s">
        <v>18</v>
      </c>
      <c r="I1623" s="789" t="s">
        <v>6890</v>
      </c>
      <c r="J1623" s="633" t="s">
        <v>168</v>
      </c>
      <c r="K1623" s="772" t="s">
        <v>3004</v>
      </c>
      <c r="L1623" s="698" t="s">
        <v>4875</v>
      </c>
      <c r="M1623" s="788">
        <f>250000*3</f>
        <v>750000</v>
      </c>
      <c r="N1623" s="646"/>
    </row>
    <row r="1624" spans="1:14" ht="27">
      <c r="A1624" s="803">
        <v>34</v>
      </c>
      <c r="B1624" s="952"/>
      <c r="C1624" s="369" t="s">
        <v>6892</v>
      </c>
      <c r="D1624" s="721" t="s">
        <v>49</v>
      </c>
      <c r="E1624" s="632" t="s">
        <v>25</v>
      </c>
      <c r="F1624" s="633" t="s">
        <v>5254</v>
      </c>
      <c r="G1624" s="787">
        <v>7062</v>
      </c>
      <c r="H1624" s="787" t="s">
        <v>143</v>
      </c>
      <c r="I1624" s="789" t="s">
        <v>1105</v>
      </c>
      <c r="J1624" s="633" t="s">
        <v>1259</v>
      </c>
      <c r="K1624" s="772" t="s">
        <v>3716</v>
      </c>
      <c r="L1624" s="698" t="s">
        <v>209</v>
      </c>
      <c r="M1624" s="788">
        <f>250000*4</f>
        <v>1000000</v>
      </c>
      <c r="N1624" s="646"/>
    </row>
    <row r="1625" spans="1:14">
      <c r="A1625" s="803">
        <v>34</v>
      </c>
      <c r="B1625" s="952" t="s">
        <v>21</v>
      </c>
      <c r="C1625" s="369">
        <v>46258</v>
      </c>
      <c r="D1625" s="4" t="s">
        <v>21</v>
      </c>
      <c r="E1625" s="4" t="s">
        <v>70</v>
      </c>
      <c r="F1625" s="786" t="s">
        <v>78</v>
      </c>
      <c r="G1625" s="786" t="s">
        <v>3833</v>
      </c>
      <c r="H1625" s="16" t="s">
        <v>207</v>
      </c>
      <c r="I1625" s="791" t="s">
        <v>6878</v>
      </c>
      <c r="J1625" s="786" t="s">
        <v>202</v>
      </c>
      <c r="K1625" s="786" t="s">
        <v>6880</v>
      </c>
      <c r="L1625" s="125" t="s">
        <v>15</v>
      </c>
      <c r="M1625" s="752">
        <v>300000</v>
      </c>
      <c r="N1625" s="646" t="s">
        <v>127</v>
      </c>
    </row>
    <row r="1626" spans="1:14" ht="27">
      <c r="A1626" s="803">
        <v>34</v>
      </c>
      <c r="B1626" s="952"/>
      <c r="C1626" s="369">
        <v>46258</v>
      </c>
      <c r="D1626" s="4" t="s">
        <v>21</v>
      </c>
      <c r="E1626" s="4" t="s">
        <v>14</v>
      </c>
      <c r="F1626" s="786" t="s">
        <v>211</v>
      </c>
      <c r="G1626" s="786" t="s">
        <v>2916</v>
      </c>
      <c r="H1626" s="16" t="s">
        <v>2917</v>
      </c>
      <c r="I1626" s="791" t="s">
        <v>6887</v>
      </c>
      <c r="J1626" s="786" t="s">
        <v>6520</v>
      </c>
      <c r="K1626" s="786" t="s">
        <v>2838</v>
      </c>
      <c r="L1626" s="125" t="s">
        <v>15</v>
      </c>
      <c r="M1626" s="752">
        <v>500000</v>
      </c>
      <c r="N1626" s="646" t="s">
        <v>583</v>
      </c>
    </row>
    <row r="1627" spans="1:14">
      <c r="A1627" s="803">
        <v>34</v>
      </c>
      <c r="B1627" s="952"/>
      <c r="C1627" s="369">
        <v>46258</v>
      </c>
      <c r="D1627" s="4" t="s">
        <v>21</v>
      </c>
      <c r="E1627" s="4" t="s">
        <v>14</v>
      </c>
      <c r="F1627" s="786" t="s">
        <v>149</v>
      </c>
      <c r="G1627" s="786" t="s">
        <v>3415</v>
      </c>
      <c r="H1627" s="16" t="s">
        <v>23</v>
      </c>
      <c r="I1627" s="791" t="s">
        <v>6883</v>
      </c>
      <c r="J1627" s="786"/>
      <c r="K1627" s="786" t="s">
        <v>6870</v>
      </c>
      <c r="L1627" s="125" t="s">
        <v>15</v>
      </c>
      <c r="M1627" s="752">
        <v>500000</v>
      </c>
      <c r="N1627" s="646" t="s">
        <v>128</v>
      </c>
    </row>
    <row r="1628" spans="1:14">
      <c r="A1628" s="803">
        <v>34</v>
      </c>
      <c r="B1628" s="952"/>
      <c r="C1628" s="369">
        <v>46259</v>
      </c>
      <c r="D1628" s="3" t="s">
        <v>21</v>
      </c>
      <c r="E1628" s="3" t="s">
        <v>14</v>
      </c>
      <c r="F1628" s="454" t="s">
        <v>149</v>
      </c>
      <c r="G1628" s="454" t="s">
        <v>3415</v>
      </c>
      <c r="H1628" s="459" t="s">
        <v>23</v>
      </c>
      <c r="I1628" s="453" t="s">
        <v>6864</v>
      </c>
      <c r="J1628" s="786"/>
      <c r="K1628" s="786" t="s">
        <v>6870</v>
      </c>
      <c r="L1628" s="125" t="s">
        <v>15</v>
      </c>
      <c r="M1628" s="752">
        <v>500000</v>
      </c>
      <c r="N1628" s="646" t="s">
        <v>128</v>
      </c>
    </row>
    <row r="1629" spans="1:14">
      <c r="A1629" s="803">
        <v>34</v>
      </c>
      <c r="B1629" s="952"/>
      <c r="C1629" s="369">
        <v>46260</v>
      </c>
      <c r="D1629" s="3" t="s">
        <v>21</v>
      </c>
      <c r="E1629" s="3" t="s">
        <v>14</v>
      </c>
      <c r="F1629" s="454" t="s">
        <v>149</v>
      </c>
      <c r="G1629" s="454" t="s">
        <v>3415</v>
      </c>
      <c r="H1629" s="459" t="s">
        <v>23</v>
      </c>
      <c r="I1629" s="453" t="s">
        <v>6868</v>
      </c>
      <c r="J1629" s="791" t="s">
        <v>6871</v>
      </c>
      <c r="K1629" s="786" t="s">
        <v>641</v>
      </c>
      <c r="L1629" s="125" t="s">
        <v>15</v>
      </c>
      <c r="M1629" s="752">
        <v>500000</v>
      </c>
      <c r="N1629" s="646" t="s">
        <v>128</v>
      </c>
    </row>
    <row r="1630" spans="1:14">
      <c r="A1630" s="803">
        <v>34</v>
      </c>
      <c r="B1630" s="952"/>
      <c r="C1630" s="369">
        <v>46261</v>
      </c>
      <c r="D1630" s="4" t="s">
        <v>21</v>
      </c>
      <c r="E1630" s="4" t="s">
        <v>70</v>
      </c>
      <c r="F1630" s="786" t="s">
        <v>1787</v>
      </c>
      <c r="G1630" s="786" t="s">
        <v>2978</v>
      </c>
      <c r="H1630" s="16" t="s">
        <v>40</v>
      </c>
      <c r="I1630" s="791" t="s">
        <v>396</v>
      </c>
      <c r="J1630" s="786" t="s">
        <v>1948</v>
      </c>
      <c r="K1630" s="791" t="s">
        <v>686</v>
      </c>
      <c r="L1630" s="125" t="s">
        <v>15</v>
      </c>
      <c r="M1630" s="752">
        <v>250000</v>
      </c>
      <c r="N1630" s="646" t="s">
        <v>128</v>
      </c>
    </row>
    <row r="1631" spans="1:14">
      <c r="A1631" s="803">
        <v>34</v>
      </c>
      <c r="B1631" s="952"/>
      <c r="C1631" s="369">
        <v>46262</v>
      </c>
      <c r="D1631" s="4" t="s">
        <v>64</v>
      </c>
      <c r="E1631" s="4" t="s">
        <v>17</v>
      </c>
      <c r="F1631" s="786" t="s">
        <v>100</v>
      </c>
      <c r="G1631" s="786" t="s">
        <v>6666</v>
      </c>
      <c r="H1631" s="16" t="s">
        <v>207</v>
      </c>
      <c r="I1631" s="791" t="s">
        <v>6867</v>
      </c>
      <c r="J1631" s="786"/>
      <c r="K1631" s="404" t="s">
        <v>641</v>
      </c>
      <c r="L1631" s="125" t="s">
        <v>15</v>
      </c>
      <c r="M1631" s="752">
        <v>500000</v>
      </c>
      <c r="N1631" s="646" t="s">
        <v>127</v>
      </c>
    </row>
    <row r="1632" spans="1:14">
      <c r="A1632" s="803">
        <v>35</v>
      </c>
      <c r="B1632" s="952" t="s">
        <v>20</v>
      </c>
      <c r="C1632" s="399">
        <v>46263</v>
      </c>
      <c r="D1632" s="721" t="s">
        <v>6707</v>
      </c>
      <c r="E1632" s="632" t="s">
        <v>1604</v>
      </c>
      <c r="F1632" s="633" t="s">
        <v>5254</v>
      </c>
      <c r="G1632" s="794" t="s">
        <v>5754</v>
      </c>
      <c r="H1632" s="794" t="s">
        <v>18</v>
      </c>
      <c r="I1632" s="797" t="s">
        <v>3402</v>
      </c>
      <c r="J1632" s="633" t="s">
        <v>2172</v>
      </c>
      <c r="K1632" s="772" t="s">
        <v>2828</v>
      </c>
      <c r="L1632" s="698" t="s">
        <v>475</v>
      </c>
      <c r="M1632" s="795">
        <v>250000</v>
      </c>
      <c r="N1632" s="646" t="s">
        <v>7020</v>
      </c>
    </row>
    <row r="1633" spans="1:14">
      <c r="A1633" s="803">
        <v>35</v>
      </c>
      <c r="B1633" s="952"/>
      <c r="C1633" s="399" t="s">
        <v>7017</v>
      </c>
      <c r="D1633" s="721" t="s">
        <v>6707</v>
      </c>
      <c r="E1633" s="632" t="s">
        <v>1604</v>
      </c>
      <c r="F1633" s="633" t="s">
        <v>5254</v>
      </c>
      <c r="G1633" s="794">
        <v>7065</v>
      </c>
      <c r="H1633" s="794" t="s">
        <v>7018</v>
      </c>
      <c r="I1633" s="797" t="s">
        <v>3020</v>
      </c>
      <c r="J1633" s="633" t="s">
        <v>1629</v>
      </c>
      <c r="K1633" s="735" t="s">
        <v>7019</v>
      </c>
      <c r="L1633" s="698" t="s">
        <v>475</v>
      </c>
      <c r="M1633" s="795">
        <f>250000*5</f>
        <v>1250000</v>
      </c>
      <c r="N1633" s="646"/>
    </row>
    <row r="1634" spans="1:14">
      <c r="A1634" s="803">
        <v>35</v>
      </c>
      <c r="B1634" s="952"/>
      <c r="C1634" s="399" t="s">
        <v>7021</v>
      </c>
      <c r="D1634" s="721" t="s">
        <v>6707</v>
      </c>
      <c r="E1634" s="632" t="s">
        <v>1604</v>
      </c>
      <c r="F1634" s="633" t="s">
        <v>5254</v>
      </c>
      <c r="G1634" s="794" t="s">
        <v>5754</v>
      </c>
      <c r="H1634" s="794" t="s">
        <v>18</v>
      </c>
      <c r="I1634" s="797" t="s">
        <v>3402</v>
      </c>
      <c r="J1634" s="633" t="s">
        <v>2172</v>
      </c>
      <c r="K1634" s="772" t="s">
        <v>2838</v>
      </c>
      <c r="L1634" s="698" t="s">
        <v>475</v>
      </c>
      <c r="M1634" s="795">
        <v>500000</v>
      </c>
      <c r="N1634" s="646"/>
    </row>
    <row r="1635" spans="1:14">
      <c r="A1635" s="803">
        <v>35</v>
      </c>
      <c r="B1635" s="952"/>
      <c r="C1635" s="399" t="s">
        <v>7022</v>
      </c>
      <c r="D1635" s="721" t="s">
        <v>6707</v>
      </c>
      <c r="E1635" s="632" t="s">
        <v>1604</v>
      </c>
      <c r="F1635" s="633" t="s">
        <v>5254</v>
      </c>
      <c r="G1635" s="794" t="s">
        <v>6075</v>
      </c>
      <c r="H1635" s="794" t="s">
        <v>6071</v>
      </c>
      <c r="I1635" s="797" t="s">
        <v>3402</v>
      </c>
      <c r="J1635" s="633" t="s">
        <v>2172</v>
      </c>
      <c r="K1635" s="772" t="s">
        <v>2838</v>
      </c>
      <c r="L1635" s="698" t="s">
        <v>475</v>
      </c>
      <c r="M1635" s="795">
        <v>500000</v>
      </c>
      <c r="N1635" s="646"/>
    </row>
    <row r="1636" spans="1:14">
      <c r="A1636" s="803">
        <v>35</v>
      </c>
      <c r="B1636" s="952" t="s">
        <v>21</v>
      </c>
      <c r="C1636" s="198">
        <v>46261</v>
      </c>
      <c r="D1636" s="3" t="s">
        <v>21</v>
      </c>
      <c r="E1636" s="3" t="s">
        <v>14</v>
      </c>
      <c r="F1636" s="454" t="s">
        <v>6927</v>
      </c>
      <c r="G1636" s="454" t="s">
        <v>3589</v>
      </c>
      <c r="H1636" s="459" t="s">
        <v>6929</v>
      </c>
      <c r="I1636" s="453" t="s">
        <v>6930</v>
      </c>
      <c r="J1636" s="454" t="s">
        <v>202</v>
      </c>
      <c r="K1636" s="453" t="s">
        <v>4225</v>
      </c>
      <c r="L1636" s="136" t="s">
        <v>15</v>
      </c>
      <c r="M1636" s="752">
        <v>300000</v>
      </c>
      <c r="N1636" s="1148" t="s">
        <v>7020</v>
      </c>
    </row>
    <row r="1637" spans="1:14">
      <c r="A1637" s="803">
        <v>35</v>
      </c>
      <c r="B1637" s="952"/>
      <c r="C1637" s="399">
        <v>46262</v>
      </c>
      <c r="D1637" s="3" t="s">
        <v>21</v>
      </c>
      <c r="E1637" s="3" t="s">
        <v>14</v>
      </c>
      <c r="F1637" s="454" t="s">
        <v>6927</v>
      </c>
      <c r="G1637" s="454" t="s">
        <v>3589</v>
      </c>
      <c r="H1637" s="459" t="s">
        <v>6929</v>
      </c>
      <c r="I1637" s="453" t="s">
        <v>6930</v>
      </c>
      <c r="J1637" s="454" t="s">
        <v>202</v>
      </c>
      <c r="K1637" s="453" t="s">
        <v>7346</v>
      </c>
      <c r="L1637" s="136" t="s">
        <v>15</v>
      </c>
      <c r="M1637" s="752">
        <v>800000</v>
      </c>
      <c r="N1637" s="1149"/>
    </row>
    <row r="1638" spans="1:14">
      <c r="A1638" s="803">
        <v>35</v>
      </c>
      <c r="B1638" s="952"/>
      <c r="C1638" s="399">
        <v>46265</v>
      </c>
      <c r="D1638" s="4" t="s">
        <v>138</v>
      </c>
      <c r="E1638" s="4" t="s">
        <v>14</v>
      </c>
      <c r="F1638" s="796" t="s">
        <v>107</v>
      </c>
      <c r="G1638" s="796">
        <v>179</v>
      </c>
      <c r="H1638" s="16" t="s">
        <v>1721</v>
      </c>
      <c r="I1638" s="799" t="s">
        <v>7008</v>
      </c>
      <c r="J1638" s="796" t="s">
        <v>4168</v>
      </c>
      <c r="K1638" s="796" t="s">
        <v>7348</v>
      </c>
      <c r="L1638" s="277" t="s">
        <v>15</v>
      </c>
      <c r="M1638" s="752">
        <v>500000</v>
      </c>
      <c r="N1638" s="646" t="s">
        <v>7023</v>
      </c>
    </row>
    <row r="1639" spans="1:14">
      <c r="A1639" s="803">
        <v>35</v>
      </c>
      <c r="B1639" s="952"/>
      <c r="C1639" s="399">
        <v>46265</v>
      </c>
      <c r="D1639" s="3" t="s">
        <v>21</v>
      </c>
      <c r="E1639" s="3" t="s">
        <v>14</v>
      </c>
      <c r="F1639" s="454" t="s">
        <v>211</v>
      </c>
      <c r="G1639" s="454" t="s">
        <v>2916</v>
      </c>
      <c r="H1639" s="459" t="s">
        <v>2917</v>
      </c>
      <c r="I1639" s="453" t="s">
        <v>1314</v>
      </c>
      <c r="J1639" s="453" t="s">
        <v>1948</v>
      </c>
      <c r="K1639" s="458" t="s">
        <v>2828</v>
      </c>
      <c r="L1639" s="136" t="s">
        <v>15</v>
      </c>
      <c r="M1639" s="752">
        <v>250000</v>
      </c>
      <c r="N1639" s="646" t="s">
        <v>1651</v>
      </c>
    </row>
    <row r="1640" spans="1:14">
      <c r="A1640" s="803">
        <v>35</v>
      </c>
      <c r="B1640" s="952"/>
      <c r="C1640" s="399">
        <v>46266</v>
      </c>
      <c r="D1640" s="4" t="s">
        <v>21</v>
      </c>
      <c r="E1640" s="4" t="s">
        <v>14</v>
      </c>
      <c r="F1640" s="796" t="s">
        <v>140</v>
      </c>
      <c r="G1640" s="796" t="s">
        <v>2959</v>
      </c>
      <c r="H1640" s="16" t="s">
        <v>1492</v>
      </c>
      <c r="I1640" s="799" t="s">
        <v>6949</v>
      </c>
      <c r="J1640" s="796" t="s">
        <v>1948</v>
      </c>
      <c r="K1640" s="708" t="s">
        <v>686</v>
      </c>
      <c r="L1640" s="125" t="s">
        <v>15</v>
      </c>
      <c r="M1640" s="752">
        <v>250000</v>
      </c>
      <c r="N1640" s="646" t="s">
        <v>5508</v>
      </c>
    </row>
    <row r="1641" spans="1:14">
      <c r="A1641" s="803">
        <v>35</v>
      </c>
      <c r="B1641" s="952"/>
      <c r="C1641" s="399">
        <v>46267</v>
      </c>
      <c r="D1641" s="4" t="s">
        <v>21</v>
      </c>
      <c r="E1641" s="4" t="s">
        <v>14</v>
      </c>
      <c r="F1641" s="796" t="s">
        <v>140</v>
      </c>
      <c r="G1641" s="796" t="s">
        <v>2959</v>
      </c>
      <c r="H1641" s="16" t="s">
        <v>143</v>
      </c>
      <c r="I1641" s="799" t="s">
        <v>6949</v>
      </c>
      <c r="J1641" s="796"/>
      <c r="K1641" s="708" t="s">
        <v>641</v>
      </c>
      <c r="L1641" s="125" t="s">
        <v>15</v>
      </c>
      <c r="M1641" s="752">
        <v>500000</v>
      </c>
      <c r="N1641" s="646" t="s">
        <v>5508</v>
      </c>
    </row>
    <row r="1642" spans="1:14" ht="27">
      <c r="A1642" s="803">
        <v>35</v>
      </c>
      <c r="B1642" s="952"/>
      <c r="C1642" s="399">
        <v>46268</v>
      </c>
      <c r="D1642" s="3" t="s">
        <v>21</v>
      </c>
      <c r="E1642" s="3" t="s">
        <v>17</v>
      </c>
      <c r="F1642" s="453" t="s">
        <v>6517</v>
      </c>
      <c r="G1642" s="454" t="s">
        <v>2653</v>
      </c>
      <c r="H1642" s="459" t="s">
        <v>102</v>
      </c>
      <c r="I1642" s="453" t="s">
        <v>6990</v>
      </c>
      <c r="J1642" s="453" t="s">
        <v>126</v>
      </c>
      <c r="K1642" s="883" t="s">
        <v>2828</v>
      </c>
      <c r="L1642" s="136" t="s">
        <v>15</v>
      </c>
      <c r="M1642" s="752">
        <v>250000</v>
      </c>
      <c r="N1642" s="646" t="s">
        <v>3904</v>
      </c>
    </row>
    <row r="1643" spans="1:14">
      <c r="A1643" s="803">
        <v>35</v>
      </c>
      <c r="B1643" s="952"/>
      <c r="C1643" s="399">
        <v>46268</v>
      </c>
      <c r="D1643" s="4" t="s">
        <v>21</v>
      </c>
      <c r="E1643" s="4" t="s">
        <v>14</v>
      </c>
      <c r="F1643" s="796" t="s">
        <v>140</v>
      </c>
      <c r="G1643" s="796" t="s">
        <v>2959</v>
      </c>
      <c r="H1643" s="16" t="s">
        <v>1895</v>
      </c>
      <c r="I1643" s="799" t="s">
        <v>6949</v>
      </c>
      <c r="J1643" s="796"/>
      <c r="K1643" s="708" t="s">
        <v>641</v>
      </c>
      <c r="L1643" s="125" t="s">
        <v>15</v>
      </c>
      <c r="M1643" s="752">
        <v>500000</v>
      </c>
      <c r="N1643" s="646" t="s">
        <v>5508</v>
      </c>
    </row>
    <row r="1644" spans="1:14" ht="27">
      <c r="A1644" s="803">
        <v>35</v>
      </c>
      <c r="B1644" s="952"/>
      <c r="C1644" s="399">
        <v>46269</v>
      </c>
      <c r="D1644" s="3" t="s">
        <v>21</v>
      </c>
      <c r="E1644" s="3" t="s">
        <v>17</v>
      </c>
      <c r="F1644" s="454" t="s">
        <v>5632</v>
      </c>
      <c r="G1644" s="453" t="s">
        <v>6995</v>
      </c>
      <c r="H1644" s="459" t="s">
        <v>23</v>
      </c>
      <c r="I1644" s="453" t="s">
        <v>6994</v>
      </c>
      <c r="J1644" s="453" t="s">
        <v>126</v>
      </c>
      <c r="K1644" s="454" t="s">
        <v>2828</v>
      </c>
      <c r="L1644" s="136" t="s">
        <v>15</v>
      </c>
      <c r="M1644" s="752">
        <v>250000</v>
      </c>
      <c r="N1644" s="646" t="s">
        <v>3904</v>
      </c>
    </row>
    <row r="1645" spans="1:14" ht="27">
      <c r="A1645" s="803">
        <v>35</v>
      </c>
      <c r="B1645" s="952"/>
      <c r="C1645" s="399">
        <v>46269</v>
      </c>
      <c r="D1645" s="3" t="s">
        <v>21</v>
      </c>
      <c r="E1645" s="3" t="s">
        <v>14</v>
      </c>
      <c r="F1645" s="454" t="s">
        <v>1787</v>
      </c>
      <c r="G1645" s="454" t="s">
        <v>2978</v>
      </c>
      <c r="H1645" s="459" t="s">
        <v>23</v>
      </c>
      <c r="I1645" s="453" t="s">
        <v>7001</v>
      </c>
      <c r="J1645" s="454" t="s">
        <v>1948</v>
      </c>
      <c r="K1645" s="708" t="s">
        <v>641</v>
      </c>
      <c r="L1645" s="125" t="s">
        <v>15</v>
      </c>
      <c r="M1645" s="752">
        <v>500000</v>
      </c>
      <c r="N1645" s="646" t="s">
        <v>5508</v>
      </c>
    </row>
    <row r="1646" spans="1:14">
      <c r="A1646" s="803">
        <v>36</v>
      </c>
      <c r="B1646" s="952" t="s">
        <v>20</v>
      </c>
      <c r="C1646" s="369">
        <v>46270</v>
      </c>
      <c r="D1646" s="721" t="s">
        <v>6707</v>
      </c>
      <c r="E1646" s="632" t="s">
        <v>25</v>
      </c>
      <c r="F1646" s="633" t="s">
        <v>5254</v>
      </c>
      <c r="G1646" s="807" t="s">
        <v>7080</v>
      </c>
      <c r="H1646" s="807" t="s">
        <v>7081</v>
      </c>
      <c r="I1646" s="815" t="s">
        <v>3715</v>
      </c>
      <c r="J1646" s="633" t="s">
        <v>4918</v>
      </c>
      <c r="K1646" s="772" t="s">
        <v>3775</v>
      </c>
      <c r="L1646" s="698" t="s">
        <v>1356</v>
      </c>
      <c r="M1646" s="810">
        <f>250000</f>
        <v>250000</v>
      </c>
      <c r="N1646" s="646" t="s">
        <v>7090</v>
      </c>
    </row>
    <row r="1647" spans="1:14">
      <c r="A1647" s="803">
        <v>36</v>
      </c>
      <c r="B1647" s="952"/>
      <c r="C1647" s="369" t="s">
        <v>7079</v>
      </c>
      <c r="D1647" s="721" t="s">
        <v>6707</v>
      </c>
      <c r="E1647" s="632" t="s">
        <v>25</v>
      </c>
      <c r="F1647" s="633" t="s">
        <v>5254</v>
      </c>
      <c r="G1647" s="807" t="s">
        <v>7080</v>
      </c>
      <c r="H1647" s="807" t="s">
        <v>7081</v>
      </c>
      <c r="I1647" s="815" t="s">
        <v>3715</v>
      </c>
      <c r="J1647" s="633" t="s">
        <v>4918</v>
      </c>
      <c r="K1647" s="772" t="s">
        <v>4944</v>
      </c>
      <c r="L1647" s="698" t="s">
        <v>1356</v>
      </c>
      <c r="M1647" s="810">
        <f>250000*3</f>
        <v>750000</v>
      </c>
      <c r="N1647" s="646"/>
    </row>
    <row r="1648" spans="1:14" ht="27">
      <c r="A1648" s="803">
        <v>36</v>
      </c>
      <c r="B1648" s="952"/>
      <c r="C1648" s="369" t="s">
        <v>7082</v>
      </c>
      <c r="D1648" s="721" t="s">
        <v>6707</v>
      </c>
      <c r="E1648" s="632" t="s">
        <v>25</v>
      </c>
      <c r="F1648" s="633" t="s">
        <v>5254</v>
      </c>
      <c r="G1648" s="807" t="s">
        <v>7080</v>
      </c>
      <c r="H1648" s="807" t="s">
        <v>3758</v>
      </c>
      <c r="I1648" s="815" t="s">
        <v>3715</v>
      </c>
      <c r="J1648" s="633" t="s">
        <v>4918</v>
      </c>
      <c r="K1648" s="772" t="s">
        <v>3702</v>
      </c>
      <c r="L1648" s="698" t="s">
        <v>1356</v>
      </c>
      <c r="M1648" s="810">
        <f>250000*2</f>
        <v>500000</v>
      </c>
      <c r="N1648" s="646"/>
    </row>
    <row r="1649" spans="1:14">
      <c r="A1649" s="803">
        <v>36</v>
      </c>
      <c r="B1649" s="952"/>
      <c r="C1649" s="369" t="s">
        <v>7084</v>
      </c>
      <c r="D1649" s="721" t="s">
        <v>6707</v>
      </c>
      <c r="E1649" s="632" t="s">
        <v>25</v>
      </c>
      <c r="F1649" s="633" t="s">
        <v>5254</v>
      </c>
      <c r="G1649" s="807">
        <v>7065</v>
      </c>
      <c r="H1649" s="807" t="s">
        <v>6889</v>
      </c>
      <c r="I1649" s="815" t="s">
        <v>3743</v>
      </c>
      <c r="J1649" s="633" t="s">
        <v>3748</v>
      </c>
      <c r="K1649" s="735" t="s">
        <v>7083</v>
      </c>
      <c r="L1649" s="698" t="s">
        <v>1356</v>
      </c>
      <c r="M1649" s="810">
        <f>250000*2</f>
        <v>500000</v>
      </c>
      <c r="N1649" s="646"/>
    </row>
    <row r="1650" spans="1:14">
      <c r="A1650" s="803">
        <v>36</v>
      </c>
      <c r="B1650" s="952"/>
      <c r="C1650" s="369" t="s">
        <v>7085</v>
      </c>
      <c r="D1650" s="721" t="s">
        <v>6707</v>
      </c>
      <c r="E1650" s="632" t="s">
        <v>25</v>
      </c>
      <c r="F1650" s="633" t="s">
        <v>5254</v>
      </c>
      <c r="G1650" s="807">
        <v>7065</v>
      </c>
      <c r="H1650" s="807" t="s">
        <v>7018</v>
      </c>
      <c r="I1650" s="815" t="s">
        <v>3743</v>
      </c>
      <c r="J1650" s="633" t="s">
        <v>3748</v>
      </c>
      <c r="K1650" s="735" t="s">
        <v>7086</v>
      </c>
      <c r="L1650" s="698" t="s">
        <v>1356</v>
      </c>
      <c r="M1650" s="810">
        <f>250000*3</f>
        <v>750000</v>
      </c>
      <c r="N1650" s="646"/>
    </row>
    <row r="1651" spans="1:14">
      <c r="A1651" s="803">
        <v>36</v>
      </c>
      <c r="B1651" s="952"/>
      <c r="C1651" s="369" t="s">
        <v>7089</v>
      </c>
      <c r="D1651" s="721" t="s">
        <v>6707</v>
      </c>
      <c r="E1651" s="632" t="s">
        <v>25</v>
      </c>
      <c r="F1651" s="633" t="s">
        <v>5254</v>
      </c>
      <c r="G1651" s="807" t="s">
        <v>6448</v>
      </c>
      <c r="H1651" s="807" t="s">
        <v>7087</v>
      </c>
      <c r="I1651" s="815" t="s">
        <v>7088</v>
      </c>
      <c r="J1651" s="633" t="s">
        <v>3748</v>
      </c>
      <c r="K1651" s="772" t="s">
        <v>3716</v>
      </c>
      <c r="L1651" s="698" t="s">
        <v>1356</v>
      </c>
      <c r="M1651" s="810">
        <f>250000*4</f>
        <v>1000000</v>
      </c>
      <c r="N1651" s="646"/>
    </row>
    <row r="1652" spans="1:14" ht="21">
      <c r="A1652" s="803">
        <v>36</v>
      </c>
      <c r="B1652" s="952" t="s">
        <v>21</v>
      </c>
      <c r="C1652" s="369">
        <v>46269</v>
      </c>
      <c r="D1652" s="3" t="s">
        <v>21</v>
      </c>
      <c r="E1652" s="3" t="s">
        <v>14</v>
      </c>
      <c r="F1652" s="454" t="s">
        <v>1787</v>
      </c>
      <c r="G1652" s="454" t="s">
        <v>2978</v>
      </c>
      <c r="H1652" s="459" t="s">
        <v>23</v>
      </c>
      <c r="I1652" s="453" t="s">
        <v>7076</v>
      </c>
      <c r="J1652" s="454"/>
      <c r="K1652" s="708" t="s">
        <v>641</v>
      </c>
      <c r="L1652" s="125" t="s">
        <v>15</v>
      </c>
      <c r="M1652" s="752">
        <v>500000</v>
      </c>
      <c r="N1652" s="819" t="s">
        <v>7077</v>
      </c>
    </row>
    <row r="1653" spans="1:14">
      <c r="A1653" s="803">
        <v>36</v>
      </c>
      <c r="B1653" s="952"/>
      <c r="C1653" s="369">
        <v>46272</v>
      </c>
      <c r="D1653" s="4" t="s">
        <v>21</v>
      </c>
      <c r="E1653" s="4" t="s">
        <v>14</v>
      </c>
      <c r="F1653" s="806" t="s">
        <v>140</v>
      </c>
      <c r="G1653" s="806" t="s">
        <v>2959</v>
      </c>
      <c r="H1653" s="16" t="s">
        <v>143</v>
      </c>
      <c r="I1653" s="817" t="s">
        <v>6949</v>
      </c>
      <c r="J1653" s="806" t="s">
        <v>90</v>
      </c>
      <c r="K1653" s="708" t="s">
        <v>3708</v>
      </c>
      <c r="L1653" s="125" t="s">
        <v>15</v>
      </c>
      <c r="M1653" s="752">
        <v>250000</v>
      </c>
      <c r="N1653" s="805" t="s">
        <v>5969</v>
      </c>
    </row>
    <row r="1654" spans="1:14">
      <c r="A1654" s="803">
        <v>36</v>
      </c>
      <c r="B1654" s="952"/>
      <c r="C1654" s="369">
        <v>46273</v>
      </c>
      <c r="D1654" s="4" t="s">
        <v>21</v>
      </c>
      <c r="E1654" s="4" t="s">
        <v>14</v>
      </c>
      <c r="F1654" s="806" t="s">
        <v>140</v>
      </c>
      <c r="G1654" s="806" t="s">
        <v>2959</v>
      </c>
      <c r="H1654" s="16" t="s">
        <v>143</v>
      </c>
      <c r="I1654" s="817" t="s">
        <v>6949</v>
      </c>
      <c r="J1654" s="806" t="s">
        <v>90</v>
      </c>
      <c r="K1654" s="1153" t="s">
        <v>3708</v>
      </c>
      <c r="L1654" s="125" t="s">
        <v>15</v>
      </c>
      <c r="M1654" s="1129">
        <v>250000</v>
      </c>
      <c r="N1654" s="646" t="s">
        <v>5969</v>
      </c>
    </row>
    <row r="1655" spans="1:14">
      <c r="A1655" s="803">
        <v>36</v>
      </c>
      <c r="B1655" s="952"/>
      <c r="C1655" s="369">
        <v>46273</v>
      </c>
      <c r="D1655" s="4" t="s">
        <v>21</v>
      </c>
      <c r="E1655" s="4" t="s">
        <v>14</v>
      </c>
      <c r="F1655" s="806" t="s">
        <v>107</v>
      </c>
      <c r="G1655" s="806" t="s">
        <v>2959</v>
      </c>
      <c r="H1655" s="16" t="s">
        <v>3742</v>
      </c>
      <c r="I1655" s="817" t="s">
        <v>7046</v>
      </c>
      <c r="J1655" s="806" t="s">
        <v>90</v>
      </c>
      <c r="K1655" s="1142"/>
      <c r="L1655" s="125" t="s">
        <v>15</v>
      </c>
      <c r="M1655" s="1130"/>
      <c r="N1655" s="646" t="s">
        <v>3779</v>
      </c>
    </row>
    <row r="1656" spans="1:14">
      <c r="A1656" s="803">
        <v>36</v>
      </c>
      <c r="B1656" s="952"/>
      <c r="C1656" s="369">
        <v>46274</v>
      </c>
      <c r="D1656" s="3" t="s">
        <v>21</v>
      </c>
      <c r="E1656" s="3" t="s">
        <v>14</v>
      </c>
      <c r="F1656" s="454" t="s">
        <v>211</v>
      </c>
      <c r="G1656" s="454" t="s">
        <v>2916</v>
      </c>
      <c r="H1656" s="459" t="s">
        <v>2917</v>
      </c>
      <c r="I1656" s="817" t="s">
        <v>7039</v>
      </c>
      <c r="J1656" s="806" t="s">
        <v>7040</v>
      </c>
      <c r="K1656" s="817" t="s">
        <v>2828</v>
      </c>
      <c r="L1656" s="125" t="s">
        <v>1356</v>
      </c>
      <c r="M1656" s="752">
        <v>250000</v>
      </c>
      <c r="N1656" s="646" t="s">
        <v>7078</v>
      </c>
    </row>
    <row r="1657" spans="1:14">
      <c r="A1657" s="803">
        <v>36</v>
      </c>
      <c r="B1657" s="952"/>
      <c r="C1657" s="369">
        <v>46274</v>
      </c>
      <c r="D1657" s="4" t="s">
        <v>21</v>
      </c>
      <c r="E1657" s="4" t="s">
        <v>14</v>
      </c>
      <c r="F1657" s="806" t="s">
        <v>107</v>
      </c>
      <c r="G1657" s="806" t="s">
        <v>2959</v>
      </c>
      <c r="H1657" s="16" t="s">
        <v>3742</v>
      </c>
      <c r="I1657" s="817" t="s">
        <v>7045</v>
      </c>
      <c r="J1657" s="806" t="s">
        <v>90</v>
      </c>
      <c r="K1657" s="1153" t="s">
        <v>3708</v>
      </c>
      <c r="L1657" s="125" t="s">
        <v>15</v>
      </c>
      <c r="M1657" s="1129">
        <v>250000</v>
      </c>
      <c r="N1657" s="646" t="s">
        <v>3779</v>
      </c>
    </row>
    <row r="1658" spans="1:14">
      <c r="A1658" s="803">
        <v>36</v>
      </c>
      <c r="B1658" s="952"/>
      <c r="C1658" s="369">
        <v>46274</v>
      </c>
      <c r="D1658" s="4" t="s">
        <v>21</v>
      </c>
      <c r="E1658" s="4" t="s">
        <v>14</v>
      </c>
      <c r="F1658" s="806" t="s">
        <v>107</v>
      </c>
      <c r="G1658" s="806" t="s">
        <v>2959</v>
      </c>
      <c r="H1658" s="16" t="s">
        <v>3728</v>
      </c>
      <c r="I1658" s="817" t="s">
        <v>7072</v>
      </c>
      <c r="J1658" s="806" t="s">
        <v>90</v>
      </c>
      <c r="K1658" s="1142"/>
      <c r="L1658" s="125" t="s">
        <v>15</v>
      </c>
      <c r="M1658" s="1130"/>
      <c r="N1658" s="646" t="s">
        <v>3779</v>
      </c>
    </row>
    <row r="1659" spans="1:14">
      <c r="A1659" s="835">
        <v>36</v>
      </c>
      <c r="B1659" s="952"/>
      <c r="C1659" s="369">
        <v>46276</v>
      </c>
      <c r="D1659" s="4" t="s">
        <v>21</v>
      </c>
      <c r="E1659" s="4" t="s">
        <v>14</v>
      </c>
      <c r="F1659" s="806" t="s">
        <v>1787</v>
      </c>
      <c r="G1659" s="806" t="s">
        <v>2978</v>
      </c>
      <c r="H1659" s="16" t="s">
        <v>23</v>
      </c>
      <c r="I1659" s="817" t="s">
        <v>7071</v>
      </c>
      <c r="J1659" s="806"/>
      <c r="K1659" s="708" t="s">
        <v>4907</v>
      </c>
      <c r="L1659" s="125" t="s">
        <v>15</v>
      </c>
      <c r="M1659" s="752">
        <v>500000</v>
      </c>
      <c r="N1659" s="646" t="s">
        <v>5969</v>
      </c>
    </row>
    <row r="1660" spans="1:14">
      <c r="A1660" s="836">
        <v>37</v>
      </c>
      <c r="B1660" s="1134" t="s">
        <v>20</v>
      </c>
      <c r="C1660" s="399">
        <v>46277</v>
      </c>
      <c r="D1660" s="721" t="s">
        <v>6707</v>
      </c>
      <c r="E1660" s="632" t="s">
        <v>151</v>
      </c>
      <c r="F1660" s="633" t="s">
        <v>5254</v>
      </c>
      <c r="G1660" s="822" t="s">
        <v>6075</v>
      </c>
      <c r="H1660" s="822" t="s">
        <v>145</v>
      </c>
      <c r="I1660" s="826" t="s">
        <v>1105</v>
      </c>
      <c r="J1660" s="633" t="s">
        <v>1259</v>
      </c>
      <c r="K1660" s="772" t="s">
        <v>2828</v>
      </c>
      <c r="L1660" s="698" t="s">
        <v>209</v>
      </c>
      <c r="M1660" s="823">
        <v>250000</v>
      </c>
      <c r="N1660" s="646" t="s">
        <v>7170</v>
      </c>
    </row>
    <row r="1661" spans="1:14" ht="27">
      <c r="A1661" s="836">
        <v>37</v>
      </c>
      <c r="B1661" s="1134"/>
      <c r="C1661" s="399" t="s">
        <v>7169</v>
      </c>
      <c r="D1661" s="721" t="s">
        <v>6707</v>
      </c>
      <c r="E1661" s="632" t="s">
        <v>151</v>
      </c>
      <c r="F1661" s="633" t="s">
        <v>5254</v>
      </c>
      <c r="G1661" s="822" t="s">
        <v>6075</v>
      </c>
      <c r="H1661" s="822" t="s">
        <v>145</v>
      </c>
      <c r="I1661" s="826" t="s">
        <v>1105</v>
      </c>
      <c r="J1661" s="633" t="s">
        <v>1259</v>
      </c>
      <c r="K1661" s="772" t="s">
        <v>2838</v>
      </c>
      <c r="L1661" s="698" t="s">
        <v>209</v>
      </c>
      <c r="M1661" s="823">
        <v>500000</v>
      </c>
      <c r="N1661" s="646"/>
    </row>
    <row r="1662" spans="1:14">
      <c r="A1662" s="836">
        <v>37</v>
      </c>
      <c r="B1662" s="1134"/>
      <c r="C1662" s="399">
        <v>46281</v>
      </c>
      <c r="D1662" s="721" t="s">
        <v>6707</v>
      </c>
      <c r="E1662" s="632" t="s">
        <v>151</v>
      </c>
      <c r="F1662" s="633" t="s">
        <v>5254</v>
      </c>
      <c r="G1662" s="822" t="s">
        <v>6315</v>
      </c>
      <c r="H1662" s="822" t="s">
        <v>361</v>
      </c>
      <c r="I1662" s="826" t="s">
        <v>6316</v>
      </c>
      <c r="J1662" s="633" t="s">
        <v>1259</v>
      </c>
      <c r="K1662" s="772" t="s">
        <v>2828</v>
      </c>
      <c r="L1662" s="698" t="s">
        <v>209</v>
      </c>
      <c r="M1662" s="823">
        <v>250000</v>
      </c>
      <c r="N1662" s="646"/>
    </row>
    <row r="1663" spans="1:14" ht="27">
      <c r="A1663" s="836">
        <v>37</v>
      </c>
      <c r="B1663" s="1134"/>
      <c r="C1663" s="399" t="s">
        <v>7172</v>
      </c>
      <c r="D1663" s="721" t="s">
        <v>6707</v>
      </c>
      <c r="E1663" s="632" t="s">
        <v>151</v>
      </c>
      <c r="F1663" s="633" t="s">
        <v>5254</v>
      </c>
      <c r="G1663" s="822" t="s">
        <v>6315</v>
      </c>
      <c r="H1663" s="822" t="s">
        <v>264</v>
      </c>
      <c r="I1663" s="826" t="s">
        <v>6316</v>
      </c>
      <c r="J1663" s="633" t="s">
        <v>1259</v>
      </c>
      <c r="K1663" s="772" t="s">
        <v>2838</v>
      </c>
      <c r="L1663" s="698" t="s">
        <v>209</v>
      </c>
      <c r="M1663" s="823">
        <v>500000</v>
      </c>
      <c r="N1663" s="646"/>
    </row>
    <row r="1664" spans="1:14" ht="27">
      <c r="A1664" s="836">
        <v>37</v>
      </c>
      <c r="B1664" s="1134"/>
      <c r="C1664" s="399" t="s">
        <v>7171</v>
      </c>
      <c r="D1664" s="721" t="s">
        <v>6707</v>
      </c>
      <c r="E1664" s="632" t="s">
        <v>151</v>
      </c>
      <c r="F1664" s="633" t="s">
        <v>5254</v>
      </c>
      <c r="G1664" s="822" t="s">
        <v>5754</v>
      </c>
      <c r="H1664" s="822" t="s">
        <v>125</v>
      </c>
      <c r="I1664" s="826" t="s">
        <v>216</v>
      </c>
      <c r="J1664" s="633" t="s">
        <v>168</v>
      </c>
      <c r="K1664" s="772" t="s">
        <v>3004</v>
      </c>
      <c r="L1664" s="698" t="s">
        <v>209</v>
      </c>
      <c r="M1664" s="823">
        <v>750000</v>
      </c>
      <c r="N1664" s="646"/>
    </row>
    <row r="1665" spans="1:14" ht="27">
      <c r="A1665" s="836">
        <v>37</v>
      </c>
      <c r="B1665" s="1135"/>
      <c r="C1665" s="843" t="s">
        <v>7172</v>
      </c>
      <c r="D1665" s="841" t="s">
        <v>6707</v>
      </c>
      <c r="E1665" s="632" t="s">
        <v>151</v>
      </c>
      <c r="F1665" s="633" t="s">
        <v>5254</v>
      </c>
      <c r="G1665" s="822">
        <v>7065</v>
      </c>
      <c r="H1665" s="822" t="s">
        <v>6889</v>
      </c>
      <c r="I1665" s="826" t="s">
        <v>7174</v>
      </c>
      <c r="J1665" s="633" t="s">
        <v>168</v>
      </c>
      <c r="K1665" s="772" t="s">
        <v>2838</v>
      </c>
      <c r="L1665" s="698" t="s">
        <v>209</v>
      </c>
      <c r="M1665" s="823">
        <v>500000</v>
      </c>
      <c r="N1665" s="646"/>
    </row>
    <row r="1666" spans="1:14" ht="27">
      <c r="A1666" s="836">
        <v>37</v>
      </c>
      <c r="B1666" s="1134"/>
      <c r="C1666" s="842" t="s">
        <v>7173</v>
      </c>
      <c r="D1666" s="721" t="s">
        <v>6707</v>
      </c>
      <c r="E1666" s="632" t="s">
        <v>151</v>
      </c>
      <c r="F1666" s="633" t="s">
        <v>5254</v>
      </c>
      <c r="G1666" s="822">
        <v>7065</v>
      </c>
      <c r="H1666" s="822" t="s">
        <v>1391</v>
      </c>
      <c r="I1666" s="826" t="s">
        <v>378</v>
      </c>
      <c r="J1666" s="633" t="s">
        <v>168</v>
      </c>
      <c r="K1666" s="735" t="s">
        <v>3035</v>
      </c>
      <c r="L1666" s="698" t="s">
        <v>209</v>
      </c>
      <c r="M1666" s="823">
        <v>1250000</v>
      </c>
      <c r="N1666" s="646"/>
    </row>
    <row r="1667" spans="1:14">
      <c r="A1667" s="836">
        <v>37</v>
      </c>
      <c r="B1667" s="1134" t="s">
        <v>21</v>
      </c>
      <c r="C1667" s="399">
        <v>46279</v>
      </c>
      <c r="D1667" s="4" t="s">
        <v>64</v>
      </c>
      <c r="E1667" s="4" t="s">
        <v>14</v>
      </c>
      <c r="F1667" s="824" t="s">
        <v>107</v>
      </c>
      <c r="G1667" s="824" t="s">
        <v>3386</v>
      </c>
      <c r="H1667" s="16" t="s">
        <v>1721</v>
      </c>
      <c r="I1667" s="828" t="s">
        <v>230</v>
      </c>
      <c r="J1667" s="824" t="s">
        <v>90</v>
      </c>
      <c r="K1667" s="708" t="s">
        <v>686</v>
      </c>
      <c r="L1667" s="125" t="s">
        <v>66</v>
      </c>
      <c r="M1667" s="752">
        <v>250000</v>
      </c>
      <c r="N1667" s="646" t="s">
        <v>128</v>
      </c>
    </row>
    <row r="1668" spans="1:14">
      <c r="A1668" s="836">
        <v>37</v>
      </c>
      <c r="B1668" s="1134"/>
      <c r="C1668" s="399">
        <v>46279</v>
      </c>
      <c r="D1668" s="4" t="s">
        <v>21</v>
      </c>
      <c r="E1668" s="4" t="s">
        <v>77</v>
      </c>
      <c r="F1668" s="824" t="s">
        <v>78</v>
      </c>
      <c r="G1668" s="824">
        <v>7060</v>
      </c>
      <c r="H1668" s="16" t="s">
        <v>71</v>
      </c>
      <c r="I1668" s="828" t="s">
        <v>7147</v>
      </c>
      <c r="J1668" s="824" t="s">
        <v>6312</v>
      </c>
      <c r="K1668" s="824" t="s">
        <v>41</v>
      </c>
      <c r="L1668" s="125" t="s">
        <v>66</v>
      </c>
      <c r="M1668" s="825">
        <v>250000</v>
      </c>
      <c r="N1668" s="646" t="s">
        <v>127</v>
      </c>
    </row>
    <row r="1669" spans="1:14">
      <c r="A1669" s="836">
        <v>37</v>
      </c>
      <c r="B1669" s="1134"/>
      <c r="C1669" s="399">
        <v>46280</v>
      </c>
      <c r="D1669" s="4" t="s">
        <v>64</v>
      </c>
      <c r="E1669" s="4" t="s">
        <v>14</v>
      </c>
      <c r="F1669" s="824" t="s">
        <v>107</v>
      </c>
      <c r="G1669" s="824" t="s">
        <v>3386</v>
      </c>
      <c r="H1669" s="16" t="s">
        <v>1721</v>
      </c>
      <c r="I1669" s="828" t="s">
        <v>7133</v>
      </c>
      <c r="J1669" s="824" t="s">
        <v>90</v>
      </c>
      <c r="K1669" s="824" t="s">
        <v>3075</v>
      </c>
      <c r="L1669" s="125" t="s">
        <v>66</v>
      </c>
      <c r="M1669" s="752">
        <v>300000</v>
      </c>
      <c r="N1669" s="646" t="s">
        <v>128</v>
      </c>
    </row>
    <row r="1670" spans="1:14" ht="27">
      <c r="A1670" s="836">
        <v>37</v>
      </c>
      <c r="B1670" s="1134"/>
      <c r="C1670" s="399">
        <v>46281</v>
      </c>
      <c r="D1670" s="4" t="s">
        <v>64</v>
      </c>
      <c r="E1670" s="4" t="s">
        <v>70</v>
      </c>
      <c r="F1670" s="824" t="s">
        <v>7138</v>
      </c>
      <c r="G1670" s="824" t="s">
        <v>3415</v>
      </c>
      <c r="H1670" s="16" t="s">
        <v>40</v>
      </c>
      <c r="I1670" s="828" t="s">
        <v>7160</v>
      </c>
      <c r="J1670" s="824"/>
      <c r="K1670" s="828" t="s">
        <v>487</v>
      </c>
      <c r="L1670" s="125" t="s">
        <v>66</v>
      </c>
      <c r="M1670" s="825">
        <v>500000</v>
      </c>
      <c r="N1670" s="646" t="s">
        <v>393</v>
      </c>
    </row>
    <row r="1671" spans="1:14">
      <c r="A1671" s="836">
        <v>37</v>
      </c>
      <c r="B1671" s="1134"/>
      <c r="C1671" s="399">
        <v>46282</v>
      </c>
      <c r="D1671" s="4" t="s">
        <v>21</v>
      </c>
      <c r="E1671" s="4" t="s">
        <v>14</v>
      </c>
      <c r="F1671" s="824" t="s">
        <v>1787</v>
      </c>
      <c r="G1671" s="824" t="s">
        <v>2978</v>
      </c>
      <c r="H1671" s="16" t="s">
        <v>67</v>
      </c>
      <c r="I1671" s="16" t="s">
        <v>7161</v>
      </c>
      <c r="J1671" s="824" t="s">
        <v>90</v>
      </c>
      <c r="K1671" s="708" t="s">
        <v>686</v>
      </c>
      <c r="L1671" s="125" t="s">
        <v>66</v>
      </c>
      <c r="M1671" s="825">
        <v>250000</v>
      </c>
      <c r="N1671" s="646" t="s">
        <v>393</v>
      </c>
    </row>
    <row r="1672" spans="1:14">
      <c r="A1672" s="836">
        <v>37</v>
      </c>
      <c r="B1672" s="1134"/>
      <c r="C1672" s="399">
        <v>46282</v>
      </c>
      <c r="D1672" s="4" t="s">
        <v>64</v>
      </c>
      <c r="E1672" s="4" t="s">
        <v>70</v>
      </c>
      <c r="F1672" s="824" t="s">
        <v>7138</v>
      </c>
      <c r="G1672" s="824" t="s">
        <v>3415</v>
      </c>
      <c r="H1672" s="16" t="s">
        <v>40</v>
      </c>
      <c r="I1672" s="828" t="s">
        <v>5397</v>
      </c>
      <c r="J1672" s="824"/>
      <c r="K1672" s="828" t="s">
        <v>487</v>
      </c>
      <c r="L1672" s="125" t="s">
        <v>66</v>
      </c>
      <c r="M1672" s="752">
        <v>500000</v>
      </c>
      <c r="N1672" s="646" t="s">
        <v>128</v>
      </c>
    </row>
    <row r="1673" spans="1:14">
      <c r="A1673" s="836">
        <v>38</v>
      </c>
      <c r="B1673" s="1134" t="s">
        <v>20</v>
      </c>
      <c r="C1673" s="399">
        <v>46284</v>
      </c>
      <c r="D1673" s="721" t="s">
        <v>7225</v>
      </c>
      <c r="E1673" s="632" t="s">
        <v>7226</v>
      </c>
      <c r="F1673" s="633" t="s">
        <v>7227</v>
      </c>
      <c r="G1673" s="830">
        <v>7065</v>
      </c>
      <c r="H1673" s="830" t="s">
        <v>7221</v>
      </c>
      <c r="I1673" s="832" t="s">
        <v>7222</v>
      </c>
      <c r="J1673" s="633"/>
      <c r="K1673" s="772" t="s">
        <v>7220</v>
      </c>
      <c r="L1673" s="698" t="s">
        <v>475</v>
      </c>
      <c r="M1673" s="831">
        <v>500000</v>
      </c>
      <c r="N1673" s="646" t="s">
        <v>7219</v>
      </c>
    </row>
    <row r="1674" spans="1:14">
      <c r="A1674" s="836">
        <v>38</v>
      </c>
      <c r="B1674" s="1134"/>
      <c r="C1674" s="399">
        <v>46284</v>
      </c>
      <c r="D1674" s="721" t="s">
        <v>7225</v>
      </c>
      <c r="E1674" s="632" t="s">
        <v>7226</v>
      </c>
      <c r="F1674" s="633" t="s">
        <v>7227</v>
      </c>
      <c r="G1674" s="830" t="s">
        <v>7223</v>
      </c>
      <c r="H1674" s="830" t="s">
        <v>854</v>
      </c>
      <c r="I1674" s="832" t="s">
        <v>7224</v>
      </c>
      <c r="J1674" s="633"/>
      <c r="K1674" s="832" t="s">
        <v>945</v>
      </c>
      <c r="L1674" s="698" t="s">
        <v>475</v>
      </c>
      <c r="M1674" s="831">
        <v>250000</v>
      </c>
      <c r="N1674" s="646" t="s">
        <v>7219</v>
      </c>
    </row>
    <row r="1675" spans="1:14" ht="27">
      <c r="A1675" s="836">
        <v>38</v>
      </c>
      <c r="B1675" s="1134"/>
      <c r="C1675" s="399" t="s">
        <v>7230</v>
      </c>
      <c r="D1675" s="721" t="s">
        <v>7225</v>
      </c>
      <c r="E1675" s="632" t="s">
        <v>7226</v>
      </c>
      <c r="F1675" s="633" t="s">
        <v>7227</v>
      </c>
      <c r="G1675" s="830" t="s">
        <v>6816</v>
      </c>
      <c r="H1675" s="830" t="s">
        <v>115</v>
      </c>
      <c r="I1675" s="832" t="s">
        <v>3925</v>
      </c>
      <c r="J1675" s="633"/>
      <c r="K1675" s="735" t="s">
        <v>7228</v>
      </c>
      <c r="L1675" s="698" t="s">
        <v>7229</v>
      </c>
      <c r="M1675" s="831">
        <v>750000</v>
      </c>
      <c r="N1675" s="646"/>
    </row>
    <row r="1676" spans="1:14" ht="27">
      <c r="A1676" s="836">
        <v>38</v>
      </c>
      <c r="B1676" s="1134"/>
      <c r="C1676" s="399" t="s">
        <v>7230</v>
      </c>
      <c r="D1676" s="721" t="s">
        <v>7225</v>
      </c>
      <c r="E1676" s="632" t="s">
        <v>7226</v>
      </c>
      <c r="F1676" s="633" t="s">
        <v>7227</v>
      </c>
      <c r="G1676" s="830">
        <v>7065</v>
      </c>
      <c r="H1676" s="830" t="s">
        <v>1895</v>
      </c>
      <c r="I1676" s="832" t="s">
        <v>7231</v>
      </c>
      <c r="J1676" s="633"/>
      <c r="K1676" s="772" t="s">
        <v>7232</v>
      </c>
      <c r="L1676" s="698" t="s">
        <v>7229</v>
      </c>
      <c r="M1676" s="831">
        <v>750000</v>
      </c>
      <c r="N1676" s="646"/>
    </row>
    <row r="1677" spans="1:14" ht="27">
      <c r="A1677" s="836">
        <v>38</v>
      </c>
      <c r="B1677" s="1134"/>
      <c r="C1677" s="399" t="s">
        <v>7230</v>
      </c>
      <c r="D1677" s="721" t="s">
        <v>7225</v>
      </c>
      <c r="E1677" s="632" t="s">
        <v>7226</v>
      </c>
      <c r="F1677" s="633" t="s">
        <v>7227</v>
      </c>
      <c r="G1677" s="830" t="s">
        <v>7223</v>
      </c>
      <c r="H1677" s="830" t="s">
        <v>854</v>
      </c>
      <c r="I1677" s="832" t="s">
        <v>3738</v>
      </c>
      <c r="J1677" s="633"/>
      <c r="K1677" s="772" t="s">
        <v>7232</v>
      </c>
      <c r="L1677" s="698" t="s">
        <v>7229</v>
      </c>
      <c r="M1677" s="831">
        <v>750000</v>
      </c>
      <c r="N1677" s="646"/>
    </row>
    <row r="1678" spans="1:14" ht="27">
      <c r="A1678" s="836">
        <v>38</v>
      </c>
      <c r="B1678" s="1134" t="s">
        <v>21</v>
      </c>
      <c r="C1678" s="399">
        <v>46280</v>
      </c>
      <c r="D1678" s="4" t="s">
        <v>64</v>
      </c>
      <c r="E1678" s="4" t="s">
        <v>14</v>
      </c>
      <c r="F1678" s="829" t="s">
        <v>107</v>
      </c>
      <c r="G1678" s="829" t="s">
        <v>3386</v>
      </c>
      <c r="H1678" s="16" t="s">
        <v>263</v>
      </c>
      <c r="I1678" s="833" t="s">
        <v>7183</v>
      </c>
      <c r="J1678" s="829" t="s">
        <v>90</v>
      </c>
      <c r="K1678" s="829" t="s">
        <v>7345</v>
      </c>
      <c r="L1678" s="125" t="s">
        <v>66</v>
      </c>
      <c r="M1678" s="752">
        <v>250000</v>
      </c>
      <c r="N1678" s="646" t="s">
        <v>7218</v>
      </c>
    </row>
    <row r="1679" spans="1:14">
      <c r="A1679" s="881">
        <v>38</v>
      </c>
      <c r="B1679" s="1135"/>
      <c r="C1679" s="843">
        <v>46287</v>
      </c>
      <c r="D1679" s="844" t="s">
        <v>21</v>
      </c>
      <c r="E1679" s="4" t="s">
        <v>14</v>
      </c>
      <c r="F1679" s="829" t="s">
        <v>1893</v>
      </c>
      <c r="G1679" s="829" t="s">
        <v>3589</v>
      </c>
      <c r="H1679" s="16" t="s">
        <v>7177</v>
      </c>
      <c r="I1679" s="833" t="s">
        <v>7181</v>
      </c>
      <c r="J1679" s="829" t="s">
        <v>202</v>
      </c>
      <c r="K1679" s="833" t="s">
        <v>685</v>
      </c>
      <c r="L1679" s="125" t="s">
        <v>66</v>
      </c>
      <c r="M1679" s="752">
        <v>500000</v>
      </c>
      <c r="N1679" s="646" t="s">
        <v>7235</v>
      </c>
    </row>
    <row r="1680" spans="1:14" ht="27">
      <c r="A1680" s="803">
        <v>39</v>
      </c>
      <c r="B1680" s="952" t="s">
        <v>20</v>
      </c>
      <c r="C1680" s="399" t="s">
        <v>7268</v>
      </c>
      <c r="D1680" s="721" t="s">
        <v>6707</v>
      </c>
      <c r="E1680" s="632" t="s">
        <v>25</v>
      </c>
      <c r="F1680" s="633" t="s">
        <v>5254</v>
      </c>
      <c r="G1680" s="850" t="s">
        <v>6315</v>
      </c>
      <c r="H1680" s="850" t="s">
        <v>18</v>
      </c>
      <c r="I1680" s="851" t="s">
        <v>1105</v>
      </c>
      <c r="J1680" s="633" t="s">
        <v>1259</v>
      </c>
      <c r="K1680" s="851" t="s">
        <v>3251</v>
      </c>
      <c r="L1680" s="698" t="s">
        <v>209</v>
      </c>
      <c r="M1680" s="849">
        <f>250000*5</f>
        <v>1250000</v>
      </c>
      <c r="N1680" s="646"/>
    </row>
    <row r="1681" spans="1:14" ht="27">
      <c r="A1681" s="803">
        <v>39</v>
      </c>
      <c r="B1681" s="952"/>
      <c r="C1681" s="399" t="s">
        <v>7268</v>
      </c>
      <c r="D1681" s="721" t="s">
        <v>6707</v>
      </c>
      <c r="E1681" s="632" t="s">
        <v>25</v>
      </c>
      <c r="F1681" s="633" t="s">
        <v>5254</v>
      </c>
      <c r="G1681" s="850">
        <v>7065</v>
      </c>
      <c r="H1681" s="850" t="s">
        <v>23</v>
      </c>
      <c r="I1681" s="851" t="s">
        <v>378</v>
      </c>
      <c r="J1681" s="633" t="s">
        <v>168</v>
      </c>
      <c r="K1681" s="735" t="s">
        <v>7269</v>
      </c>
      <c r="L1681" s="698" t="s">
        <v>209</v>
      </c>
      <c r="M1681" s="849">
        <f>250000*5</f>
        <v>1250000</v>
      </c>
      <c r="N1681" s="646"/>
    </row>
    <row r="1682" spans="1:14" ht="27">
      <c r="A1682" s="803">
        <v>39</v>
      </c>
      <c r="B1682" s="952"/>
      <c r="C1682" s="399" t="s">
        <v>7270</v>
      </c>
      <c r="D1682" s="721" t="s">
        <v>6707</v>
      </c>
      <c r="E1682" s="632" t="s">
        <v>25</v>
      </c>
      <c r="F1682" s="633" t="s">
        <v>5254</v>
      </c>
      <c r="G1682" s="850" t="s">
        <v>6816</v>
      </c>
      <c r="H1682" s="850" t="s">
        <v>115</v>
      </c>
      <c r="I1682" s="851" t="s">
        <v>378</v>
      </c>
      <c r="J1682" s="633" t="s">
        <v>126</v>
      </c>
      <c r="K1682" s="851" t="s">
        <v>3004</v>
      </c>
      <c r="L1682" s="698" t="s">
        <v>209</v>
      </c>
      <c r="M1682" s="849">
        <v>750000</v>
      </c>
      <c r="N1682" s="646"/>
    </row>
    <row r="1683" spans="1:14" ht="27">
      <c r="A1683" s="803">
        <v>39</v>
      </c>
      <c r="B1683" s="952"/>
      <c r="C1683" s="399" t="s">
        <v>7271</v>
      </c>
      <c r="D1683" s="721" t="s">
        <v>6707</v>
      </c>
      <c r="E1683" s="632" t="s">
        <v>25</v>
      </c>
      <c r="F1683" s="633" t="s">
        <v>5254</v>
      </c>
      <c r="G1683" s="850">
        <v>7065</v>
      </c>
      <c r="H1683" s="850" t="s">
        <v>7018</v>
      </c>
      <c r="I1683" s="851" t="s">
        <v>7272</v>
      </c>
      <c r="J1683" s="633" t="s">
        <v>168</v>
      </c>
      <c r="K1683" s="632" t="s">
        <v>2838</v>
      </c>
      <c r="L1683" s="698"/>
      <c r="M1683" s="849">
        <v>500000</v>
      </c>
      <c r="N1683" s="646"/>
    </row>
    <row r="1684" spans="1:14">
      <c r="A1684" s="803">
        <v>39</v>
      </c>
      <c r="B1684" s="952" t="s">
        <v>21</v>
      </c>
      <c r="C1684" s="399">
        <v>46296</v>
      </c>
      <c r="D1684" s="4" t="s">
        <v>64</v>
      </c>
      <c r="E1684" s="4" t="s">
        <v>30</v>
      </c>
      <c r="F1684" s="848" t="s">
        <v>1895</v>
      </c>
      <c r="G1684" s="848">
        <v>7062</v>
      </c>
      <c r="H1684" s="16" t="s">
        <v>143</v>
      </c>
      <c r="I1684" s="853" t="s">
        <v>7267</v>
      </c>
      <c r="J1684" s="848" t="s">
        <v>2700</v>
      </c>
      <c r="K1684" s="853" t="s">
        <v>845</v>
      </c>
      <c r="L1684" s="125"/>
      <c r="M1684" s="752">
        <v>750000</v>
      </c>
      <c r="N1684" s="646" t="s">
        <v>128</v>
      </c>
    </row>
    <row r="1685" spans="1:14">
      <c r="A1685" s="803">
        <v>39</v>
      </c>
      <c r="B1685" s="952"/>
      <c r="C1685" s="399">
        <v>46297</v>
      </c>
      <c r="D1685" s="4" t="s">
        <v>64</v>
      </c>
      <c r="E1685" s="4" t="s">
        <v>30</v>
      </c>
      <c r="F1685" s="848" t="s">
        <v>1895</v>
      </c>
      <c r="G1685" s="848">
        <v>7062</v>
      </c>
      <c r="H1685" s="16" t="s">
        <v>143</v>
      </c>
      <c r="I1685" s="853" t="s">
        <v>271</v>
      </c>
      <c r="J1685" s="848"/>
      <c r="K1685" s="853" t="s">
        <v>845</v>
      </c>
      <c r="L1685" s="125"/>
      <c r="M1685" s="752">
        <v>750000</v>
      </c>
      <c r="N1685" s="646" t="s">
        <v>128</v>
      </c>
    </row>
    <row r="1686" spans="1:14">
      <c r="A1686" s="803">
        <v>40</v>
      </c>
      <c r="B1686" s="952" t="s">
        <v>20</v>
      </c>
      <c r="C1686" s="399">
        <v>46295</v>
      </c>
      <c r="D1686" s="721" t="s">
        <v>6707</v>
      </c>
      <c r="E1686" s="632" t="s">
        <v>25</v>
      </c>
      <c r="F1686" s="633" t="s">
        <v>5254</v>
      </c>
      <c r="G1686" s="861" t="s">
        <v>5847</v>
      </c>
      <c r="H1686" s="861" t="s">
        <v>7339</v>
      </c>
      <c r="I1686" s="866" t="s">
        <v>7338</v>
      </c>
      <c r="J1686" s="633" t="s">
        <v>4616</v>
      </c>
      <c r="K1686" s="866" t="s">
        <v>686</v>
      </c>
      <c r="L1686" s="698" t="s">
        <v>209</v>
      </c>
      <c r="M1686" s="863">
        <v>250000</v>
      </c>
      <c r="N1686" s="646" t="s">
        <v>7332</v>
      </c>
    </row>
    <row r="1687" spans="1:14">
      <c r="A1687" s="803">
        <v>40</v>
      </c>
      <c r="B1687" s="952"/>
      <c r="C1687" s="399">
        <v>46298</v>
      </c>
      <c r="D1687" s="721" t="s">
        <v>6707</v>
      </c>
      <c r="E1687" s="632" t="s">
        <v>25</v>
      </c>
      <c r="F1687" s="633" t="s">
        <v>5254</v>
      </c>
      <c r="G1687" s="861">
        <v>7065</v>
      </c>
      <c r="H1687" s="861" t="s">
        <v>7018</v>
      </c>
      <c r="I1687" s="866" t="s">
        <v>7330</v>
      </c>
      <c r="J1687" s="633" t="s">
        <v>4616</v>
      </c>
      <c r="K1687" s="632" t="s">
        <v>2838</v>
      </c>
      <c r="L1687" s="698" t="s">
        <v>209</v>
      </c>
      <c r="M1687" s="863">
        <v>1000000</v>
      </c>
      <c r="N1687" s="646" t="s">
        <v>7332</v>
      </c>
    </row>
    <row r="1688" spans="1:14">
      <c r="A1688" s="803">
        <v>40</v>
      </c>
      <c r="B1688" s="952"/>
      <c r="C1688" s="399">
        <v>46300</v>
      </c>
      <c r="D1688" s="721" t="s">
        <v>6707</v>
      </c>
      <c r="E1688" s="632" t="s">
        <v>25</v>
      </c>
      <c r="F1688" s="633" t="s">
        <v>5254</v>
      </c>
      <c r="G1688" s="861">
        <v>7065</v>
      </c>
      <c r="H1688" s="861" t="s">
        <v>7018</v>
      </c>
      <c r="I1688" s="866" t="s">
        <v>7331</v>
      </c>
      <c r="J1688" s="633" t="s">
        <v>4616</v>
      </c>
      <c r="K1688" s="866" t="s">
        <v>3454</v>
      </c>
      <c r="L1688" s="698" t="s">
        <v>209</v>
      </c>
      <c r="M1688" s="863">
        <v>500000</v>
      </c>
      <c r="N1688" s="646" t="s">
        <v>7332</v>
      </c>
    </row>
    <row r="1689" spans="1:14" ht="27">
      <c r="A1689" s="803">
        <v>40</v>
      </c>
      <c r="B1689" s="952"/>
      <c r="C1689" s="399" t="s">
        <v>7333</v>
      </c>
      <c r="D1689" s="721" t="s">
        <v>6707</v>
      </c>
      <c r="E1689" s="632" t="s">
        <v>25</v>
      </c>
      <c r="F1689" s="633" t="s">
        <v>5254</v>
      </c>
      <c r="G1689" s="861">
        <v>7065</v>
      </c>
      <c r="H1689" s="861" t="s">
        <v>7018</v>
      </c>
      <c r="I1689" s="866" t="s">
        <v>1105</v>
      </c>
      <c r="J1689" s="633" t="s">
        <v>4616</v>
      </c>
      <c r="K1689" s="866" t="s">
        <v>845</v>
      </c>
      <c r="L1689" s="698" t="s">
        <v>209</v>
      </c>
      <c r="M1689" s="863">
        <v>750000</v>
      </c>
      <c r="N1689" s="646"/>
    </row>
    <row r="1690" spans="1:14" ht="27">
      <c r="A1690" s="803">
        <v>40</v>
      </c>
      <c r="B1690" s="952"/>
      <c r="C1690" s="399" t="s">
        <v>7333</v>
      </c>
      <c r="D1690" s="721" t="s">
        <v>6707</v>
      </c>
      <c r="E1690" s="632" t="s">
        <v>25</v>
      </c>
      <c r="F1690" s="633" t="s">
        <v>5254</v>
      </c>
      <c r="G1690" s="861" t="s">
        <v>6816</v>
      </c>
      <c r="H1690" s="861" t="s">
        <v>115</v>
      </c>
      <c r="I1690" s="866" t="s">
        <v>378</v>
      </c>
      <c r="J1690" s="633"/>
      <c r="K1690" s="866" t="s">
        <v>7337</v>
      </c>
      <c r="L1690" s="698" t="s">
        <v>209</v>
      </c>
      <c r="M1690" s="863">
        <v>750000</v>
      </c>
      <c r="N1690" s="646"/>
    </row>
    <row r="1691" spans="1:14" ht="27">
      <c r="A1691" s="803">
        <v>40</v>
      </c>
      <c r="B1691" s="952"/>
      <c r="C1691" s="399" t="s">
        <v>7335</v>
      </c>
      <c r="D1691" s="721" t="s">
        <v>6707</v>
      </c>
      <c r="E1691" s="632" t="s">
        <v>25</v>
      </c>
      <c r="F1691" s="633" t="s">
        <v>5254</v>
      </c>
      <c r="G1691" s="861">
        <v>7065</v>
      </c>
      <c r="H1691" s="861" t="s">
        <v>3421</v>
      </c>
      <c r="I1691" s="866" t="s">
        <v>378</v>
      </c>
      <c r="J1691" s="633" t="s">
        <v>126</v>
      </c>
      <c r="K1691" s="866" t="s">
        <v>2838</v>
      </c>
      <c r="L1691" s="698" t="s">
        <v>209</v>
      </c>
      <c r="M1691" s="863">
        <v>500000</v>
      </c>
      <c r="N1691" s="646"/>
    </row>
    <row r="1692" spans="1:14">
      <c r="A1692" s="803">
        <v>40</v>
      </c>
      <c r="B1692" s="952"/>
      <c r="C1692" s="399">
        <v>46303</v>
      </c>
      <c r="D1692" s="721" t="s">
        <v>6707</v>
      </c>
      <c r="E1692" s="632" t="s">
        <v>25</v>
      </c>
      <c r="F1692" s="633" t="s">
        <v>5254</v>
      </c>
      <c r="G1692" s="861">
        <v>2729</v>
      </c>
      <c r="H1692" s="861" t="s">
        <v>361</v>
      </c>
      <c r="I1692" s="866" t="s">
        <v>7334</v>
      </c>
      <c r="J1692" s="633"/>
      <c r="K1692" s="866" t="s">
        <v>3454</v>
      </c>
      <c r="L1692" s="698" t="s">
        <v>209</v>
      </c>
      <c r="M1692" s="863">
        <v>250000</v>
      </c>
      <c r="N1692" s="646"/>
    </row>
    <row r="1693" spans="1:14" ht="27">
      <c r="A1693" s="803">
        <v>40</v>
      </c>
      <c r="B1693" s="952" t="s">
        <v>21</v>
      </c>
      <c r="C1693" s="399">
        <v>46303</v>
      </c>
      <c r="D1693" s="4" t="s">
        <v>21</v>
      </c>
      <c r="E1693" s="4" t="s">
        <v>31</v>
      </c>
      <c r="F1693" s="868" t="s">
        <v>7279</v>
      </c>
      <c r="G1693" s="864" t="s">
        <v>270</v>
      </c>
      <c r="H1693" s="16" t="s">
        <v>6284</v>
      </c>
      <c r="I1693" s="868" t="s">
        <v>7336</v>
      </c>
      <c r="J1693" s="864"/>
      <c r="K1693" s="864" t="s">
        <v>641</v>
      </c>
      <c r="L1693" s="125" t="s">
        <v>15</v>
      </c>
      <c r="M1693" s="752">
        <v>500000</v>
      </c>
      <c r="N1693" s="646" t="s">
        <v>128</v>
      </c>
    </row>
    <row r="1694" spans="1:14">
      <c r="A1694" s="803">
        <v>40</v>
      </c>
      <c r="B1694" s="952"/>
      <c r="C1694" s="369">
        <v>46305</v>
      </c>
      <c r="D1694" s="4" t="s">
        <v>138</v>
      </c>
      <c r="E1694" s="4" t="s">
        <v>14</v>
      </c>
      <c r="F1694" s="864" t="s">
        <v>1787</v>
      </c>
      <c r="G1694" s="864" t="s">
        <v>2978</v>
      </c>
      <c r="H1694" s="16" t="s">
        <v>23</v>
      </c>
      <c r="I1694" s="868" t="s">
        <v>7200</v>
      </c>
      <c r="J1694" s="864"/>
      <c r="K1694" s="864" t="s">
        <v>641</v>
      </c>
      <c r="L1694" s="125" t="s">
        <v>15</v>
      </c>
      <c r="M1694" s="752">
        <v>500000</v>
      </c>
      <c r="N1694" s="646" t="s">
        <v>6436</v>
      </c>
    </row>
    <row r="1695" spans="1:14">
      <c r="A1695" s="900">
        <v>41</v>
      </c>
      <c r="B1695" s="1146" t="s">
        <v>307</v>
      </c>
      <c r="C1695" s="891" t="s">
        <v>7460</v>
      </c>
      <c r="D1695" s="892" t="s">
        <v>7461</v>
      </c>
      <c r="E1695" s="892" t="s">
        <v>322</v>
      </c>
      <c r="F1695" s="893" t="s">
        <v>5400</v>
      </c>
      <c r="G1695" s="894">
        <v>7065</v>
      </c>
      <c r="H1695" s="894" t="s">
        <v>7459</v>
      </c>
      <c r="I1695" s="893" t="s">
        <v>7462</v>
      </c>
      <c r="J1695" s="893" t="s">
        <v>1534</v>
      </c>
      <c r="K1695" s="893" t="s">
        <v>692</v>
      </c>
      <c r="L1695" s="895" t="s">
        <v>309</v>
      </c>
      <c r="M1695" s="752">
        <v>500000</v>
      </c>
      <c r="N1695" s="895" t="s">
        <v>7463</v>
      </c>
    </row>
    <row r="1696" spans="1:14">
      <c r="A1696" s="900">
        <v>41</v>
      </c>
      <c r="B1696" s="948"/>
      <c r="C1696" s="896" t="s">
        <v>7460</v>
      </c>
      <c r="D1696" s="892" t="s">
        <v>7461</v>
      </c>
      <c r="E1696" s="892" t="s">
        <v>322</v>
      </c>
      <c r="F1696" s="893" t="s">
        <v>5400</v>
      </c>
      <c r="G1696" s="894">
        <v>7065</v>
      </c>
      <c r="H1696" s="894" t="s">
        <v>329</v>
      </c>
      <c r="I1696" s="893" t="s">
        <v>7464</v>
      </c>
      <c r="J1696" s="893" t="s">
        <v>7465</v>
      </c>
      <c r="K1696" s="893" t="s">
        <v>3105</v>
      </c>
      <c r="L1696" s="895" t="s">
        <v>309</v>
      </c>
      <c r="M1696" s="901">
        <v>250000</v>
      </c>
      <c r="N1696" s="895" t="s">
        <v>7463</v>
      </c>
    </row>
    <row r="1697" spans="1:14">
      <c r="A1697" s="900">
        <v>41</v>
      </c>
      <c r="B1697" s="948"/>
      <c r="C1697" s="896" t="s">
        <v>7466</v>
      </c>
      <c r="D1697" s="892" t="s">
        <v>7461</v>
      </c>
      <c r="E1697" s="892" t="s">
        <v>322</v>
      </c>
      <c r="F1697" s="893" t="s">
        <v>5400</v>
      </c>
      <c r="G1697" s="894" t="s">
        <v>7458</v>
      </c>
      <c r="H1697" s="894" t="s">
        <v>662</v>
      </c>
      <c r="I1697" s="893" t="s">
        <v>1096</v>
      </c>
      <c r="J1697" s="893" t="s">
        <v>7467</v>
      </c>
      <c r="K1697" s="893" t="s">
        <v>7468</v>
      </c>
      <c r="L1697" s="895" t="s">
        <v>309</v>
      </c>
      <c r="M1697" s="901">
        <v>250000</v>
      </c>
      <c r="N1697" s="895"/>
    </row>
    <row r="1698" spans="1:14" ht="24">
      <c r="A1698" s="900">
        <v>41</v>
      </c>
      <c r="B1698" s="948"/>
      <c r="C1698" s="896" t="s">
        <v>7469</v>
      </c>
      <c r="D1698" s="892" t="s">
        <v>7461</v>
      </c>
      <c r="E1698" s="892" t="s">
        <v>322</v>
      </c>
      <c r="F1698" s="893" t="s">
        <v>5400</v>
      </c>
      <c r="G1698" s="894">
        <v>7065</v>
      </c>
      <c r="H1698" s="894" t="s">
        <v>6915</v>
      </c>
      <c r="I1698" s="893" t="s">
        <v>1096</v>
      </c>
      <c r="J1698" s="893" t="s">
        <v>7467</v>
      </c>
      <c r="K1698" s="893" t="s">
        <v>7470</v>
      </c>
      <c r="L1698" s="895" t="s">
        <v>309</v>
      </c>
      <c r="M1698" s="901">
        <v>1000000</v>
      </c>
      <c r="N1698" s="895"/>
    </row>
    <row r="1699" spans="1:14" ht="24">
      <c r="A1699" s="900">
        <v>41</v>
      </c>
      <c r="B1699" s="948"/>
      <c r="C1699" s="896" t="s">
        <v>7471</v>
      </c>
      <c r="D1699" s="892" t="s">
        <v>7461</v>
      </c>
      <c r="E1699" s="892" t="s">
        <v>322</v>
      </c>
      <c r="F1699" s="893" t="s">
        <v>5400</v>
      </c>
      <c r="G1699" s="894" t="s">
        <v>7458</v>
      </c>
      <c r="H1699" s="894" t="s">
        <v>662</v>
      </c>
      <c r="I1699" s="893" t="s">
        <v>4965</v>
      </c>
      <c r="J1699" s="893" t="s">
        <v>7472</v>
      </c>
      <c r="K1699" s="893" t="s">
        <v>3182</v>
      </c>
      <c r="L1699" s="895" t="s">
        <v>309</v>
      </c>
      <c r="M1699" s="901">
        <v>1250000</v>
      </c>
      <c r="N1699" s="895"/>
    </row>
    <row r="1700" spans="1:14" ht="24">
      <c r="A1700" s="900">
        <v>41</v>
      </c>
      <c r="B1700" s="948"/>
      <c r="C1700" s="896" t="s">
        <v>7471</v>
      </c>
      <c r="D1700" s="892" t="s">
        <v>7461</v>
      </c>
      <c r="E1700" s="892" t="s">
        <v>322</v>
      </c>
      <c r="F1700" s="893" t="s">
        <v>5400</v>
      </c>
      <c r="G1700" s="894" t="s">
        <v>7473</v>
      </c>
      <c r="H1700" s="894" t="s">
        <v>640</v>
      </c>
      <c r="I1700" s="893" t="s">
        <v>7474</v>
      </c>
      <c r="J1700" s="893" t="s">
        <v>1534</v>
      </c>
      <c r="K1700" s="897" t="s">
        <v>7475</v>
      </c>
      <c r="L1700" s="895" t="s">
        <v>309</v>
      </c>
      <c r="M1700" s="901">
        <v>2250000</v>
      </c>
      <c r="N1700" s="895"/>
    </row>
    <row r="1701" spans="1:14" ht="24">
      <c r="A1701" s="900">
        <v>41</v>
      </c>
      <c r="B1701" s="948"/>
      <c r="C1701" s="896" t="s">
        <v>7476</v>
      </c>
      <c r="D1701" s="892" t="s">
        <v>7461</v>
      </c>
      <c r="E1701" s="892" t="s">
        <v>322</v>
      </c>
      <c r="F1701" s="893" t="s">
        <v>5400</v>
      </c>
      <c r="G1701" s="894">
        <v>7065</v>
      </c>
      <c r="H1701" s="894" t="s">
        <v>7459</v>
      </c>
      <c r="I1701" s="893" t="s">
        <v>4915</v>
      </c>
      <c r="J1701" s="893" t="s">
        <v>1534</v>
      </c>
      <c r="K1701" s="893" t="s">
        <v>692</v>
      </c>
      <c r="L1701" s="895" t="s">
        <v>309</v>
      </c>
      <c r="M1701" s="901">
        <v>50000</v>
      </c>
      <c r="N1701" s="895"/>
    </row>
    <row r="1702" spans="1:14">
      <c r="A1702" s="900">
        <v>41</v>
      </c>
      <c r="B1702" s="1147" t="s">
        <v>311</v>
      </c>
      <c r="C1702" s="908" t="s">
        <v>7477</v>
      </c>
      <c r="D1702" s="895" t="s">
        <v>311</v>
      </c>
      <c r="E1702" s="895" t="s">
        <v>320</v>
      </c>
      <c r="F1702" s="894" t="s">
        <v>7478</v>
      </c>
      <c r="G1702" s="894" t="s">
        <v>5449</v>
      </c>
      <c r="H1702" s="894" t="s">
        <v>662</v>
      </c>
      <c r="I1702" s="898" t="s">
        <v>5005</v>
      </c>
      <c r="J1702" s="899"/>
      <c r="K1702" s="894" t="s">
        <v>698</v>
      </c>
      <c r="L1702" s="895" t="s">
        <v>309</v>
      </c>
      <c r="M1702" s="902">
        <v>250000</v>
      </c>
      <c r="N1702" s="895" t="s">
        <v>7463</v>
      </c>
    </row>
    <row r="1703" spans="1:14">
      <c r="A1703" s="900">
        <v>41</v>
      </c>
      <c r="B1703" s="948"/>
      <c r="C1703" s="891" t="s">
        <v>7479</v>
      </c>
      <c r="D1703" s="895" t="s">
        <v>311</v>
      </c>
      <c r="E1703" s="895" t="s">
        <v>320</v>
      </c>
      <c r="F1703" s="894" t="s">
        <v>7478</v>
      </c>
      <c r="G1703" s="894" t="s">
        <v>5449</v>
      </c>
      <c r="H1703" s="894" t="s">
        <v>662</v>
      </c>
      <c r="I1703" s="898" t="s">
        <v>5005</v>
      </c>
      <c r="J1703" s="899"/>
      <c r="K1703" s="894" t="s">
        <v>698</v>
      </c>
      <c r="L1703" s="895" t="s">
        <v>309</v>
      </c>
      <c r="M1703" s="902">
        <v>250000</v>
      </c>
      <c r="N1703" s="895" t="s">
        <v>7463</v>
      </c>
    </row>
    <row r="1704" spans="1:14">
      <c r="A1704" s="900">
        <v>41</v>
      </c>
      <c r="B1704" s="948"/>
      <c r="C1704" s="896" t="s">
        <v>7466</v>
      </c>
      <c r="D1704" s="895" t="s">
        <v>311</v>
      </c>
      <c r="E1704" s="895" t="s">
        <v>320</v>
      </c>
      <c r="F1704" s="894" t="s">
        <v>690</v>
      </c>
      <c r="G1704" s="894" t="s">
        <v>5004</v>
      </c>
      <c r="H1704" s="894" t="s">
        <v>1814</v>
      </c>
      <c r="I1704" s="894" t="s">
        <v>7480</v>
      </c>
      <c r="J1704" s="894"/>
      <c r="K1704" s="894" t="s">
        <v>713</v>
      </c>
      <c r="L1704" s="895" t="s">
        <v>309</v>
      </c>
      <c r="M1704" s="902">
        <v>250000</v>
      </c>
      <c r="N1704" s="895" t="s">
        <v>726</v>
      </c>
    </row>
    <row r="1705" spans="1:14">
      <c r="A1705" s="900">
        <v>41</v>
      </c>
      <c r="B1705" s="948"/>
      <c r="C1705" s="896" t="s">
        <v>7481</v>
      </c>
      <c r="D1705" s="895" t="s">
        <v>311</v>
      </c>
      <c r="E1705" s="895" t="s">
        <v>320</v>
      </c>
      <c r="F1705" s="894" t="s">
        <v>6915</v>
      </c>
      <c r="G1705" s="894">
        <v>7062</v>
      </c>
      <c r="H1705" s="894" t="s">
        <v>1198</v>
      </c>
      <c r="I1705" s="894" t="s">
        <v>7482</v>
      </c>
      <c r="J1705" s="894"/>
      <c r="K1705" s="894" t="s">
        <v>7483</v>
      </c>
      <c r="L1705" s="895" t="s">
        <v>309</v>
      </c>
      <c r="M1705" s="902">
        <v>250000</v>
      </c>
      <c r="N1705" s="895" t="s">
        <v>1206</v>
      </c>
    </row>
    <row r="1706" spans="1:14">
      <c r="A1706" s="900">
        <v>41</v>
      </c>
      <c r="B1706" s="948"/>
      <c r="C1706" s="896" t="s">
        <v>7484</v>
      </c>
      <c r="D1706" s="895" t="s">
        <v>311</v>
      </c>
      <c r="E1706" s="895" t="s">
        <v>320</v>
      </c>
      <c r="F1706" s="894" t="s">
        <v>6915</v>
      </c>
      <c r="G1706" s="894">
        <v>7062</v>
      </c>
      <c r="H1706" s="894" t="s">
        <v>1198</v>
      </c>
      <c r="I1706" s="894" t="s">
        <v>7485</v>
      </c>
      <c r="J1706" s="894"/>
      <c r="K1706" s="894" t="s">
        <v>7483</v>
      </c>
      <c r="L1706" s="895" t="s">
        <v>309</v>
      </c>
      <c r="M1706" s="902">
        <v>250000</v>
      </c>
      <c r="N1706" s="895" t="s">
        <v>1206</v>
      </c>
    </row>
    <row r="1707" spans="1:14">
      <c r="A1707" s="900">
        <v>42</v>
      </c>
      <c r="B1707" s="947" t="s">
        <v>307</v>
      </c>
      <c r="C1707" s="908" t="s">
        <v>7531</v>
      </c>
      <c r="D1707" s="892" t="s">
        <v>7461</v>
      </c>
      <c r="E1707" s="892" t="s">
        <v>322</v>
      </c>
      <c r="F1707" s="893" t="s">
        <v>5400</v>
      </c>
      <c r="G1707" s="894" t="s">
        <v>7473</v>
      </c>
      <c r="H1707" s="894" t="s">
        <v>7532</v>
      </c>
      <c r="I1707" s="893" t="s">
        <v>7533</v>
      </c>
      <c r="J1707" s="893" t="s">
        <v>1534</v>
      </c>
      <c r="K1707" s="893" t="s">
        <v>3105</v>
      </c>
      <c r="L1707" s="895" t="s">
        <v>324</v>
      </c>
      <c r="M1707" s="902">
        <v>250000</v>
      </c>
      <c r="N1707" s="895" t="s">
        <v>7534</v>
      </c>
    </row>
    <row r="1708" spans="1:14" ht="24">
      <c r="A1708" s="900">
        <v>42</v>
      </c>
      <c r="B1708" s="948"/>
      <c r="C1708" s="891" t="s">
        <v>7535</v>
      </c>
      <c r="D1708" s="892" t="s">
        <v>7461</v>
      </c>
      <c r="E1708" s="892" t="s">
        <v>322</v>
      </c>
      <c r="F1708" s="893" t="s">
        <v>5400</v>
      </c>
      <c r="G1708" s="894" t="s">
        <v>7473</v>
      </c>
      <c r="H1708" s="894" t="s">
        <v>367</v>
      </c>
      <c r="I1708" s="893" t="s">
        <v>7536</v>
      </c>
      <c r="J1708" s="893" t="s">
        <v>7537</v>
      </c>
      <c r="K1708" s="893" t="s">
        <v>7538</v>
      </c>
      <c r="L1708" s="895" t="s">
        <v>324</v>
      </c>
      <c r="M1708" s="901">
        <v>1250000</v>
      </c>
      <c r="N1708" s="895"/>
    </row>
    <row r="1709" spans="1:14" ht="24">
      <c r="A1709" s="900">
        <v>42</v>
      </c>
      <c r="B1709" s="948"/>
      <c r="C1709" s="896" t="s">
        <v>7539</v>
      </c>
      <c r="D1709" s="892" t="s">
        <v>7461</v>
      </c>
      <c r="E1709" s="892" t="s">
        <v>322</v>
      </c>
      <c r="F1709" s="893" t="s">
        <v>5400</v>
      </c>
      <c r="G1709" s="894" t="s">
        <v>7458</v>
      </c>
      <c r="H1709" s="894" t="s">
        <v>662</v>
      </c>
      <c r="I1709" s="893" t="s">
        <v>310</v>
      </c>
      <c r="J1709" s="893" t="s">
        <v>1111</v>
      </c>
      <c r="K1709" s="893" t="s">
        <v>4943</v>
      </c>
      <c r="L1709" s="895" t="s">
        <v>324</v>
      </c>
      <c r="M1709" s="901">
        <v>750000</v>
      </c>
      <c r="N1709" s="895"/>
    </row>
    <row r="1710" spans="1:14" ht="24">
      <c r="A1710" s="900">
        <v>42</v>
      </c>
      <c r="B1710" s="948"/>
      <c r="C1710" s="896" t="s">
        <v>7540</v>
      </c>
      <c r="D1710" s="892" t="s">
        <v>7461</v>
      </c>
      <c r="E1710" s="892" t="s">
        <v>322</v>
      </c>
      <c r="F1710" s="893" t="s">
        <v>5400</v>
      </c>
      <c r="G1710" s="894">
        <v>7065</v>
      </c>
      <c r="H1710" s="894" t="s">
        <v>7459</v>
      </c>
      <c r="I1710" s="893" t="s">
        <v>4915</v>
      </c>
      <c r="J1710" s="893" t="s">
        <v>1534</v>
      </c>
      <c r="K1710" s="893" t="s">
        <v>3101</v>
      </c>
      <c r="L1710" s="895" t="s">
        <v>324</v>
      </c>
      <c r="M1710" s="901">
        <v>500000</v>
      </c>
      <c r="N1710" s="895"/>
    </row>
    <row r="1711" spans="1:14" ht="24">
      <c r="A1711" s="900">
        <v>42</v>
      </c>
      <c r="B1711" s="948"/>
      <c r="C1711" s="896" t="s">
        <v>7541</v>
      </c>
      <c r="D1711" s="919" t="s">
        <v>7461</v>
      </c>
      <c r="E1711" s="919" t="s">
        <v>322</v>
      </c>
      <c r="F1711" s="920" t="s">
        <v>5400</v>
      </c>
      <c r="G1711" s="894" t="s">
        <v>7542</v>
      </c>
      <c r="H1711" s="894" t="s">
        <v>354</v>
      </c>
      <c r="I1711" s="893" t="s">
        <v>4915</v>
      </c>
      <c r="J1711" s="893" t="s">
        <v>1534</v>
      </c>
      <c r="K1711" s="893" t="s">
        <v>3101</v>
      </c>
      <c r="L1711" s="895" t="s">
        <v>324</v>
      </c>
      <c r="M1711" s="901">
        <v>500000</v>
      </c>
      <c r="N1711" s="895"/>
    </row>
    <row r="1712" spans="1:14">
      <c r="A1712" s="900">
        <v>42</v>
      </c>
      <c r="B1712" s="949" t="s">
        <v>311</v>
      </c>
      <c r="C1712" s="921" t="s">
        <v>7543</v>
      </c>
      <c r="D1712" s="922" t="s">
        <v>311</v>
      </c>
      <c r="E1712" s="922" t="s">
        <v>320</v>
      </c>
      <c r="F1712" s="923" t="s">
        <v>337</v>
      </c>
      <c r="G1712" s="894" t="s">
        <v>3054</v>
      </c>
      <c r="H1712" s="894" t="s">
        <v>354</v>
      </c>
      <c r="I1712" s="894" t="s">
        <v>7544</v>
      </c>
      <c r="J1712" s="894" t="s">
        <v>638</v>
      </c>
      <c r="K1712" s="894" t="s">
        <v>713</v>
      </c>
      <c r="L1712" s="895" t="s">
        <v>309</v>
      </c>
      <c r="M1712" s="902">
        <v>250000</v>
      </c>
      <c r="N1712" s="895"/>
    </row>
    <row r="1713" spans="1:14" ht="24">
      <c r="A1713" s="900">
        <v>42</v>
      </c>
      <c r="B1713" s="950"/>
      <c r="C1713" s="896" t="s">
        <v>7545</v>
      </c>
      <c r="D1713" s="895" t="s">
        <v>311</v>
      </c>
      <c r="E1713" s="895" t="s">
        <v>320</v>
      </c>
      <c r="F1713" s="924" t="s">
        <v>337</v>
      </c>
      <c r="G1713" s="894" t="s">
        <v>7542</v>
      </c>
      <c r="H1713" s="894" t="s">
        <v>354</v>
      </c>
      <c r="I1713" s="894" t="s">
        <v>310</v>
      </c>
      <c r="J1713" s="894" t="s">
        <v>7546</v>
      </c>
      <c r="K1713" s="894" t="s">
        <v>7547</v>
      </c>
      <c r="L1713" s="895" t="s">
        <v>309</v>
      </c>
      <c r="M1713" s="902">
        <v>500000</v>
      </c>
      <c r="N1713" s="895"/>
    </row>
    <row r="1714" spans="1:14">
      <c r="A1714" s="900">
        <v>42</v>
      </c>
      <c r="B1714" s="951"/>
      <c r="C1714" s="925" t="s">
        <v>7548</v>
      </c>
      <c r="D1714" s="926" t="s">
        <v>311</v>
      </c>
      <c r="E1714" s="926" t="s">
        <v>320</v>
      </c>
      <c r="F1714" s="674" t="s">
        <v>337</v>
      </c>
      <c r="G1714" s="894" t="s">
        <v>7542</v>
      </c>
      <c r="H1714" s="894" t="s">
        <v>354</v>
      </c>
      <c r="I1714" s="894" t="s">
        <v>310</v>
      </c>
      <c r="J1714" s="894"/>
      <c r="K1714" s="894" t="s">
        <v>7547</v>
      </c>
      <c r="L1714" s="895" t="s">
        <v>309</v>
      </c>
      <c r="M1714" s="902">
        <v>500000</v>
      </c>
      <c r="N1714" s="895"/>
    </row>
    <row r="1715" spans="1:14" ht="27">
      <c r="A1715" s="1244">
        <v>43</v>
      </c>
      <c r="B1715" s="952" t="s">
        <v>20</v>
      </c>
      <c r="C1715" s="399" t="s">
        <v>7550</v>
      </c>
      <c r="D1715" s="721" t="s">
        <v>6707</v>
      </c>
      <c r="E1715" s="632" t="s">
        <v>25</v>
      </c>
      <c r="F1715" s="633" t="s">
        <v>5254</v>
      </c>
      <c r="G1715" s="931">
        <v>7065</v>
      </c>
      <c r="H1715" s="931" t="s">
        <v>1391</v>
      </c>
      <c r="I1715" s="936" t="s">
        <v>1105</v>
      </c>
      <c r="J1715" s="633" t="s">
        <v>1259</v>
      </c>
      <c r="K1715" s="936" t="s">
        <v>3004</v>
      </c>
      <c r="L1715" s="698" t="s">
        <v>209</v>
      </c>
      <c r="M1715" s="932">
        <f>250000*3</f>
        <v>750000</v>
      </c>
      <c r="N1715" s="646"/>
    </row>
    <row r="1716" spans="1:14" ht="27">
      <c r="A1716" s="1244">
        <v>43</v>
      </c>
      <c r="B1716" s="952"/>
      <c r="C1716" s="399" t="s">
        <v>7551</v>
      </c>
      <c r="D1716" s="721" t="s">
        <v>6707</v>
      </c>
      <c r="E1716" s="632" t="s">
        <v>25</v>
      </c>
      <c r="F1716" s="633" t="s">
        <v>5254</v>
      </c>
      <c r="G1716" s="931" t="s">
        <v>6315</v>
      </c>
      <c r="H1716" s="931" t="s">
        <v>361</v>
      </c>
      <c r="I1716" s="936" t="s">
        <v>1105</v>
      </c>
      <c r="J1716" s="633" t="s">
        <v>1259</v>
      </c>
      <c r="K1716" s="936" t="s">
        <v>2838</v>
      </c>
      <c r="L1716" s="698" t="s">
        <v>209</v>
      </c>
      <c r="M1716" s="932">
        <f>250000*2</f>
        <v>500000</v>
      </c>
      <c r="N1716" s="646"/>
    </row>
    <row r="1717" spans="1:14">
      <c r="A1717" s="1244">
        <v>43</v>
      </c>
      <c r="B1717" s="952"/>
      <c r="C1717" s="399">
        <v>46321</v>
      </c>
      <c r="D1717" s="721" t="s">
        <v>6707</v>
      </c>
      <c r="E1717" s="632" t="s">
        <v>25</v>
      </c>
      <c r="F1717" s="633" t="s">
        <v>5254</v>
      </c>
      <c r="G1717" s="931" t="s">
        <v>6315</v>
      </c>
      <c r="H1717" s="931" t="s">
        <v>264</v>
      </c>
      <c r="I1717" s="936" t="s">
        <v>378</v>
      </c>
      <c r="J1717" s="633" t="s">
        <v>126</v>
      </c>
      <c r="K1717" s="936" t="s">
        <v>2828</v>
      </c>
      <c r="L1717" s="698" t="s">
        <v>209</v>
      </c>
      <c r="M1717" s="932">
        <v>250000</v>
      </c>
      <c r="N1717" s="646"/>
    </row>
    <row r="1718" spans="1:14">
      <c r="A1718" s="1244">
        <v>43</v>
      </c>
      <c r="B1718" s="952"/>
      <c r="C1718" s="399">
        <v>46322</v>
      </c>
      <c r="D1718" s="721" t="s">
        <v>6707</v>
      </c>
      <c r="E1718" s="632" t="s">
        <v>25</v>
      </c>
      <c r="F1718" s="633" t="s">
        <v>5254</v>
      </c>
      <c r="G1718" s="931" t="s">
        <v>6315</v>
      </c>
      <c r="H1718" s="931" t="s">
        <v>361</v>
      </c>
      <c r="I1718" s="936" t="s">
        <v>7552</v>
      </c>
      <c r="J1718" s="633" t="s">
        <v>126</v>
      </c>
      <c r="K1718" s="936" t="s">
        <v>2828</v>
      </c>
      <c r="L1718" s="698" t="s">
        <v>209</v>
      </c>
      <c r="M1718" s="932">
        <v>250000</v>
      </c>
      <c r="N1718" s="646"/>
    </row>
    <row r="1719" spans="1:14">
      <c r="A1719" s="1244">
        <v>43</v>
      </c>
      <c r="B1719" s="952"/>
      <c r="C1719" s="399">
        <v>46323</v>
      </c>
      <c r="D1719" s="721" t="s">
        <v>6707</v>
      </c>
      <c r="E1719" s="632" t="s">
        <v>25</v>
      </c>
      <c r="F1719" s="633" t="s">
        <v>5254</v>
      </c>
      <c r="G1719" s="931" t="s">
        <v>6527</v>
      </c>
      <c r="H1719" s="931" t="s">
        <v>7553</v>
      </c>
      <c r="I1719" s="936" t="s">
        <v>7552</v>
      </c>
      <c r="J1719" s="633" t="s">
        <v>126</v>
      </c>
      <c r="K1719" s="936" t="s">
        <v>2828</v>
      </c>
      <c r="L1719" s="698" t="s">
        <v>209</v>
      </c>
      <c r="M1719" s="932">
        <v>250000</v>
      </c>
      <c r="N1719" s="646"/>
    </row>
    <row r="1720" spans="1:14" ht="27">
      <c r="A1720" s="1244">
        <v>43</v>
      </c>
      <c r="B1720" s="952"/>
      <c r="C1720" s="399" t="s">
        <v>7551</v>
      </c>
      <c r="D1720" s="721" t="s">
        <v>6707</v>
      </c>
      <c r="E1720" s="632" t="s">
        <v>25</v>
      </c>
      <c r="F1720" s="633" t="s">
        <v>5254</v>
      </c>
      <c r="G1720" s="931">
        <v>7065</v>
      </c>
      <c r="H1720" s="931" t="s">
        <v>7558</v>
      </c>
      <c r="I1720" s="936" t="s">
        <v>378</v>
      </c>
      <c r="J1720" s="633" t="s">
        <v>126</v>
      </c>
      <c r="K1720" s="936" t="s">
        <v>2838</v>
      </c>
      <c r="L1720" s="698" t="s">
        <v>209</v>
      </c>
      <c r="M1720" s="932">
        <v>500000</v>
      </c>
      <c r="N1720" s="646"/>
    </row>
    <row r="1721" spans="1:14" ht="27">
      <c r="A1721" s="1244">
        <v>43</v>
      </c>
      <c r="B1721" s="952"/>
      <c r="C1721" s="399" t="s">
        <v>7556</v>
      </c>
      <c r="D1721" s="721" t="s">
        <v>6707</v>
      </c>
      <c r="E1721" s="632" t="s">
        <v>25</v>
      </c>
      <c r="F1721" s="633" t="s">
        <v>5254</v>
      </c>
      <c r="G1721" s="931" t="s">
        <v>7554</v>
      </c>
      <c r="H1721" s="931" t="s">
        <v>7555</v>
      </c>
      <c r="I1721" s="936" t="s">
        <v>5856</v>
      </c>
      <c r="J1721" s="633" t="s">
        <v>4605</v>
      </c>
      <c r="K1721" s="936" t="s">
        <v>7557</v>
      </c>
      <c r="L1721" s="698" t="s">
        <v>209</v>
      </c>
      <c r="M1721" s="932">
        <f>250000*5</f>
        <v>1250000</v>
      </c>
      <c r="N1721" s="646"/>
    </row>
    <row r="1722" spans="1:14">
      <c r="A1722" s="1244">
        <v>43</v>
      </c>
      <c r="B1722" s="952" t="s">
        <v>21</v>
      </c>
      <c r="C1722" s="399">
        <v>46318</v>
      </c>
      <c r="D1722" s="4" t="s">
        <v>21</v>
      </c>
      <c r="E1722" s="4" t="s">
        <v>14</v>
      </c>
      <c r="F1722" s="930" t="s">
        <v>107</v>
      </c>
      <c r="G1722" s="930" t="s">
        <v>2959</v>
      </c>
      <c r="H1722" s="16" t="s">
        <v>143</v>
      </c>
      <c r="I1722" s="935" t="s">
        <v>7505</v>
      </c>
      <c r="J1722" s="930"/>
      <c r="K1722" s="930" t="s">
        <v>7509</v>
      </c>
      <c r="L1722" s="125" t="s">
        <v>15</v>
      </c>
      <c r="M1722" s="752">
        <v>500000</v>
      </c>
      <c r="N1722" s="646" t="s">
        <v>7549</v>
      </c>
    </row>
    <row r="1723" spans="1:14">
      <c r="A1723" s="1244">
        <v>43</v>
      </c>
      <c r="B1723" s="952"/>
      <c r="C1723" s="399">
        <v>46321</v>
      </c>
      <c r="D1723" s="4" t="s">
        <v>21</v>
      </c>
      <c r="E1723" s="4" t="s">
        <v>14</v>
      </c>
      <c r="F1723" s="930" t="s">
        <v>107</v>
      </c>
      <c r="G1723" s="930" t="s">
        <v>7423</v>
      </c>
      <c r="H1723" s="16" t="s">
        <v>143</v>
      </c>
      <c r="I1723" s="935" t="s">
        <v>3607</v>
      </c>
      <c r="J1723" s="930"/>
      <c r="K1723" s="930" t="s">
        <v>794</v>
      </c>
      <c r="L1723" s="125" t="s">
        <v>15</v>
      </c>
      <c r="M1723" s="752">
        <v>500000</v>
      </c>
      <c r="N1723" s="646" t="s">
        <v>807</v>
      </c>
    </row>
    <row r="1724" spans="1:14" ht="27">
      <c r="A1724" s="1244">
        <v>43</v>
      </c>
      <c r="B1724" s="952"/>
      <c r="C1724" s="369">
        <v>46325</v>
      </c>
      <c r="D1724" s="4" t="s">
        <v>21</v>
      </c>
      <c r="E1724" s="4" t="s">
        <v>17</v>
      </c>
      <c r="F1724" s="935" t="s">
        <v>7389</v>
      </c>
      <c r="G1724" s="930" t="s">
        <v>1529</v>
      </c>
      <c r="H1724" s="16" t="s">
        <v>23</v>
      </c>
      <c r="I1724" s="935" t="s">
        <v>7530</v>
      </c>
      <c r="J1724" s="930"/>
      <c r="K1724" s="930" t="s">
        <v>794</v>
      </c>
      <c r="L1724" s="125" t="s">
        <v>15</v>
      </c>
      <c r="M1724" s="752">
        <v>500000</v>
      </c>
      <c r="N1724" s="646" t="s">
        <v>807</v>
      </c>
    </row>
  </sheetData>
  <mergeCells count="1106">
    <mergeCell ref="B1715:B1721"/>
    <mergeCell ref="B1722:B1724"/>
    <mergeCell ref="B1695:B1701"/>
    <mergeCell ref="B1702:B1706"/>
    <mergeCell ref="N1571:N1572"/>
    <mergeCell ref="K1576:K1577"/>
    <mergeCell ref="M1576:M1577"/>
    <mergeCell ref="K1581:K1582"/>
    <mergeCell ref="M1581:M1582"/>
    <mergeCell ref="K1583:K1584"/>
    <mergeCell ref="M1583:M1584"/>
    <mergeCell ref="B1604:B1610"/>
    <mergeCell ref="B1632:B1635"/>
    <mergeCell ref="B1636:B1645"/>
    <mergeCell ref="N1636:N1637"/>
    <mergeCell ref="B1527:B1532"/>
    <mergeCell ref="B1533:B1540"/>
    <mergeCell ref="N1594:N1598"/>
    <mergeCell ref="B1680:B1683"/>
    <mergeCell ref="B1684:B1685"/>
    <mergeCell ref="B1673:B1677"/>
    <mergeCell ref="B1678:B1679"/>
    <mergeCell ref="B1646:B1651"/>
    <mergeCell ref="B1652:B1659"/>
    <mergeCell ref="K1654:K1655"/>
    <mergeCell ref="M1654:M1655"/>
    <mergeCell ref="K1657:K1658"/>
    <mergeCell ref="M1657:M1658"/>
    <mergeCell ref="B1622:B1624"/>
    <mergeCell ref="B1625:B1631"/>
    <mergeCell ref="B1611:B1613"/>
    <mergeCell ref="B1614:B1621"/>
    <mergeCell ref="B1585:B1586"/>
    <mergeCell ref="B1587:B1592"/>
    <mergeCell ref="B1660:B1666"/>
    <mergeCell ref="B1667:B1672"/>
    <mergeCell ref="B1466:B1470"/>
    <mergeCell ref="B1471:B1485"/>
    <mergeCell ref="J1474:J1475"/>
    <mergeCell ref="K1474:K1475"/>
    <mergeCell ref="M1474:M1475"/>
    <mergeCell ref="B1557:B1560"/>
    <mergeCell ref="B1561:B1569"/>
    <mergeCell ref="K1563:K1565"/>
    <mergeCell ref="M1563:M1565"/>
    <mergeCell ref="B1541:B1546"/>
    <mergeCell ref="B1547:B1556"/>
    <mergeCell ref="K1553:K1554"/>
    <mergeCell ref="M1553:M1554"/>
    <mergeCell ref="B1600:B1603"/>
    <mergeCell ref="B1594:B1599"/>
    <mergeCell ref="B1509:B1514"/>
    <mergeCell ref="B1515:B1526"/>
    <mergeCell ref="B1486:B1492"/>
    <mergeCell ref="B1493:B1508"/>
    <mergeCell ref="B1571:B1584"/>
    <mergeCell ref="K1571:K1572"/>
    <mergeCell ref="M1571:M1572"/>
    <mergeCell ref="B1040:B1048"/>
    <mergeCell ref="B1049:B1053"/>
    <mergeCell ref="B1054:B1071"/>
    <mergeCell ref="B1072:B1074"/>
    <mergeCell ref="B1075:B1090"/>
    <mergeCell ref="B1091:B1099"/>
    <mergeCell ref="B1211:B1217"/>
    <mergeCell ref="C1222:C1223"/>
    <mergeCell ref="D1222:D1223"/>
    <mergeCell ref="E1222:E1223"/>
    <mergeCell ref="H1222:H1223"/>
    <mergeCell ref="B932:B938"/>
    <mergeCell ref="B1100:B1114"/>
    <mergeCell ref="B1115:B1119"/>
    <mergeCell ref="B1138:B1149"/>
    <mergeCell ref="B1150:B1156"/>
    <mergeCell ref="B1157:B1168"/>
    <mergeCell ref="D1254:D1255"/>
    <mergeCell ref="E1254:E1255"/>
    <mergeCell ref="F1254:F1255"/>
    <mergeCell ref="G1254:G1255"/>
    <mergeCell ref="H1254:H1255"/>
    <mergeCell ref="G1293:G1294"/>
    <mergeCell ref="H1293:H1294"/>
    <mergeCell ref="C1329:C1330"/>
    <mergeCell ref="D1329:D1330"/>
    <mergeCell ref="E1329:E1330"/>
    <mergeCell ref="G1329:G1330"/>
    <mergeCell ref="H1329:H1330"/>
    <mergeCell ref="N1439:N1440"/>
    <mergeCell ref="B1453:B1458"/>
    <mergeCell ref="N1453:N1454"/>
    <mergeCell ref="B1459:B1465"/>
    <mergeCell ref="J1459:J1460"/>
    <mergeCell ref="K1459:K1460"/>
    <mergeCell ref="M1459:M1460"/>
    <mergeCell ref="K1464:K1465"/>
    <mergeCell ref="M1464:M1465"/>
    <mergeCell ref="B1433:B1437"/>
    <mergeCell ref="B1438:B1441"/>
    <mergeCell ref="B1442:B1447"/>
    <mergeCell ref="B1415:B1418"/>
    <mergeCell ref="B1419:B1424"/>
    <mergeCell ref="B1425:B1428"/>
    <mergeCell ref="B1429:B1432"/>
    <mergeCell ref="B1405:B1409"/>
    <mergeCell ref="B1410:B1414"/>
    <mergeCell ref="I1439:I1440"/>
    <mergeCell ref="J1439:J1440"/>
    <mergeCell ref="J1254:J1255"/>
    <mergeCell ref="K1254:K1255"/>
    <mergeCell ref="L1254:L1255"/>
    <mergeCell ref="M1254:M1255"/>
    <mergeCell ref="B1259:B1263"/>
    <mergeCell ref="C1256:C1257"/>
    <mergeCell ref="D1256:D1257"/>
    <mergeCell ref="E1256:E1257"/>
    <mergeCell ref="F1256:F1257"/>
    <mergeCell ref="G1256:G1257"/>
    <mergeCell ref="C1254:C1255"/>
    <mergeCell ref="D878:D879"/>
    <mergeCell ref="E878:E879"/>
    <mergeCell ref="F878:F879"/>
    <mergeCell ref="G878:G879"/>
    <mergeCell ref="H878:H879"/>
    <mergeCell ref="I878:I879"/>
    <mergeCell ref="J878:J879"/>
    <mergeCell ref="K878:K879"/>
    <mergeCell ref="L878:L879"/>
    <mergeCell ref="B899:B902"/>
    <mergeCell ref="B903:B910"/>
    <mergeCell ref="B911:B916"/>
    <mergeCell ref="B917:B926"/>
    <mergeCell ref="B889:B892"/>
    <mergeCell ref="B885:B888"/>
    <mergeCell ref="H1256:H1257"/>
    <mergeCell ref="J1256:J1257"/>
    <mergeCell ref="K1256:K1257"/>
    <mergeCell ref="L1256:L1257"/>
    <mergeCell ref="B1022:B1027"/>
    <mergeCell ref="B1028:B1035"/>
    <mergeCell ref="N876:N877"/>
    <mergeCell ref="B1036:B1039"/>
    <mergeCell ref="K876:K877"/>
    <mergeCell ref="L876:L877"/>
    <mergeCell ref="M876:M877"/>
    <mergeCell ref="B939:B942"/>
    <mergeCell ref="B943:B953"/>
    <mergeCell ref="B954:B955"/>
    <mergeCell ref="B956:B964"/>
    <mergeCell ref="B965:B967"/>
    <mergeCell ref="B968:B975"/>
    <mergeCell ref="B976:B978"/>
    <mergeCell ref="M878:M879"/>
    <mergeCell ref="B979:B984"/>
    <mergeCell ref="B985:B986"/>
    <mergeCell ref="B987:B988"/>
    <mergeCell ref="B927:B931"/>
    <mergeCell ref="B896:B898"/>
    <mergeCell ref="B893:B895"/>
    <mergeCell ref="B869:B874"/>
    <mergeCell ref="B875:B884"/>
    <mergeCell ref="D873:D874"/>
    <mergeCell ref="E873:E874"/>
    <mergeCell ref="F873:F874"/>
    <mergeCell ref="G873:G874"/>
    <mergeCell ref="H873:H874"/>
    <mergeCell ref="I873:I874"/>
    <mergeCell ref="J873:J874"/>
    <mergeCell ref="K873:K874"/>
    <mergeCell ref="N878:N879"/>
    <mergeCell ref="D883:D884"/>
    <mergeCell ref="E883:E884"/>
    <mergeCell ref="F883:F884"/>
    <mergeCell ref="G883:G884"/>
    <mergeCell ref="H883:H884"/>
    <mergeCell ref="I883:I884"/>
    <mergeCell ref="J883:J884"/>
    <mergeCell ref="K883:K884"/>
    <mergeCell ref="L883:L884"/>
    <mergeCell ref="M883:M884"/>
    <mergeCell ref="L873:L874"/>
    <mergeCell ref="M873:M874"/>
    <mergeCell ref="N873:N874"/>
    <mergeCell ref="C876:C877"/>
    <mergeCell ref="D876:D877"/>
    <mergeCell ref="E876:E877"/>
    <mergeCell ref="F876:F877"/>
    <mergeCell ref="G876:G877"/>
    <mergeCell ref="H876:H877"/>
    <mergeCell ref="J876:J877"/>
    <mergeCell ref="N883:N884"/>
    <mergeCell ref="M867:M868"/>
    <mergeCell ref="N867:N868"/>
    <mergeCell ref="B851:B855"/>
    <mergeCell ref="D870:D871"/>
    <mergeCell ref="E870:E871"/>
    <mergeCell ref="F870:F871"/>
    <mergeCell ref="G870:G871"/>
    <mergeCell ref="H870:H871"/>
    <mergeCell ref="I870:I871"/>
    <mergeCell ref="J870:J871"/>
    <mergeCell ref="K870:K871"/>
    <mergeCell ref="L870:L871"/>
    <mergeCell ref="M870:M871"/>
    <mergeCell ref="N870:N871"/>
    <mergeCell ref="C867:C868"/>
    <mergeCell ref="D867:D868"/>
    <mergeCell ref="E867:E868"/>
    <mergeCell ref="F867:F868"/>
    <mergeCell ref="G867:G868"/>
    <mergeCell ref="H867:H868"/>
    <mergeCell ref="J867:J868"/>
    <mergeCell ref="K867:K868"/>
    <mergeCell ref="L867:L868"/>
    <mergeCell ref="B856:B868"/>
    <mergeCell ref="M862:M863"/>
    <mergeCell ref="N862:N863"/>
    <mergeCell ref="D864:D865"/>
    <mergeCell ref="E864:E865"/>
    <mergeCell ref="F864:F865"/>
    <mergeCell ref="G864:G865"/>
    <mergeCell ref="H864:H865"/>
    <mergeCell ref="I864:I865"/>
    <mergeCell ref="J864:J865"/>
    <mergeCell ref="K864:K865"/>
    <mergeCell ref="L864:L865"/>
    <mergeCell ref="M864:M865"/>
    <mergeCell ref="N864:N865"/>
    <mergeCell ref="D862:D863"/>
    <mergeCell ref="E862:E863"/>
    <mergeCell ref="F862:F863"/>
    <mergeCell ref="G862:G863"/>
    <mergeCell ref="H862:H863"/>
    <mergeCell ref="I862:I863"/>
    <mergeCell ref="J862:J863"/>
    <mergeCell ref="K862:K863"/>
    <mergeCell ref="L862:L863"/>
    <mergeCell ref="M858:M859"/>
    <mergeCell ref="N858:N859"/>
    <mergeCell ref="C860:C861"/>
    <mergeCell ref="D860:D861"/>
    <mergeCell ref="E860:E861"/>
    <mergeCell ref="F860:F861"/>
    <mergeCell ref="G860:G861"/>
    <mergeCell ref="H860:H861"/>
    <mergeCell ref="J860:J861"/>
    <mergeCell ref="K860:K861"/>
    <mergeCell ref="L860:L861"/>
    <mergeCell ref="M860:M861"/>
    <mergeCell ref="N860:N861"/>
    <mergeCell ref="C858:C859"/>
    <mergeCell ref="D858:D859"/>
    <mergeCell ref="E858:E859"/>
    <mergeCell ref="F858:F859"/>
    <mergeCell ref="H858:H859"/>
    <mergeCell ref="I858:I859"/>
    <mergeCell ref="J858:J859"/>
    <mergeCell ref="K858:K859"/>
    <mergeCell ref="L858:L859"/>
    <mergeCell ref="D853:D854"/>
    <mergeCell ref="E853:E854"/>
    <mergeCell ref="F853:F854"/>
    <mergeCell ref="G853:G854"/>
    <mergeCell ref="H853:H854"/>
    <mergeCell ref="I853:I854"/>
    <mergeCell ref="J853:J854"/>
    <mergeCell ref="H835:H837"/>
    <mergeCell ref="I835:I837"/>
    <mergeCell ref="J835:J837"/>
    <mergeCell ref="L853:L854"/>
    <mergeCell ref="M853:M854"/>
    <mergeCell ref="N853:N854"/>
    <mergeCell ref="N849:N850"/>
    <mergeCell ref="D846:D848"/>
    <mergeCell ref="E846:E848"/>
    <mergeCell ref="F846:F848"/>
    <mergeCell ref="G846:G848"/>
    <mergeCell ref="H846:H848"/>
    <mergeCell ref="I846:I848"/>
    <mergeCell ref="J846:J848"/>
    <mergeCell ref="K846:K848"/>
    <mergeCell ref="L846:L848"/>
    <mergeCell ref="C856:C857"/>
    <mergeCell ref="D856:D857"/>
    <mergeCell ref="E856:E857"/>
    <mergeCell ref="F856:F857"/>
    <mergeCell ref="G856:G857"/>
    <mergeCell ref="H856:H857"/>
    <mergeCell ref="I856:I857"/>
    <mergeCell ref="J856:J857"/>
    <mergeCell ref="K856:K857"/>
    <mergeCell ref="L856:L857"/>
    <mergeCell ref="M856:M857"/>
    <mergeCell ref="N840:N841"/>
    <mergeCell ref="D844:D845"/>
    <mergeCell ref="E844:E845"/>
    <mergeCell ref="F844:F845"/>
    <mergeCell ref="G844:G845"/>
    <mergeCell ref="H844:H845"/>
    <mergeCell ref="J844:J845"/>
    <mergeCell ref="K844:K845"/>
    <mergeCell ref="N844:N845"/>
    <mergeCell ref="M846:M848"/>
    <mergeCell ref="N846:N848"/>
    <mergeCell ref="D849:D850"/>
    <mergeCell ref="E849:E850"/>
    <mergeCell ref="F849:F850"/>
    <mergeCell ref="G849:G850"/>
    <mergeCell ref="H849:H850"/>
    <mergeCell ref="I849:I850"/>
    <mergeCell ref="J849:J850"/>
    <mergeCell ref="K849:K850"/>
    <mergeCell ref="L849:L850"/>
    <mergeCell ref="M849:M850"/>
    <mergeCell ref="B820:B828"/>
    <mergeCell ref="B829:B834"/>
    <mergeCell ref="D835:D837"/>
    <mergeCell ref="E835:E837"/>
    <mergeCell ref="F835:F837"/>
    <mergeCell ref="G835:G837"/>
    <mergeCell ref="B792:B793"/>
    <mergeCell ref="B794:B796"/>
    <mergeCell ref="B798:B802"/>
    <mergeCell ref="B803:B806"/>
    <mergeCell ref="B807:B809"/>
    <mergeCell ref="B810:B813"/>
    <mergeCell ref="B814:B815"/>
    <mergeCell ref="B816:B819"/>
    <mergeCell ref="L835:L837"/>
    <mergeCell ref="M835:M837"/>
    <mergeCell ref="D840:D841"/>
    <mergeCell ref="E840:E841"/>
    <mergeCell ref="F840:F841"/>
    <mergeCell ref="G840:G841"/>
    <mergeCell ref="H840:H841"/>
    <mergeCell ref="I840:I841"/>
    <mergeCell ref="J840:J841"/>
    <mergeCell ref="K840:K841"/>
    <mergeCell ref="L840:L841"/>
    <mergeCell ref="M840:M841"/>
    <mergeCell ref="B840:B850"/>
    <mergeCell ref="B835:B839"/>
    <mergeCell ref="L844:L845"/>
    <mergeCell ref="M844:M845"/>
    <mergeCell ref="B756:B759"/>
    <mergeCell ref="N733:N734"/>
    <mergeCell ref="B732:B736"/>
    <mergeCell ref="B702:B704"/>
    <mergeCell ref="B706:B708"/>
    <mergeCell ref="B710:B713"/>
    <mergeCell ref="B714:B715"/>
    <mergeCell ref="B718:B722"/>
    <mergeCell ref="B723:B726"/>
    <mergeCell ref="B716:B717"/>
    <mergeCell ref="B786:B787"/>
    <mergeCell ref="B788:B791"/>
    <mergeCell ref="B761:B763"/>
    <mergeCell ref="B764:B767"/>
    <mergeCell ref="B768:B770"/>
    <mergeCell ref="B771:B773"/>
    <mergeCell ref="B774:B776"/>
    <mergeCell ref="B777:B780"/>
    <mergeCell ref="B782:B785"/>
    <mergeCell ref="M699:M700"/>
    <mergeCell ref="N699:N700"/>
    <mergeCell ref="B695:B701"/>
    <mergeCell ref="D699:D700"/>
    <mergeCell ref="E699:E700"/>
    <mergeCell ref="F699:F700"/>
    <mergeCell ref="G699:G700"/>
    <mergeCell ref="H699:H700"/>
    <mergeCell ref="I699:I700"/>
    <mergeCell ref="J699:J700"/>
    <mergeCell ref="K699:K700"/>
    <mergeCell ref="L699:L700"/>
    <mergeCell ref="B727:B731"/>
    <mergeCell ref="B737:B743"/>
    <mergeCell ref="B744:B745"/>
    <mergeCell ref="B746:B750"/>
    <mergeCell ref="B751:B755"/>
    <mergeCell ref="M693:M694"/>
    <mergeCell ref="N693:N694"/>
    <mergeCell ref="B692:B694"/>
    <mergeCell ref="D697:D698"/>
    <mergeCell ref="E697:E698"/>
    <mergeCell ref="F697:F698"/>
    <mergeCell ref="G697:G698"/>
    <mergeCell ref="H697:H698"/>
    <mergeCell ref="I697:I698"/>
    <mergeCell ref="J697:J698"/>
    <mergeCell ref="K697:K698"/>
    <mergeCell ref="L697:L698"/>
    <mergeCell ref="M697:M698"/>
    <mergeCell ref="N697:N698"/>
    <mergeCell ref="C693:C694"/>
    <mergeCell ref="D693:D694"/>
    <mergeCell ref="E693:E694"/>
    <mergeCell ref="G693:G694"/>
    <mergeCell ref="H693:H694"/>
    <mergeCell ref="I693:I694"/>
    <mergeCell ref="J693:J694"/>
    <mergeCell ref="K693:K694"/>
    <mergeCell ref="L693:L694"/>
    <mergeCell ref="B678:B682"/>
    <mergeCell ref="B683:B684"/>
    <mergeCell ref="D687:D688"/>
    <mergeCell ref="E687:E688"/>
    <mergeCell ref="F687:F688"/>
    <mergeCell ref="G687:G688"/>
    <mergeCell ref="H687:H688"/>
    <mergeCell ref="I687:I688"/>
    <mergeCell ref="J687:J688"/>
    <mergeCell ref="B685:B691"/>
    <mergeCell ref="K687:K688"/>
    <mergeCell ref="L687:L688"/>
    <mergeCell ref="M687:M688"/>
    <mergeCell ref="N687:N688"/>
    <mergeCell ref="D690:D691"/>
    <mergeCell ref="E690:E691"/>
    <mergeCell ref="F690:F691"/>
    <mergeCell ref="G690:G691"/>
    <mergeCell ref="H690:H691"/>
    <mergeCell ref="I690:I691"/>
    <mergeCell ref="J690:J691"/>
    <mergeCell ref="K690:K691"/>
    <mergeCell ref="L690:L691"/>
    <mergeCell ref="M690:M691"/>
    <mergeCell ref="N690:N691"/>
    <mergeCell ref="B498:B500"/>
    <mergeCell ref="B551:B553"/>
    <mergeCell ref="B554:B557"/>
    <mergeCell ref="B676:B677"/>
    <mergeCell ref="B673:B675"/>
    <mergeCell ref="B628:B630"/>
    <mergeCell ref="B622:B626"/>
    <mergeCell ref="B582:B585"/>
    <mergeCell ref="B586:B589"/>
    <mergeCell ref="B590:B595"/>
    <mergeCell ref="B596:B598"/>
    <mergeCell ref="B599:B601"/>
    <mergeCell ref="B602:B605"/>
    <mergeCell ref="B606:B607"/>
    <mergeCell ref="B609:B611"/>
    <mergeCell ref="B612:B615"/>
    <mergeCell ref="B616:B617"/>
    <mergeCell ref="B618:B621"/>
    <mergeCell ref="B658:B661"/>
    <mergeCell ref="B663:B666"/>
    <mergeCell ref="B668:B671"/>
    <mergeCell ref="B643:B644"/>
    <mergeCell ref="B645:B649"/>
    <mergeCell ref="B650:B652"/>
    <mergeCell ref="B654:B655"/>
    <mergeCell ref="B656:B657"/>
    <mergeCell ref="B632:B634"/>
    <mergeCell ref="B635:B637"/>
    <mergeCell ref="B638:B639"/>
    <mergeCell ref="B640:B642"/>
    <mergeCell ref="B546:B549"/>
    <mergeCell ref="B434:B438"/>
    <mergeCell ref="B439:B443"/>
    <mergeCell ref="M424:M425"/>
    <mergeCell ref="B449:B451"/>
    <mergeCell ref="B444:B448"/>
    <mergeCell ref="B427:B431"/>
    <mergeCell ref="B432:B433"/>
    <mergeCell ref="M452:M453"/>
    <mergeCell ref="M459:M460"/>
    <mergeCell ref="L452:L453"/>
    <mergeCell ref="H454:H455"/>
    <mergeCell ref="I454:I455"/>
    <mergeCell ref="J454:J455"/>
    <mergeCell ref="K454:K455"/>
    <mergeCell ref="L454:L455"/>
    <mergeCell ref="M454:M455"/>
    <mergeCell ref="F454:F455"/>
    <mergeCell ref="G454:G455"/>
    <mergeCell ref="F452:F453"/>
    <mergeCell ref="G452:G453"/>
    <mergeCell ref="H452:H453"/>
    <mergeCell ref="I452:I453"/>
    <mergeCell ref="J452:J453"/>
    <mergeCell ref="K452:K453"/>
    <mergeCell ref="L421:L422"/>
    <mergeCell ref="M462:M463"/>
    <mergeCell ref="D457:D458"/>
    <mergeCell ref="E457:E458"/>
    <mergeCell ref="F457:F458"/>
    <mergeCell ref="G457:G458"/>
    <mergeCell ref="H457:H458"/>
    <mergeCell ref="I457:I458"/>
    <mergeCell ref="J457:J458"/>
    <mergeCell ref="K457:K458"/>
    <mergeCell ref="L459:L460"/>
    <mergeCell ref="H459:H460"/>
    <mergeCell ref="I459:I460"/>
    <mergeCell ref="J459:J460"/>
    <mergeCell ref="K459:K460"/>
    <mergeCell ref="F459:F460"/>
    <mergeCell ref="G459:G460"/>
    <mergeCell ref="E459:E460"/>
    <mergeCell ref="M421:M422"/>
    <mergeCell ref="L457:L458"/>
    <mergeCell ref="C419:C420"/>
    <mergeCell ref="D419:D420"/>
    <mergeCell ref="E419:E420"/>
    <mergeCell ref="F419:F420"/>
    <mergeCell ref="G419:G420"/>
    <mergeCell ref="H419:H420"/>
    <mergeCell ref="I419:I420"/>
    <mergeCell ref="J419:J420"/>
    <mergeCell ref="K419:K420"/>
    <mergeCell ref="N424:N425"/>
    <mergeCell ref="B415:B418"/>
    <mergeCell ref="B419:B426"/>
    <mergeCell ref="C424:C425"/>
    <mergeCell ref="D424:D425"/>
    <mergeCell ref="E424:E425"/>
    <mergeCell ref="F424:F425"/>
    <mergeCell ref="G424:G425"/>
    <mergeCell ref="H424:H425"/>
    <mergeCell ref="J424:J425"/>
    <mergeCell ref="K424:K425"/>
    <mergeCell ref="L424:L425"/>
    <mergeCell ref="L419:L420"/>
    <mergeCell ref="M419:M420"/>
    <mergeCell ref="C421:C422"/>
    <mergeCell ref="D421:D422"/>
    <mergeCell ref="E421:E422"/>
    <mergeCell ref="F421:F422"/>
    <mergeCell ref="G421:G422"/>
    <mergeCell ref="H421:H422"/>
    <mergeCell ref="I421:I422"/>
    <mergeCell ref="J421:J422"/>
    <mergeCell ref="K421:K422"/>
    <mergeCell ref="L410:L411"/>
    <mergeCell ref="N415:N416"/>
    <mergeCell ref="D417:D418"/>
    <mergeCell ref="E417:E418"/>
    <mergeCell ref="F417:F418"/>
    <mergeCell ref="G417:G418"/>
    <mergeCell ref="H417:H418"/>
    <mergeCell ref="I417:I418"/>
    <mergeCell ref="J417:J418"/>
    <mergeCell ref="K417:K418"/>
    <mergeCell ref="L417:L418"/>
    <mergeCell ref="M417:M418"/>
    <mergeCell ref="N417:N418"/>
    <mergeCell ref="D415:D416"/>
    <mergeCell ref="E415:E416"/>
    <mergeCell ref="F415:F416"/>
    <mergeCell ref="G415:G416"/>
    <mergeCell ref="H415:H416"/>
    <mergeCell ref="I415:I416"/>
    <mergeCell ref="J415:J416"/>
    <mergeCell ref="L415:L416"/>
    <mergeCell ref="M415:M416"/>
    <mergeCell ref="M410:M411"/>
    <mergeCell ref="N410:N411"/>
    <mergeCell ref="D408:D409"/>
    <mergeCell ref="E408:E409"/>
    <mergeCell ref="F408:F409"/>
    <mergeCell ref="G408:G409"/>
    <mergeCell ref="H408:H409"/>
    <mergeCell ref="I408:I409"/>
    <mergeCell ref="J408:J409"/>
    <mergeCell ref="K408:K409"/>
    <mergeCell ref="L408:L409"/>
    <mergeCell ref="M413:M414"/>
    <mergeCell ref="N413:N414"/>
    <mergeCell ref="B403:B409"/>
    <mergeCell ref="B410:B414"/>
    <mergeCell ref="C413:C414"/>
    <mergeCell ref="D413:D414"/>
    <mergeCell ref="E413:E414"/>
    <mergeCell ref="F413:F414"/>
    <mergeCell ref="G413:G414"/>
    <mergeCell ref="H413:H414"/>
    <mergeCell ref="J413:J414"/>
    <mergeCell ref="K413:K414"/>
    <mergeCell ref="L413:L414"/>
    <mergeCell ref="M408:M409"/>
    <mergeCell ref="N408:N409"/>
    <mergeCell ref="C410:C411"/>
    <mergeCell ref="D410:D411"/>
    <mergeCell ref="E410:E411"/>
    <mergeCell ref="F410:F411"/>
    <mergeCell ref="G410:G411"/>
    <mergeCell ref="H410:H411"/>
    <mergeCell ref="J410:J411"/>
    <mergeCell ref="K410:K411"/>
    <mergeCell ref="J181:J182"/>
    <mergeCell ref="B189:B191"/>
    <mergeCell ref="M117:M119"/>
    <mergeCell ref="J123:J125"/>
    <mergeCell ref="K123:K125"/>
    <mergeCell ref="M123:M125"/>
    <mergeCell ref="N117:N119"/>
    <mergeCell ref="D148:D149"/>
    <mergeCell ref="E148:E149"/>
    <mergeCell ref="N141:N142"/>
    <mergeCell ref="C135:C138"/>
    <mergeCell ref="C117:C120"/>
    <mergeCell ref="K117:K119"/>
    <mergeCell ref="E146:E147"/>
    <mergeCell ref="J117:J119"/>
    <mergeCell ref="C130:C131"/>
    <mergeCell ref="C132:C133"/>
    <mergeCell ref="D146:D147"/>
    <mergeCell ref="C140:C141"/>
    <mergeCell ref="K181:K182"/>
    <mergeCell ref="B167:B170"/>
    <mergeCell ref="C167:C170"/>
    <mergeCell ref="C148:C149"/>
    <mergeCell ref="B144:B145"/>
    <mergeCell ref="B163:B166"/>
    <mergeCell ref="N153:N155"/>
    <mergeCell ref="N156:N161"/>
    <mergeCell ref="M181:M182"/>
    <mergeCell ref="B171:B175"/>
    <mergeCell ref="B185:B188"/>
    <mergeCell ref="C187:C188"/>
    <mergeCell ref="B18:B19"/>
    <mergeCell ref="B20:B21"/>
    <mergeCell ref="B35:B36"/>
    <mergeCell ref="C35:C36"/>
    <mergeCell ref="B30:B34"/>
    <mergeCell ref="C32:C33"/>
    <mergeCell ref="B37:B38"/>
    <mergeCell ref="C37:C38"/>
    <mergeCell ref="B150:B152"/>
    <mergeCell ref="B72:B76"/>
    <mergeCell ref="B139:B142"/>
    <mergeCell ref="C110:C111"/>
    <mergeCell ref="C112:C113"/>
    <mergeCell ref="B127:B134"/>
    <mergeCell ref="B153:B162"/>
    <mergeCell ref="B135:B138"/>
    <mergeCell ref="B114:B116"/>
    <mergeCell ref="C115:C116"/>
    <mergeCell ref="C93:C95"/>
    <mergeCell ref="B99:B103"/>
    <mergeCell ref="C99:C100"/>
    <mergeCell ref="B80:B81"/>
    <mergeCell ref="B82:B89"/>
    <mergeCell ref="C83:C84"/>
    <mergeCell ref="C85:C86"/>
    <mergeCell ref="B90:B91"/>
    <mergeCell ref="B104:B107"/>
    <mergeCell ref="B108:B109"/>
    <mergeCell ref="B110:B113"/>
    <mergeCell ref="C154:C155"/>
    <mergeCell ref="C156:C157"/>
    <mergeCell ref="C158:C159"/>
    <mergeCell ref="M1:M2"/>
    <mergeCell ref="N1:N2"/>
    <mergeCell ref="B1:B2"/>
    <mergeCell ref="C1:C2"/>
    <mergeCell ref="D1:D2"/>
    <mergeCell ref="E1:E2"/>
    <mergeCell ref="G1:G2"/>
    <mergeCell ref="H1:H2"/>
    <mergeCell ref="I1:I2"/>
    <mergeCell ref="J1:J2"/>
    <mergeCell ref="K1:K2"/>
    <mergeCell ref="L1:L2"/>
    <mergeCell ref="A1:A2"/>
    <mergeCell ref="B6:B7"/>
    <mergeCell ref="B8:B17"/>
    <mergeCell ref="C9:C10"/>
    <mergeCell ref="C12:C14"/>
    <mergeCell ref="C15:C16"/>
    <mergeCell ref="B3:B5"/>
    <mergeCell ref="N22:N23"/>
    <mergeCell ref="B24:B27"/>
    <mergeCell ref="C24:C25"/>
    <mergeCell ref="J24:J25"/>
    <mergeCell ref="K24:K25"/>
    <mergeCell ref="B63:B65"/>
    <mergeCell ref="B67:B71"/>
    <mergeCell ref="B92:B97"/>
    <mergeCell ref="C67:C69"/>
    <mergeCell ref="K67:K68"/>
    <mergeCell ref="M24:M25"/>
    <mergeCell ref="C26:C27"/>
    <mergeCell ref="J26:J27"/>
    <mergeCell ref="B59:B61"/>
    <mergeCell ref="B55:B56"/>
    <mergeCell ref="B44:B47"/>
    <mergeCell ref="C45:C46"/>
    <mergeCell ref="B49:B52"/>
    <mergeCell ref="C40:C41"/>
    <mergeCell ref="B39:B42"/>
    <mergeCell ref="B77:B79"/>
    <mergeCell ref="M67:M68"/>
    <mergeCell ref="B200:B203"/>
    <mergeCell ref="C200:C201"/>
    <mergeCell ref="C202:C203"/>
    <mergeCell ref="B204:B206"/>
    <mergeCell ref="B192:B194"/>
    <mergeCell ref="C192:C193"/>
    <mergeCell ref="B195:B199"/>
    <mergeCell ref="C196:C197"/>
    <mergeCell ref="C198:C199"/>
    <mergeCell ref="B146:B147"/>
    <mergeCell ref="C146:C147"/>
    <mergeCell ref="B117:B120"/>
    <mergeCell ref="B122:B126"/>
    <mergeCell ref="C122:C126"/>
    <mergeCell ref="B148:B149"/>
    <mergeCell ref="B176:B179"/>
    <mergeCell ref="C178:C179"/>
    <mergeCell ref="B180:B184"/>
    <mergeCell ref="C181:C183"/>
    <mergeCell ref="N249:N250"/>
    <mergeCell ref="B251:B254"/>
    <mergeCell ref="B212:B214"/>
    <mergeCell ref="B215:B217"/>
    <mergeCell ref="B207:B209"/>
    <mergeCell ref="C207:C208"/>
    <mergeCell ref="B210:B211"/>
    <mergeCell ref="N225:N227"/>
    <mergeCell ref="B240:B242"/>
    <mergeCell ref="B228:B229"/>
    <mergeCell ref="B230:B233"/>
    <mergeCell ref="B234:B235"/>
    <mergeCell ref="B236:B238"/>
    <mergeCell ref="B218:B220"/>
    <mergeCell ref="C218:C219"/>
    <mergeCell ref="B221:B223"/>
    <mergeCell ref="B224:B227"/>
    <mergeCell ref="B244:B245"/>
    <mergeCell ref="B246:B247"/>
    <mergeCell ref="B248:B250"/>
    <mergeCell ref="C249:C250"/>
    <mergeCell ref="C313:C314"/>
    <mergeCell ref="N261:N262"/>
    <mergeCell ref="B255:B257"/>
    <mergeCell ref="C256:C257"/>
    <mergeCell ref="N256:N257"/>
    <mergeCell ref="B258:B259"/>
    <mergeCell ref="B263:B267"/>
    <mergeCell ref="C263:C267"/>
    <mergeCell ref="B260:B262"/>
    <mergeCell ref="K291:K292"/>
    <mergeCell ref="M291:M292"/>
    <mergeCell ref="C279:C280"/>
    <mergeCell ref="C281:C282"/>
    <mergeCell ref="C283:C284"/>
    <mergeCell ref="C287:C288"/>
    <mergeCell ref="C289:C290"/>
    <mergeCell ref="C291:C292"/>
    <mergeCell ref="J291:J292"/>
    <mergeCell ref="J283:J284"/>
    <mergeCell ref="K283:K284"/>
    <mergeCell ref="A278:N278"/>
    <mergeCell ref="B279:B280"/>
    <mergeCell ref="B281:B286"/>
    <mergeCell ref="B287:B288"/>
    <mergeCell ref="B289:B295"/>
    <mergeCell ref="B268:B270"/>
    <mergeCell ref="C268:C270"/>
    <mergeCell ref="B271:B277"/>
    <mergeCell ref="C271:C273"/>
    <mergeCell ref="C275:C276"/>
    <mergeCell ref="C293:C294"/>
    <mergeCell ref="B299:B301"/>
    <mergeCell ref="B369:B372"/>
    <mergeCell ref="B373:B374"/>
    <mergeCell ref="B334:B337"/>
    <mergeCell ref="C334:C337"/>
    <mergeCell ref="B338:B341"/>
    <mergeCell ref="K377:K378"/>
    <mergeCell ref="B351:B355"/>
    <mergeCell ref="B356:B359"/>
    <mergeCell ref="B360:B362"/>
    <mergeCell ref="B363:B368"/>
    <mergeCell ref="B345:B350"/>
    <mergeCell ref="C349:C350"/>
    <mergeCell ref="B342:B344"/>
    <mergeCell ref="C342:C343"/>
    <mergeCell ref="I377:I378"/>
    <mergeCell ref="C296:C298"/>
    <mergeCell ref="B296:B298"/>
    <mergeCell ref="C302:C306"/>
    <mergeCell ref="B302:B306"/>
    <mergeCell ref="B324:B328"/>
    <mergeCell ref="B329:B331"/>
    <mergeCell ref="C329:C331"/>
    <mergeCell ref="B332:B333"/>
    <mergeCell ref="B316:B318"/>
    <mergeCell ref="C316:C318"/>
    <mergeCell ref="B319:B321"/>
    <mergeCell ref="C322:C323"/>
    <mergeCell ref="B322:B323"/>
    <mergeCell ref="B308:B309"/>
    <mergeCell ref="C308:C309"/>
    <mergeCell ref="B310:B312"/>
    <mergeCell ref="B313:B314"/>
    <mergeCell ref="N377:N378"/>
    <mergeCell ref="B375:B378"/>
    <mergeCell ref="D375:D376"/>
    <mergeCell ref="E375:E376"/>
    <mergeCell ref="F375:F376"/>
    <mergeCell ref="G375:G376"/>
    <mergeCell ref="H375:H376"/>
    <mergeCell ref="I375:I376"/>
    <mergeCell ref="J375:J376"/>
    <mergeCell ref="K375:K376"/>
    <mergeCell ref="L375:L376"/>
    <mergeCell ref="M375:M376"/>
    <mergeCell ref="N375:N376"/>
    <mergeCell ref="D377:D378"/>
    <mergeCell ref="E377:E378"/>
    <mergeCell ref="F377:F378"/>
    <mergeCell ref="G377:G378"/>
    <mergeCell ref="H377:H378"/>
    <mergeCell ref="J377:J378"/>
    <mergeCell ref="L377:L378"/>
    <mergeCell ref="M377:M378"/>
    <mergeCell ref="B379:B382"/>
    <mergeCell ref="B383:B384"/>
    <mergeCell ref="M403:M404"/>
    <mergeCell ref="N403:N404"/>
    <mergeCell ref="D406:D407"/>
    <mergeCell ref="E406:E407"/>
    <mergeCell ref="F406:F407"/>
    <mergeCell ref="G406:G407"/>
    <mergeCell ref="H406:H407"/>
    <mergeCell ref="I406:I407"/>
    <mergeCell ref="J406:J407"/>
    <mergeCell ref="K406:K407"/>
    <mergeCell ref="L406:L407"/>
    <mergeCell ref="M406:M407"/>
    <mergeCell ref="N406:N407"/>
    <mergeCell ref="D403:D404"/>
    <mergeCell ref="E403:E404"/>
    <mergeCell ref="F403:F404"/>
    <mergeCell ref="G403:G404"/>
    <mergeCell ref="H403:H404"/>
    <mergeCell ref="I403:I404"/>
    <mergeCell ref="J403:J404"/>
    <mergeCell ref="B393:B395"/>
    <mergeCell ref="B396:B402"/>
    <mergeCell ref="B385:B388"/>
    <mergeCell ref="B389:B392"/>
    <mergeCell ref="K403:K404"/>
    <mergeCell ref="L403:L404"/>
    <mergeCell ref="B461:B465"/>
    <mergeCell ref="C462:C463"/>
    <mergeCell ref="D462:D463"/>
    <mergeCell ref="E462:E463"/>
    <mergeCell ref="F462:F463"/>
    <mergeCell ref="G462:G463"/>
    <mergeCell ref="H462:H463"/>
    <mergeCell ref="J462:J463"/>
    <mergeCell ref="K462:K463"/>
    <mergeCell ref="L462:L463"/>
    <mergeCell ref="M457:M458"/>
    <mergeCell ref="N457:N458"/>
    <mergeCell ref="D459:D460"/>
    <mergeCell ref="N452:N453"/>
    <mergeCell ref="D454:D455"/>
    <mergeCell ref="E454:E455"/>
    <mergeCell ref="N454:N455"/>
    <mergeCell ref="D452:D453"/>
    <mergeCell ref="E452:E453"/>
    <mergeCell ref="N459:N460"/>
    <mergeCell ref="N462:N463"/>
    <mergeCell ref="B452:B460"/>
    <mergeCell ref="B466:B469"/>
    <mergeCell ref="B470:B474"/>
    <mergeCell ref="B475:B478"/>
    <mergeCell ref="B479:B481"/>
    <mergeCell ref="B482:B486"/>
    <mergeCell ref="B487:B491"/>
    <mergeCell ref="B524:B525"/>
    <mergeCell ref="B526:B530"/>
    <mergeCell ref="B507:B510"/>
    <mergeCell ref="B511:B515"/>
    <mergeCell ref="B516:B518"/>
    <mergeCell ref="B519:B523"/>
    <mergeCell ref="B579:B580"/>
    <mergeCell ref="B574:B577"/>
    <mergeCell ref="B1006:B1010"/>
    <mergeCell ref="B1011:B1021"/>
    <mergeCell ref="B996:B998"/>
    <mergeCell ref="B999:B1005"/>
    <mergeCell ref="B989:B992"/>
    <mergeCell ref="B993:B995"/>
    <mergeCell ref="B565:B567"/>
    <mergeCell ref="B568:B570"/>
    <mergeCell ref="B558:B560"/>
    <mergeCell ref="B561:B564"/>
    <mergeCell ref="B531:B533"/>
    <mergeCell ref="B534:B536"/>
    <mergeCell ref="B537:B541"/>
    <mergeCell ref="B542:B545"/>
    <mergeCell ref="B571:B572"/>
    <mergeCell ref="B501:B504"/>
    <mergeCell ref="B505:B506"/>
    <mergeCell ref="B492:B497"/>
    <mergeCell ref="N1222:N1223"/>
    <mergeCell ref="B1218:B1228"/>
    <mergeCell ref="B1189:B1196"/>
    <mergeCell ref="C1208:C1209"/>
    <mergeCell ref="D1208:D1209"/>
    <mergeCell ref="E1208:E1209"/>
    <mergeCell ref="F1208:F1209"/>
    <mergeCell ref="G1208:G1209"/>
    <mergeCell ref="H1208:H1209"/>
    <mergeCell ref="J1208:J1209"/>
    <mergeCell ref="K1208:K1209"/>
    <mergeCell ref="B1169:B1175"/>
    <mergeCell ref="B1176:B1188"/>
    <mergeCell ref="B1120:B1131"/>
    <mergeCell ref="B1132:B1137"/>
    <mergeCell ref="K1250:K1251"/>
    <mergeCell ref="L1250:L1251"/>
    <mergeCell ref="M1250:M1251"/>
    <mergeCell ref="N1250:N1251"/>
    <mergeCell ref="L1208:L1209"/>
    <mergeCell ref="M1208:M1209"/>
    <mergeCell ref="N1208:N1209"/>
    <mergeCell ref="B1197:B1210"/>
    <mergeCell ref="J1222:J1223"/>
    <mergeCell ref="K1222:K1223"/>
    <mergeCell ref="L1222:L1223"/>
    <mergeCell ref="M1222:M1223"/>
    <mergeCell ref="N1254:N1255"/>
    <mergeCell ref="B1229:B1234"/>
    <mergeCell ref="B1235:B1242"/>
    <mergeCell ref="C1250:C1251"/>
    <mergeCell ref="D1250:D1251"/>
    <mergeCell ref="E1250:E1251"/>
    <mergeCell ref="F1250:F1251"/>
    <mergeCell ref="G1250:G1251"/>
    <mergeCell ref="H1250:H1251"/>
    <mergeCell ref="J1250:J1251"/>
    <mergeCell ref="B1272:B1276"/>
    <mergeCell ref="B1277:B1280"/>
    <mergeCell ref="B1281:B1284"/>
    <mergeCell ref="C1289:C1290"/>
    <mergeCell ref="D1289:D1290"/>
    <mergeCell ref="E1289:E1290"/>
    <mergeCell ref="I1289:I1290"/>
    <mergeCell ref="J1289:J1290"/>
    <mergeCell ref="M1256:M1257"/>
    <mergeCell ref="N1256:N1257"/>
    <mergeCell ref="B1243:B1248"/>
    <mergeCell ref="B1249:B1258"/>
    <mergeCell ref="C1268:C1269"/>
    <mergeCell ref="D1268:D1269"/>
    <mergeCell ref="E1268:E1269"/>
    <mergeCell ref="I1268:I1269"/>
    <mergeCell ref="J1268:J1269"/>
    <mergeCell ref="K1268:K1269"/>
    <mergeCell ref="L1268:L1269"/>
    <mergeCell ref="M1268:M1269"/>
    <mergeCell ref="N1268:N1269"/>
    <mergeCell ref="B1264:B1271"/>
    <mergeCell ref="J1293:J1294"/>
    <mergeCell ref="K1293:K1294"/>
    <mergeCell ref="L1293:L1294"/>
    <mergeCell ref="K1289:K1290"/>
    <mergeCell ref="L1289:L1290"/>
    <mergeCell ref="M1289:M1290"/>
    <mergeCell ref="N1289:N1290"/>
    <mergeCell ref="C1291:C1292"/>
    <mergeCell ref="D1291:D1292"/>
    <mergeCell ref="E1291:E1292"/>
    <mergeCell ref="F1291:F1292"/>
    <mergeCell ref="G1291:G1292"/>
    <mergeCell ref="H1291:H1292"/>
    <mergeCell ref="J1291:J1292"/>
    <mergeCell ref="K1291:K1292"/>
    <mergeCell ref="L1291:L1292"/>
    <mergeCell ref="M1291:M1292"/>
    <mergeCell ref="N1291:N1292"/>
    <mergeCell ref="K1309:K1310"/>
    <mergeCell ref="L1309:L1310"/>
    <mergeCell ref="M1309:M1310"/>
    <mergeCell ref="N1309:N1310"/>
    <mergeCell ref="C1306:C1307"/>
    <mergeCell ref="D1306:D1307"/>
    <mergeCell ref="E1306:E1307"/>
    <mergeCell ref="F1306:F1307"/>
    <mergeCell ref="H1306:H1307"/>
    <mergeCell ref="J1306:J1307"/>
    <mergeCell ref="K1306:K1307"/>
    <mergeCell ref="L1306:L1307"/>
    <mergeCell ref="M1306:M1307"/>
    <mergeCell ref="M1293:M1294"/>
    <mergeCell ref="N1293:N1294"/>
    <mergeCell ref="B1285:B1294"/>
    <mergeCell ref="B1295:B1301"/>
    <mergeCell ref="C1304:C1305"/>
    <mergeCell ref="D1304:D1305"/>
    <mergeCell ref="E1304:E1305"/>
    <mergeCell ref="F1304:F1305"/>
    <mergeCell ref="G1304:G1305"/>
    <mergeCell ref="H1304:H1305"/>
    <mergeCell ref="J1304:J1305"/>
    <mergeCell ref="K1304:K1305"/>
    <mergeCell ref="L1304:L1305"/>
    <mergeCell ref="M1304:M1305"/>
    <mergeCell ref="N1304:N1305"/>
    <mergeCell ref="C1293:C1294"/>
    <mergeCell ref="D1293:D1294"/>
    <mergeCell ref="E1293:E1294"/>
    <mergeCell ref="F1293:F1294"/>
    <mergeCell ref="M1312:M1313"/>
    <mergeCell ref="N1312:N1313"/>
    <mergeCell ref="B1302:B1313"/>
    <mergeCell ref="B1314:B1317"/>
    <mergeCell ref="C1321:C1322"/>
    <mergeCell ref="D1321:D1322"/>
    <mergeCell ref="E1321:E1322"/>
    <mergeCell ref="F1321:F1322"/>
    <mergeCell ref="G1321:G1322"/>
    <mergeCell ref="H1321:H1322"/>
    <mergeCell ref="J1321:J1322"/>
    <mergeCell ref="K1321:K1322"/>
    <mergeCell ref="L1321:L1322"/>
    <mergeCell ref="M1321:M1322"/>
    <mergeCell ref="N1321:N1322"/>
    <mergeCell ref="C1312:C1313"/>
    <mergeCell ref="D1312:D1313"/>
    <mergeCell ref="E1312:E1313"/>
    <mergeCell ref="F1312:F1313"/>
    <mergeCell ref="H1312:H1313"/>
    <mergeCell ref="I1312:I1313"/>
    <mergeCell ref="J1312:J1313"/>
    <mergeCell ref="K1312:K1313"/>
    <mergeCell ref="L1312:L1313"/>
    <mergeCell ref="N1306:N1307"/>
    <mergeCell ref="C1309:C1310"/>
    <mergeCell ref="D1309:D1310"/>
    <mergeCell ref="E1309:E1310"/>
    <mergeCell ref="F1309:F1310"/>
    <mergeCell ref="H1309:H1310"/>
    <mergeCell ref="I1309:I1310"/>
    <mergeCell ref="J1309:J1310"/>
    <mergeCell ref="B1369:B1376"/>
    <mergeCell ref="N1369:N1370"/>
    <mergeCell ref="B1377:B1382"/>
    <mergeCell ref="B1344:B1349"/>
    <mergeCell ref="B1350:B1353"/>
    <mergeCell ref="N1331:N1332"/>
    <mergeCell ref="B1318:B1332"/>
    <mergeCell ref="C1339:C1340"/>
    <mergeCell ref="D1339:D1340"/>
    <mergeCell ref="E1339:E1340"/>
    <mergeCell ref="F1339:F1340"/>
    <mergeCell ref="H1339:H1340"/>
    <mergeCell ref="J1339:J1340"/>
    <mergeCell ref="K1339:K1340"/>
    <mergeCell ref="L1339:L1340"/>
    <mergeCell ref="B1448:B1452"/>
    <mergeCell ref="C1439:C1440"/>
    <mergeCell ref="D1439:D1440"/>
    <mergeCell ref="E1439:E1440"/>
    <mergeCell ref="F1439:F1440"/>
    <mergeCell ref="H1439:H1440"/>
    <mergeCell ref="B1398:B1401"/>
    <mergeCell ref="B1402:B1404"/>
    <mergeCell ref="B1383:B1388"/>
    <mergeCell ref="B1389:B1397"/>
    <mergeCell ref="B1354:B1362"/>
    <mergeCell ref="B1363:B1368"/>
    <mergeCell ref="K1439:K1440"/>
    <mergeCell ref="L1439:L1440"/>
    <mergeCell ref="M1439:M1440"/>
    <mergeCell ref="M1339:M1340"/>
    <mergeCell ref="N1339:N1340"/>
    <mergeCell ref="B1707:B1711"/>
    <mergeCell ref="B1712:B1714"/>
    <mergeCell ref="B1686:B1692"/>
    <mergeCell ref="B1693:B1694"/>
    <mergeCell ref="B1333:B1338"/>
    <mergeCell ref="B1339:B1343"/>
    <mergeCell ref="C1331:C1332"/>
    <mergeCell ref="D1331:D1332"/>
    <mergeCell ref="E1331:E1332"/>
    <mergeCell ref="F1331:F1332"/>
    <mergeCell ref="H1331:H1332"/>
    <mergeCell ref="J1331:J1332"/>
    <mergeCell ref="K1331:K1332"/>
    <mergeCell ref="L1331:L1332"/>
    <mergeCell ref="M1331:M1332"/>
    <mergeCell ref="M1326:M1327"/>
    <mergeCell ref="N1326:N1327"/>
    <mergeCell ref="I1329:I1330"/>
    <mergeCell ref="J1329:J1330"/>
    <mergeCell ref="K1329:K1330"/>
    <mergeCell ref="L1329:L1330"/>
    <mergeCell ref="M1329:M1330"/>
    <mergeCell ref="N1329:N1330"/>
    <mergeCell ref="C1326:C1327"/>
    <mergeCell ref="D1326:D1327"/>
    <mergeCell ref="E1326:E1327"/>
    <mergeCell ref="F1326:F1327"/>
    <mergeCell ref="G1326:G1327"/>
    <mergeCell ref="H1326:H1327"/>
    <mergeCell ref="J1326:J1327"/>
    <mergeCell ref="K1326:K1327"/>
    <mergeCell ref="L1326:L1327"/>
  </mergeCells>
  <phoneticPr fontId="2" type="noConversion"/>
  <pageMargins left="0.7" right="0.7" top="0.75" bottom="0.75" header="0.3" footer="0.3"/>
  <pageSetup paperSize="9" scale="77" orientation="landscape" horizontalDpi="4294967292" r:id="rId1"/>
  <colBreaks count="1" manualBreakCount="1">
    <brk id="13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FF00"/>
  </sheetPr>
  <dimension ref="A3:E37"/>
  <sheetViews>
    <sheetView topLeftCell="A13" workbookViewId="0">
      <selection activeCell="A24" sqref="A24:D26"/>
    </sheetView>
  </sheetViews>
  <sheetFormatPr defaultRowHeight="16.5"/>
  <cols>
    <col min="1" max="1" width="12" style="587" customWidth="1"/>
    <col min="2" max="2" width="14.375" style="587" customWidth="1"/>
    <col min="3" max="3" width="12.5" style="587" customWidth="1"/>
    <col min="4" max="4" width="13.125" style="587" customWidth="1"/>
    <col min="5" max="7" width="9" style="587"/>
    <col min="8" max="8" width="39.875" style="587" customWidth="1"/>
    <col min="9" max="9" width="14.125" style="587" customWidth="1"/>
    <col min="10" max="10" width="13.5" style="587" customWidth="1"/>
    <col min="11" max="11" width="9" style="587"/>
    <col min="12" max="12" width="10.5" style="587" bestFit="1" customWidth="1"/>
    <col min="13" max="13" width="20.375" style="587" customWidth="1"/>
    <col min="14" max="16384" width="9" style="587"/>
  </cols>
  <sheetData>
    <row r="3" spans="1:4" ht="20.25">
      <c r="A3" s="586" t="s">
        <v>4864</v>
      </c>
    </row>
    <row r="4" spans="1:4">
      <c r="A4" s="587" t="s">
        <v>4878</v>
      </c>
    </row>
    <row r="7" spans="1:4" ht="20.25">
      <c r="A7" s="586" t="s">
        <v>4865</v>
      </c>
    </row>
    <row r="8" spans="1:4">
      <c r="A8" s="587" t="s">
        <v>4866</v>
      </c>
      <c r="B8" s="588">
        <f>C13</f>
        <v>4750000</v>
      </c>
    </row>
    <row r="10" spans="1:4">
      <c r="A10" s="589" t="s">
        <v>4855</v>
      </c>
      <c r="B10" s="589" t="s">
        <v>4856</v>
      </c>
      <c r="C10" s="1155" t="s">
        <v>4857</v>
      </c>
      <c r="D10" s="1155"/>
    </row>
    <row r="11" spans="1:4">
      <c r="A11" s="589" t="s">
        <v>4858</v>
      </c>
      <c r="B11" s="589">
        <v>7</v>
      </c>
      <c r="C11" s="1156">
        <f>'사전품의양식 (12)'!L9</f>
        <v>3750000</v>
      </c>
      <c r="D11" s="1156"/>
    </row>
    <row r="12" spans="1:4">
      <c r="A12" s="589" t="s">
        <v>4859</v>
      </c>
      <c r="B12" s="589">
        <v>3</v>
      </c>
      <c r="C12" s="1156">
        <f>'사전품의양식 (12)'!L14</f>
        <v>1000000</v>
      </c>
      <c r="D12" s="1156"/>
    </row>
    <row r="13" spans="1:4">
      <c r="A13" s="591" t="s">
        <v>53</v>
      </c>
      <c r="B13" s="591">
        <f>SUM(B11:B12)</f>
        <v>10</v>
      </c>
      <c r="C13" s="1157">
        <f>SUM(C11:C12)</f>
        <v>4750000</v>
      </c>
      <c r="D13" s="1157"/>
    </row>
    <row r="15" spans="1:4">
      <c r="A15" s="587" t="s">
        <v>4860</v>
      </c>
    </row>
    <row r="16" spans="1:4">
      <c r="A16" s="589" t="s">
        <v>4880</v>
      </c>
      <c r="B16" s="589" t="s">
        <v>4862</v>
      </c>
      <c r="C16" s="589" t="s">
        <v>4863</v>
      </c>
      <c r="D16" s="589" t="s">
        <v>53</v>
      </c>
    </row>
    <row r="17" spans="1:5">
      <c r="A17" s="589" t="s">
        <v>5510</v>
      </c>
      <c r="B17" s="590">
        <v>0</v>
      </c>
      <c r="C17" s="590">
        <v>500000</v>
      </c>
      <c r="D17" s="593">
        <f>SUM(B17:C17)</f>
        <v>500000</v>
      </c>
    </row>
    <row r="18" spans="1:5">
      <c r="A18" s="589" t="s">
        <v>5511</v>
      </c>
      <c r="B18" s="590">
        <f>C11-B17</f>
        <v>3750000</v>
      </c>
      <c r="C18" s="590">
        <f>C12-C17</f>
        <v>500000</v>
      </c>
      <c r="D18" s="590">
        <f>SUM(B18:C18)</f>
        <v>4250000</v>
      </c>
    </row>
    <row r="19" spans="1:5">
      <c r="A19" s="591" t="s">
        <v>4861</v>
      </c>
      <c r="B19" s="592">
        <f>SUM(B17:B18)</f>
        <v>3750000</v>
      </c>
      <c r="C19" s="592">
        <f>SUM(C17:C18)</f>
        <v>1000000</v>
      </c>
      <c r="D19" s="592">
        <f>SUM(D17:D18)</f>
        <v>4750000</v>
      </c>
    </row>
    <row r="22" spans="1:5" ht="20.25">
      <c r="A22" s="586" t="s">
        <v>4871</v>
      </c>
    </row>
    <row r="24" spans="1:5">
      <c r="A24" s="915" t="s">
        <v>4855</v>
      </c>
      <c r="B24" s="915" t="s">
        <v>4869</v>
      </c>
      <c r="C24" s="1155" t="s">
        <v>4872</v>
      </c>
      <c r="D24" s="1155"/>
      <c r="E24" s="915"/>
    </row>
    <row r="25" spans="1:5">
      <c r="A25" s="915" t="s">
        <v>4873</v>
      </c>
      <c r="B25" s="915" t="s">
        <v>4874</v>
      </c>
      <c r="C25" s="1154" t="s">
        <v>4875</v>
      </c>
      <c r="D25" s="1154"/>
      <c r="E25" s="915"/>
    </row>
    <row r="26" spans="1:5">
      <c r="A26" s="915" t="s">
        <v>7567</v>
      </c>
      <c r="B26" s="915" t="s">
        <v>7568</v>
      </c>
      <c r="C26" s="1154" t="s">
        <v>7569</v>
      </c>
      <c r="D26" s="1154"/>
      <c r="E26" s="915"/>
    </row>
    <row r="27" spans="1:5" ht="20.25">
      <c r="A27" s="586" t="s">
        <v>4867</v>
      </c>
    </row>
    <row r="29" spans="1:5">
      <c r="A29" s="587" t="s">
        <v>4876</v>
      </c>
    </row>
    <row r="31" spans="1:5">
      <c r="A31" s="587" t="s">
        <v>4877</v>
      </c>
    </row>
    <row r="33" spans="1:1">
      <c r="A33" s="587" t="s">
        <v>4870</v>
      </c>
    </row>
    <row r="37" spans="1:1" ht="20.25">
      <c r="A37" s="586" t="s">
        <v>4868</v>
      </c>
    </row>
  </sheetData>
  <mergeCells count="7">
    <mergeCell ref="C26:D26"/>
    <mergeCell ref="C25:D25"/>
    <mergeCell ref="C10:D10"/>
    <mergeCell ref="C11:D11"/>
    <mergeCell ref="C12:D12"/>
    <mergeCell ref="C13:D13"/>
    <mergeCell ref="C24:D24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FF00"/>
    <pageSetUpPr fitToPage="1"/>
  </sheetPr>
  <dimension ref="A1:P37"/>
  <sheetViews>
    <sheetView tabSelected="1" topLeftCell="A2" zoomScale="90" zoomScaleNormal="90" zoomScaleSheetLayoutView="55" workbookViewId="0">
      <selection activeCell="A4" sqref="A4:A9"/>
    </sheetView>
  </sheetViews>
  <sheetFormatPr defaultRowHeight="12"/>
  <cols>
    <col min="1" max="1" width="9" style="667"/>
    <col min="2" max="2" width="11.375" style="667" customWidth="1"/>
    <col min="3" max="3" width="9.875" style="667" bestFit="1" customWidth="1"/>
    <col min="4" max="5" width="9" style="667"/>
    <col min="6" max="6" width="11.625" style="667" customWidth="1"/>
    <col min="7" max="7" width="9" style="667"/>
    <col min="8" max="8" width="38.25" style="667" customWidth="1"/>
    <col min="9" max="9" width="12.375" style="667" customWidth="1"/>
    <col min="10" max="10" width="12.625" style="667" bestFit="1" customWidth="1"/>
    <col min="11" max="11" width="9" style="667"/>
    <col min="12" max="12" width="13.625" style="667" customWidth="1"/>
    <col min="13" max="13" width="14.5" style="667" customWidth="1"/>
    <col min="14" max="14" width="39.75" style="667" bestFit="1" customWidth="1"/>
    <col min="15" max="15" width="10.875" style="667" bestFit="1" customWidth="1"/>
    <col min="16" max="16384" width="9" style="667"/>
  </cols>
  <sheetData>
    <row r="1" spans="1:14" ht="12.75" hidden="1" thickBot="1">
      <c r="A1" s="679"/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</row>
    <row r="2" spans="1:14">
      <c r="A2" s="1158" t="s">
        <v>7656</v>
      </c>
      <c r="B2" s="1158" t="s">
        <v>1</v>
      </c>
      <c r="C2" s="1158" t="s">
        <v>2</v>
      </c>
      <c r="D2" s="1158" t="s">
        <v>3</v>
      </c>
      <c r="E2" s="777" t="s">
        <v>2623</v>
      </c>
      <c r="F2" s="1158" t="s">
        <v>5</v>
      </c>
      <c r="G2" s="1158" t="s">
        <v>6</v>
      </c>
      <c r="H2" s="1158" t="s">
        <v>2624</v>
      </c>
      <c r="I2" s="1158" t="s">
        <v>55</v>
      </c>
      <c r="J2" s="1158" t="s">
        <v>9</v>
      </c>
      <c r="K2" s="1159" t="s">
        <v>56</v>
      </c>
      <c r="L2" s="1158" t="s">
        <v>57</v>
      </c>
      <c r="M2" s="1158" t="s">
        <v>58</v>
      </c>
    </row>
    <row r="3" spans="1:14">
      <c r="A3" s="1158"/>
      <c r="B3" s="1158"/>
      <c r="C3" s="1158"/>
      <c r="D3" s="1158"/>
      <c r="E3" s="777" t="s">
        <v>1724</v>
      </c>
      <c r="F3" s="1158"/>
      <c r="G3" s="1158"/>
      <c r="H3" s="1158"/>
      <c r="I3" s="1158"/>
      <c r="J3" s="1158"/>
      <c r="K3" s="1159"/>
      <c r="L3" s="1158"/>
      <c r="M3" s="1158"/>
    </row>
    <row r="4" spans="1:14" s="680" customFormat="1" ht="17.100000000000001" customHeight="1">
      <c r="A4" s="952" t="s">
        <v>20</v>
      </c>
      <c r="B4" s="399" t="s">
        <v>7642</v>
      </c>
      <c r="C4" s="721" t="s">
        <v>7630</v>
      </c>
      <c r="D4" s="632" t="s">
        <v>7631</v>
      </c>
      <c r="E4" s="633" t="s">
        <v>7632</v>
      </c>
      <c r="F4" s="875" t="s">
        <v>7633</v>
      </c>
      <c r="G4" s="875" t="s">
        <v>7634</v>
      </c>
      <c r="H4" s="877" t="s">
        <v>7635</v>
      </c>
      <c r="I4" s="633" t="s">
        <v>7636</v>
      </c>
      <c r="J4" s="877" t="s">
        <v>7638</v>
      </c>
      <c r="K4" s="698" t="s">
        <v>7637</v>
      </c>
      <c r="L4" s="876">
        <f>250000*4</f>
        <v>1000000</v>
      </c>
      <c r="M4" s="646"/>
    </row>
    <row r="5" spans="1:14" s="680" customFormat="1" ht="17.100000000000001" customHeight="1">
      <c r="A5" s="952"/>
      <c r="B5" s="399">
        <v>46332</v>
      </c>
      <c r="C5" s="721" t="s">
        <v>7630</v>
      </c>
      <c r="D5" s="632" t="s">
        <v>7631</v>
      </c>
      <c r="E5" s="633" t="s">
        <v>7632</v>
      </c>
      <c r="F5" s="875" t="s">
        <v>7641</v>
      </c>
      <c r="G5" s="875" t="s">
        <v>7640</v>
      </c>
      <c r="H5" s="936" t="s">
        <v>7635</v>
      </c>
      <c r="I5" s="633" t="s">
        <v>7636</v>
      </c>
      <c r="J5" s="936" t="s">
        <v>7639</v>
      </c>
      <c r="K5" s="698" t="s">
        <v>7637</v>
      </c>
      <c r="L5" s="909">
        <v>250000</v>
      </c>
      <c r="M5" s="646"/>
    </row>
    <row r="6" spans="1:14" s="680" customFormat="1" ht="17.100000000000001" customHeight="1">
      <c r="A6" s="952"/>
      <c r="B6" s="399" t="s">
        <v>7642</v>
      </c>
      <c r="C6" s="721" t="s">
        <v>7630</v>
      </c>
      <c r="D6" s="632" t="s">
        <v>7631</v>
      </c>
      <c r="E6" s="633" t="s">
        <v>7632</v>
      </c>
      <c r="F6" s="908" t="s">
        <v>7643</v>
      </c>
      <c r="G6" s="908" t="s">
        <v>7644</v>
      </c>
      <c r="H6" s="911" t="s">
        <v>7645</v>
      </c>
      <c r="I6" s="633" t="s">
        <v>7646</v>
      </c>
      <c r="J6" s="936" t="s">
        <v>7638</v>
      </c>
      <c r="K6" s="698" t="s">
        <v>7637</v>
      </c>
      <c r="L6" s="932">
        <f>250000*4</f>
        <v>1000000</v>
      </c>
      <c r="M6" s="646"/>
    </row>
    <row r="7" spans="1:14" s="680" customFormat="1" ht="17.100000000000001" customHeight="1">
      <c r="A7" s="952"/>
      <c r="B7" s="399">
        <v>46332</v>
      </c>
      <c r="C7" s="721" t="s">
        <v>7630</v>
      </c>
      <c r="D7" s="632" t="s">
        <v>7631</v>
      </c>
      <c r="E7" s="633" t="s">
        <v>7632</v>
      </c>
      <c r="F7" s="908">
        <v>7065</v>
      </c>
      <c r="G7" s="908" t="s">
        <v>7647</v>
      </c>
      <c r="H7" s="851" t="s">
        <v>7648</v>
      </c>
      <c r="I7" s="633" t="s">
        <v>7649</v>
      </c>
      <c r="J7" s="936" t="s">
        <v>7639</v>
      </c>
      <c r="K7" s="698" t="s">
        <v>7637</v>
      </c>
      <c r="L7" s="932">
        <v>250000</v>
      </c>
      <c r="M7" s="646"/>
    </row>
    <row r="8" spans="1:14" s="680" customFormat="1" ht="17.100000000000001" customHeight="1">
      <c r="A8" s="952"/>
      <c r="B8" s="399" t="s">
        <v>7650</v>
      </c>
      <c r="C8" s="721" t="s">
        <v>7630</v>
      </c>
      <c r="D8" s="632" t="s">
        <v>7631</v>
      </c>
      <c r="E8" s="633" t="s">
        <v>7632</v>
      </c>
      <c r="F8" s="850" t="s">
        <v>7651</v>
      </c>
      <c r="G8" s="850" t="s">
        <v>7652</v>
      </c>
      <c r="H8" s="911" t="s">
        <v>7653</v>
      </c>
      <c r="I8" s="633" t="s">
        <v>7654</v>
      </c>
      <c r="J8" s="911" t="s">
        <v>7655</v>
      </c>
      <c r="K8" s="698" t="s">
        <v>7637</v>
      </c>
      <c r="L8" s="932">
        <f>250000*5</f>
        <v>1250000</v>
      </c>
      <c r="M8" s="646"/>
    </row>
    <row r="9" spans="1:14" ht="17.100000000000001" customHeight="1">
      <c r="A9" s="952"/>
      <c r="B9" s="952" t="s">
        <v>1136</v>
      </c>
      <c r="C9" s="952"/>
      <c r="D9" s="952"/>
      <c r="E9" s="952"/>
      <c r="F9" s="952"/>
      <c r="G9" s="952"/>
      <c r="H9" s="952"/>
      <c r="I9" s="952"/>
      <c r="J9" s="952"/>
      <c r="K9" s="952"/>
      <c r="L9" s="724">
        <f>SUM(L4:L8)</f>
        <v>3750000</v>
      </c>
      <c r="M9" s="646"/>
    </row>
    <row r="10" spans="1:14" ht="24">
      <c r="A10" s="952" t="s">
        <v>21</v>
      </c>
      <c r="B10" s="399">
        <v>46324</v>
      </c>
      <c r="C10" s="4" t="s">
        <v>21</v>
      </c>
      <c r="D10" s="4" t="s">
        <v>14</v>
      </c>
      <c r="E10" s="935" t="s">
        <v>211</v>
      </c>
      <c r="F10" s="930" t="s">
        <v>2916</v>
      </c>
      <c r="G10" s="16" t="s">
        <v>2917</v>
      </c>
      <c r="H10" s="935" t="s">
        <v>230</v>
      </c>
      <c r="I10" s="935" t="s">
        <v>1948</v>
      </c>
      <c r="J10" s="935" t="s">
        <v>777</v>
      </c>
      <c r="K10" s="125" t="s">
        <v>15</v>
      </c>
      <c r="L10" s="752">
        <v>250000</v>
      </c>
      <c r="M10" s="646" t="s">
        <v>7626</v>
      </c>
    </row>
    <row r="11" spans="1:14" ht="24">
      <c r="A11" s="952"/>
      <c r="B11" s="399">
        <v>46324</v>
      </c>
      <c r="C11" s="4" t="s">
        <v>21</v>
      </c>
      <c r="D11" s="4" t="s">
        <v>14</v>
      </c>
      <c r="E11" s="935" t="s">
        <v>1787</v>
      </c>
      <c r="F11" s="930" t="s">
        <v>2817</v>
      </c>
      <c r="G11" s="16" t="s">
        <v>67</v>
      </c>
      <c r="H11" s="935" t="s">
        <v>7595</v>
      </c>
      <c r="I11" s="930"/>
      <c r="J11" s="930" t="s">
        <v>41</v>
      </c>
      <c r="K11" s="125" t="s">
        <v>15</v>
      </c>
      <c r="L11" s="752">
        <v>250000</v>
      </c>
      <c r="M11" s="646" t="s">
        <v>7626</v>
      </c>
    </row>
    <row r="12" spans="1:14" ht="40.5">
      <c r="A12" s="952"/>
      <c r="B12" s="369">
        <v>46328</v>
      </c>
      <c r="C12" s="4" t="s">
        <v>21</v>
      </c>
      <c r="D12" s="4" t="s">
        <v>17</v>
      </c>
      <c r="E12" s="935" t="s">
        <v>7279</v>
      </c>
      <c r="F12" s="935" t="s">
        <v>7607</v>
      </c>
      <c r="G12" s="16" t="s">
        <v>7608</v>
      </c>
      <c r="H12" s="935" t="s">
        <v>7609</v>
      </c>
      <c r="I12" s="930"/>
      <c r="J12" s="930" t="s">
        <v>7613</v>
      </c>
      <c r="K12" s="125" t="s">
        <v>15</v>
      </c>
      <c r="L12" s="752">
        <v>250000</v>
      </c>
      <c r="M12" s="646" t="s">
        <v>7627</v>
      </c>
    </row>
    <row r="13" spans="1:14" ht="24">
      <c r="A13" s="952"/>
      <c r="B13" s="369">
        <v>46331</v>
      </c>
      <c r="C13" s="4" t="s">
        <v>21</v>
      </c>
      <c r="D13" s="4" t="s">
        <v>14</v>
      </c>
      <c r="E13" s="930" t="s">
        <v>1893</v>
      </c>
      <c r="F13" s="930" t="s">
        <v>6816</v>
      </c>
      <c r="G13" s="16" t="s">
        <v>102</v>
      </c>
      <c r="H13" s="935" t="s">
        <v>7612</v>
      </c>
      <c r="I13" s="930" t="s">
        <v>7610</v>
      </c>
      <c r="J13" s="935" t="s">
        <v>7611</v>
      </c>
      <c r="K13" s="125" t="s">
        <v>15</v>
      </c>
      <c r="L13" s="752">
        <v>250000</v>
      </c>
      <c r="M13" s="646" t="s">
        <v>7629</v>
      </c>
    </row>
    <row r="14" spans="1:14" ht="17.100000000000001" customHeight="1">
      <c r="A14" s="952"/>
      <c r="B14" s="952" t="s">
        <v>4879</v>
      </c>
      <c r="C14" s="952"/>
      <c r="D14" s="952"/>
      <c r="E14" s="952"/>
      <c r="F14" s="952"/>
      <c r="G14" s="952"/>
      <c r="H14" s="952"/>
      <c r="I14" s="952"/>
      <c r="J14" s="952"/>
      <c r="K14" s="952"/>
      <c r="L14" s="724">
        <f>SUM(L10:L13)</f>
        <v>1000000</v>
      </c>
      <c r="M14" s="646"/>
    </row>
    <row r="15" spans="1:14" ht="25.5" customHeight="1">
      <c r="A15" s="1160" t="s">
        <v>62</v>
      </c>
      <c r="B15" s="1160"/>
      <c r="C15" s="1160"/>
      <c r="D15" s="1160"/>
      <c r="E15" s="1160"/>
      <c r="F15" s="1160"/>
      <c r="G15" s="1160"/>
      <c r="H15" s="1160"/>
      <c r="I15" s="1160"/>
      <c r="J15" s="1160"/>
      <c r="K15" s="1160"/>
      <c r="L15" s="724">
        <f>L9+L14</f>
        <v>4750000</v>
      </c>
      <c r="M15" s="649"/>
    </row>
    <row r="16" spans="1:14" ht="26.25" customHeight="1">
      <c r="N16" s="859"/>
    </row>
    <row r="17" spans="1:16" ht="26.25" hidden="1" customHeight="1"/>
    <row r="18" spans="1:16" ht="25.5" hidden="1" customHeight="1">
      <c r="B18" s="681" t="s">
        <v>1144</v>
      </c>
      <c r="C18" s="682"/>
      <c r="D18" s="682"/>
      <c r="E18" s="682"/>
      <c r="F18" s="682"/>
      <c r="G18" s="682"/>
      <c r="H18" s="682"/>
      <c r="I18" s="682"/>
    </row>
    <row r="19" spans="1:16" ht="25.5" hidden="1" customHeight="1">
      <c r="B19" s="683" t="s">
        <v>1140</v>
      </c>
      <c r="C19" s="681">
        <v>45282</v>
      </c>
      <c r="D19" s="682" t="s">
        <v>1151</v>
      </c>
      <c r="E19" s="682"/>
      <c r="F19" s="682"/>
      <c r="G19" s="682"/>
      <c r="I19" s="682"/>
    </row>
    <row r="20" spans="1:16" ht="25.5" hidden="1" customHeight="1">
      <c r="B20" s="683" t="s">
        <v>1141</v>
      </c>
      <c r="C20" s="681">
        <v>45282</v>
      </c>
      <c r="D20" s="682" t="s">
        <v>1143</v>
      </c>
      <c r="E20" s="682"/>
      <c r="F20" s="682"/>
      <c r="G20" s="682"/>
      <c r="H20" s="682"/>
      <c r="I20" s="682"/>
    </row>
    <row r="21" spans="1:16" ht="25.5" hidden="1" customHeight="1">
      <c r="B21" s="683" t="s">
        <v>1145</v>
      </c>
      <c r="C21" s="684" t="s">
        <v>1142</v>
      </c>
      <c r="D21" s="682" t="s">
        <v>1152</v>
      </c>
      <c r="E21" s="682"/>
      <c r="F21" s="682"/>
      <c r="G21" s="682"/>
      <c r="H21" s="682"/>
      <c r="I21" s="682"/>
    </row>
    <row r="22" spans="1:16" ht="20.100000000000001" hidden="1" customHeight="1">
      <c r="B22" s="682"/>
      <c r="C22" s="682" t="s">
        <v>1146</v>
      </c>
      <c r="D22" s="682"/>
      <c r="E22" s="682"/>
      <c r="F22" s="682"/>
      <c r="G22" s="682"/>
      <c r="H22" s="682"/>
      <c r="I22" s="682"/>
    </row>
    <row r="23" spans="1:16" ht="16.5" hidden="1" customHeight="1"/>
    <row r="24" spans="1:16" ht="20.100000000000001" hidden="1" customHeight="1">
      <c r="J24" s="682"/>
    </row>
    <row r="27" spans="1:16" ht="28.5" customHeight="1">
      <c r="A27" s="854" t="s">
        <v>0</v>
      </c>
      <c r="B27" s="855" t="s">
        <v>1</v>
      </c>
      <c r="C27" s="854" t="s">
        <v>2</v>
      </c>
      <c r="D27" s="854" t="s">
        <v>3</v>
      </c>
      <c r="E27" s="854" t="s">
        <v>4</v>
      </c>
      <c r="F27" s="854" t="s">
        <v>5</v>
      </c>
      <c r="G27" s="854" t="s">
        <v>6</v>
      </c>
      <c r="H27" s="856" t="s">
        <v>7</v>
      </c>
      <c r="I27" s="854" t="s">
        <v>8</v>
      </c>
      <c r="J27" s="854" t="s">
        <v>9</v>
      </c>
      <c r="K27" s="857" t="s">
        <v>10</v>
      </c>
      <c r="L27" s="854" t="s">
        <v>12</v>
      </c>
      <c r="M27" s="858" t="s">
        <v>63</v>
      </c>
      <c r="N27" s="918"/>
    </row>
    <row r="28" spans="1:16" s="17" customFormat="1" ht="33" customHeight="1">
      <c r="A28" s="927" t="s">
        <v>7625</v>
      </c>
      <c r="B28" s="369">
        <v>46328</v>
      </c>
      <c r="C28" s="4" t="s">
        <v>21</v>
      </c>
      <c r="D28" s="4" t="s">
        <v>14</v>
      </c>
      <c r="E28" s="935" t="s">
        <v>7279</v>
      </c>
      <c r="F28" s="930" t="s">
        <v>2907</v>
      </c>
      <c r="G28" s="16" t="s">
        <v>23</v>
      </c>
      <c r="H28" s="935" t="s">
        <v>7447</v>
      </c>
      <c r="I28" s="930" t="s">
        <v>90</v>
      </c>
      <c r="J28" s="930"/>
      <c r="K28" s="125" t="s">
        <v>15</v>
      </c>
      <c r="L28" s="8">
        <v>1</v>
      </c>
      <c r="M28" s="8"/>
      <c r="N28" s="930"/>
      <c r="O28" s="431"/>
      <c r="P28" s="930"/>
    </row>
    <row r="29" spans="1:16" s="17" customFormat="1" ht="40.5">
      <c r="A29" s="928"/>
      <c r="B29" s="369">
        <v>46328</v>
      </c>
      <c r="C29" s="4" t="s">
        <v>21</v>
      </c>
      <c r="D29" s="4" t="s">
        <v>17</v>
      </c>
      <c r="E29" s="935" t="s">
        <v>7279</v>
      </c>
      <c r="F29" s="935" t="s">
        <v>7607</v>
      </c>
      <c r="G29" s="16" t="s">
        <v>7608</v>
      </c>
      <c r="H29" s="935" t="s">
        <v>7609</v>
      </c>
      <c r="I29" s="930"/>
      <c r="J29" s="930" t="s">
        <v>7613</v>
      </c>
      <c r="K29" s="125" t="s">
        <v>15</v>
      </c>
      <c r="L29" s="8">
        <v>1</v>
      </c>
      <c r="M29" s="8"/>
      <c r="N29" s="930"/>
      <c r="O29" s="431"/>
      <c r="P29" s="930"/>
    </row>
    <row r="30" spans="1:16" s="17" customFormat="1" ht="33.75" customHeight="1">
      <c r="A30" s="928"/>
      <c r="B30" s="369">
        <v>46328</v>
      </c>
      <c r="C30" s="4" t="s">
        <v>6707</v>
      </c>
      <c r="D30" s="4" t="s">
        <v>25</v>
      </c>
      <c r="E30" s="930" t="s">
        <v>6709</v>
      </c>
      <c r="F30" s="930">
        <v>7065</v>
      </c>
      <c r="G30" s="16" t="s">
        <v>145</v>
      </c>
      <c r="H30" s="935" t="s">
        <v>7519</v>
      </c>
      <c r="I30" s="930" t="s">
        <v>7618</v>
      </c>
      <c r="J30" s="930"/>
      <c r="K30" s="277" t="s">
        <v>209</v>
      </c>
      <c r="L30" s="18" t="s">
        <v>209</v>
      </c>
      <c r="M30" s="18"/>
      <c r="N30" s="930"/>
      <c r="O30" s="431"/>
      <c r="P30" s="930"/>
    </row>
    <row r="31" spans="1:16" s="17" customFormat="1" ht="33" customHeight="1">
      <c r="A31" s="928"/>
      <c r="B31" s="369">
        <v>46329</v>
      </c>
      <c r="C31" s="4" t="s">
        <v>21</v>
      </c>
      <c r="D31" s="4" t="s">
        <v>14</v>
      </c>
      <c r="E31" s="930" t="s">
        <v>107</v>
      </c>
      <c r="F31" s="453" t="s">
        <v>6745</v>
      </c>
      <c r="G31" s="16" t="s">
        <v>376</v>
      </c>
      <c r="H31" s="934" t="s">
        <v>7280</v>
      </c>
      <c r="I31" s="930" t="s">
        <v>90</v>
      </c>
      <c r="J31" s="930"/>
      <c r="K31" s="125" t="s">
        <v>15</v>
      </c>
      <c r="L31" s="8">
        <v>1</v>
      </c>
      <c r="M31" s="8"/>
      <c r="N31" s="933"/>
      <c r="O31" s="430" t="s">
        <v>7281</v>
      </c>
      <c r="P31" s="930"/>
    </row>
    <row r="32" spans="1:16" s="17" customFormat="1" ht="33" customHeight="1">
      <c r="A32" s="928"/>
      <c r="B32" s="369">
        <v>46329</v>
      </c>
      <c r="C32" s="4" t="s">
        <v>6707</v>
      </c>
      <c r="D32" s="4" t="s">
        <v>25</v>
      </c>
      <c r="E32" s="930" t="s">
        <v>6709</v>
      </c>
      <c r="F32" s="930">
        <v>7065</v>
      </c>
      <c r="G32" s="16" t="s">
        <v>145</v>
      </c>
      <c r="H32" s="935" t="s">
        <v>7519</v>
      </c>
      <c r="I32" s="930" t="s">
        <v>7618</v>
      </c>
      <c r="J32" s="930"/>
      <c r="K32" s="277" t="s">
        <v>209</v>
      </c>
      <c r="L32" s="18" t="s">
        <v>209</v>
      </c>
      <c r="M32" s="18"/>
      <c r="N32" s="933"/>
      <c r="O32" s="430"/>
      <c r="P32" s="930"/>
    </row>
    <row r="33" spans="1:16" s="17" customFormat="1" ht="33" customHeight="1">
      <c r="A33" s="928"/>
      <c r="B33" s="369">
        <v>46330</v>
      </c>
      <c r="C33" s="4" t="s">
        <v>6707</v>
      </c>
      <c r="D33" s="4" t="s">
        <v>25</v>
      </c>
      <c r="E33" s="930" t="s">
        <v>6709</v>
      </c>
      <c r="F33" s="930">
        <v>7065</v>
      </c>
      <c r="G33" s="16" t="s">
        <v>145</v>
      </c>
      <c r="H33" s="935" t="s">
        <v>7519</v>
      </c>
      <c r="I33" s="930" t="s">
        <v>7618</v>
      </c>
      <c r="J33" s="930"/>
      <c r="K33" s="277" t="s">
        <v>209</v>
      </c>
      <c r="L33" s="18" t="s">
        <v>209</v>
      </c>
      <c r="M33" s="18"/>
      <c r="N33" s="933"/>
      <c r="O33" s="430"/>
      <c r="P33" s="930"/>
    </row>
    <row r="34" spans="1:16" s="17" customFormat="1" ht="33" customHeight="1">
      <c r="A34" s="928"/>
      <c r="B34" s="369">
        <v>46331</v>
      </c>
      <c r="C34" s="4" t="s">
        <v>21</v>
      </c>
      <c r="D34" s="4" t="s">
        <v>14</v>
      </c>
      <c r="E34" s="930" t="s">
        <v>1893</v>
      </c>
      <c r="F34" s="930" t="s">
        <v>6816</v>
      </c>
      <c r="G34" s="16" t="s">
        <v>102</v>
      </c>
      <c r="H34" s="935" t="s">
        <v>7612</v>
      </c>
      <c r="I34" s="930" t="s">
        <v>7610</v>
      </c>
      <c r="J34" s="935" t="s">
        <v>7611</v>
      </c>
      <c r="K34" s="125" t="s">
        <v>15</v>
      </c>
      <c r="L34" s="8">
        <v>3</v>
      </c>
      <c r="M34" s="8"/>
      <c r="N34" s="933"/>
      <c r="O34" s="430" t="s">
        <v>7566</v>
      </c>
      <c r="P34" s="930"/>
    </row>
    <row r="35" spans="1:16" s="17" customFormat="1" ht="33" customHeight="1">
      <c r="A35" s="928"/>
      <c r="B35" s="369">
        <v>46331</v>
      </c>
      <c r="C35" s="4" t="s">
        <v>6707</v>
      </c>
      <c r="D35" s="4" t="s">
        <v>25</v>
      </c>
      <c r="E35" s="930" t="s">
        <v>6709</v>
      </c>
      <c r="F35" s="930">
        <v>7065</v>
      </c>
      <c r="G35" s="16" t="s">
        <v>145</v>
      </c>
      <c r="H35" s="935" t="s">
        <v>7519</v>
      </c>
      <c r="I35" s="930" t="s">
        <v>7618</v>
      </c>
      <c r="J35" s="930"/>
      <c r="K35" s="277" t="s">
        <v>209</v>
      </c>
      <c r="L35" s="18" t="s">
        <v>209</v>
      </c>
      <c r="M35" s="18"/>
      <c r="N35" s="933"/>
      <c r="O35" s="430"/>
      <c r="P35" s="930"/>
    </row>
    <row r="36" spans="1:16" s="17" customFormat="1" ht="33" customHeight="1">
      <c r="A36" s="928"/>
      <c r="B36" s="369">
        <v>46332</v>
      </c>
      <c r="C36" s="4" t="s">
        <v>6707</v>
      </c>
      <c r="D36" s="4" t="s">
        <v>25</v>
      </c>
      <c r="E36" s="930" t="s">
        <v>6709</v>
      </c>
      <c r="F36" s="930">
        <v>7065</v>
      </c>
      <c r="G36" s="16" t="s">
        <v>145</v>
      </c>
      <c r="H36" s="935" t="s">
        <v>7519</v>
      </c>
      <c r="I36" s="930" t="s">
        <v>7628</v>
      </c>
      <c r="J36" s="930"/>
      <c r="K36" s="277" t="s">
        <v>209</v>
      </c>
      <c r="L36" s="18" t="s">
        <v>209</v>
      </c>
      <c r="M36" s="18"/>
      <c r="N36" s="933"/>
      <c r="O36" s="430"/>
      <c r="P36" s="930"/>
    </row>
    <row r="37" spans="1:16" s="17" customFormat="1" ht="33" customHeight="1">
      <c r="A37" s="929"/>
      <c r="B37" s="369">
        <v>46333</v>
      </c>
      <c r="C37" s="4"/>
      <c r="D37" s="4"/>
      <c r="E37" s="291"/>
      <c r="F37" s="930"/>
      <c r="G37" s="16"/>
      <c r="H37" s="935"/>
      <c r="I37" s="930"/>
      <c r="J37" s="930"/>
      <c r="K37" s="125"/>
      <c r="L37" s="16"/>
      <c r="M37" s="8"/>
      <c r="N37" s="930"/>
      <c r="O37" s="432"/>
      <c r="P37" s="930"/>
    </row>
  </sheetData>
  <mergeCells count="17">
    <mergeCell ref="B9:K9"/>
    <mergeCell ref="A15:K15"/>
    <mergeCell ref="B14:K14"/>
    <mergeCell ref="A10:A14"/>
    <mergeCell ref="A4:A9"/>
    <mergeCell ref="M2:M3"/>
    <mergeCell ref="A2:A3"/>
    <mergeCell ref="B2:B3"/>
    <mergeCell ref="C2:C3"/>
    <mergeCell ref="D2:D3"/>
    <mergeCell ref="F2:F3"/>
    <mergeCell ref="G2:G3"/>
    <mergeCell ref="H2:H3"/>
    <mergeCell ref="I2:I3"/>
    <mergeCell ref="J2:J3"/>
    <mergeCell ref="K2:K3"/>
    <mergeCell ref="L2:L3"/>
  </mergeCells>
  <phoneticPr fontId="2" type="noConversion"/>
  <printOptions verticalCentered="1"/>
  <pageMargins left="0.70866141732283472" right="0.70866141732283472" top="0.15748031496062992" bottom="0.15748031496062992" header="0.31496062992125984" footer="0.31496062992125984"/>
  <pageSetup paperSize="9" scale="71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4:O1142"/>
  <sheetViews>
    <sheetView topLeftCell="A1101" zoomScaleNormal="100" workbookViewId="0">
      <selection activeCell="F1128" sqref="F1128"/>
    </sheetView>
  </sheetViews>
  <sheetFormatPr defaultRowHeight="16.5"/>
  <cols>
    <col min="1" max="1" width="11.25" customWidth="1"/>
    <col min="2" max="2" width="9.75" bestFit="1" customWidth="1"/>
    <col min="6" max="6" width="11.875" customWidth="1"/>
    <col min="8" max="8" width="29.25" customWidth="1"/>
    <col min="9" max="9" width="10.875" bestFit="1" customWidth="1"/>
    <col min="10" max="10" width="9.5" bestFit="1" customWidth="1"/>
    <col min="11" max="11" width="18.375" customWidth="1"/>
    <col min="12" max="12" width="11.875" style="222" bestFit="1" customWidth="1"/>
    <col min="13" max="13" width="9.875" bestFit="1" customWidth="1"/>
    <col min="15" max="15" width="9.5" bestFit="1" customWidth="1"/>
  </cols>
  <sheetData>
    <row r="4" spans="1:12" ht="27">
      <c r="A4" s="19" t="s">
        <v>43</v>
      </c>
      <c r="B4" s="19" t="s">
        <v>44</v>
      </c>
      <c r="C4" s="20" t="s">
        <v>2</v>
      </c>
      <c r="D4" s="20" t="s">
        <v>3</v>
      </c>
      <c r="E4" s="20" t="s">
        <v>4</v>
      </c>
      <c r="F4" s="20" t="s">
        <v>5</v>
      </c>
      <c r="G4" s="20" t="s">
        <v>6</v>
      </c>
      <c r="H4" s="21" t="s">
        <v>45</v>
      </c>
      <c r="I4" s="20" t="s">
        <v>16</v>
      </c>
      <c r="J4" s="22" t="s">
        <v>46</v>
      </c>
      <c r="K4" s="23" t="s">
        <v>47</v>
      </c>
      <c r="L4" s="23" t="s">
        <v>48</v>
      </c>
    </row>
    <row r="5" spans="1:12">
      <c r="A5" s="1199" t="s">
        <v>739</v>
      </c>
      <c r="B5" s="58">
        <v>45134</v>
      </c>
      <c r="C5" s="3" t="s">
        <v>219</v>
      </c>
      <c r="D5" s="13" t="s">
        <v>298</v>
      </c>
      <c r="E5" s="3" t="s">
        <v>20</v>
      </c>
      <c r="F5" s="3" t="s">
        <v>889</v>
      </c>
      <c r="G5" s="3" t="s">
        <v>852</v>
      </c>
      <c r="H5" s="9" t="s">
        <v>890</v>
      </c>
      <c r="I5" s="38" t="s">
        <v>891</v>
      </c>
      <c r="J5" s="25">
        <v>2</v>
      </c>
      <c r="K5" s="25" t="s">
        <v>50</v>
      </c>
      <c r="L5" s="25" t="s">
        <v>51</v>
      </c>
    </row>
    <row r="6" spans="1:12">
      <c r="A6" s="1209"/>
      <c r="B6" s="58">
        <v>45135</v>
      </c>
      <c r="C6" s="3" t="s">
        <v>19</v>
      </c>
      <c r="D6" s="13" t="s">
        <v>299</v>
      </c>
      <c r="E6" s="3" t="s">
        <v>20</v>
      </c>
      <c r="F6" s="3" t="s">
        <v>889</v>
      </c>
      <c r="G6" s="3" t="s">
        <v>852</v>
      </c>
      <c r="H6" s="9" t="s">
        <v>890</v>
      </c>
      <c r="I6" s="38" t="s">
        <v>891</v>
      </c>
      <c r="J6" s="25">
        <v>2</v>
      </c>
      <c r="K6" s="25" t="s">
        <v>50</v>
      </c>
      <c r="L6" s="25" t="s">
        <v>51</v>
      </c>
    </row>
    <row r="7" spans="1:12">
      <c r="A7" s="1209"/>
      <c r="B7" s="58">
        <v>45138</v>
      </c>
      <c r="C7" s="3" t="s">
        <v>19</v>
      </c>
      <c r="D7" s="13" t="s">
        <v>299</v>
      </c>
      <c r="E7" s="3" t="s">
        <v>20</v>
      </c>
      <c r="F7" s="3" t="s">
        <v>892</v>
      </c>
      <c r="G7" s="3" t="s">
        <v>893</v>
      </c>
      <c r="H7" s="9" t="s">
        <v>890</v>
      </c>
      <c r="I7" s="38" t="s">
        <v>891</v>
      </c>
      <c r="J7" s="25">
        <v>2</v>
      </c>
      <c r="K7" s="25" t="s">
        <v>50</v>
      </c>
      <c r="L7" s="25" t="s">
        <v>51</v>
      </c>
    </row>
    <row r="8" spans="1:12">
      <c r="A8" s="1209"/>
      <c r="B8" s="58">
        <v>45139</v>
      </c>
      <c r="C8" s="3" t="s">
        <v>19</v>
      </c>
      <c r="D8" s="13" t="s">
        <v>299</v>
      </c>
      <c r="E8" s="3" t="s">
        <v>20</v>
      </c>
      <c r="F8" s="3" t="s">
        <v>892</v>
      </c>
      <c r="G8" s="3" t="s">
        <v>893</v>
      </c>
      <c r="H8" s="9" t="s">
        <v>890</v>
      </c>
      <c r="I8" s="38" t="s">
        <v>891</v>
      </c>
      <c r="J8" s="25">
        <v>2</v>
      </c>
      <c r="K8" s="25" t="s">
        <v>50</v>
      </c>
      <c r="L8" s="25" t="s">
        <v>51</v>
      </c>
    </row>
    <row r="9" spans="1:12" ht="16.5" customHeight="1">
      <c r="A9" s="1209"/>
      <c r="B9" s="58">
        <v>45145</v>
      </c>
      <c r="C9" s="3" t="s">
        <v>19</v>
      </c>
      <c r="D9" s="13" t="s">
        <v>299</v>
      </c>
      <c r="E9" s="3" t="s">
        <v>20</v>
      </c>
      <c r="F9" s="3" t="s">
        <v>889</v>
      </c>
      <c r="G9" s="3" t="s">
        <v>852</v>
      </c>
      <c r="H9" s="9" t="s">
        <v>890</v>
      </c>
      <c r="I9" s="38" t="s">
        <v>891</v>
      </c>
      <c r="J9" s="25">
        <v>2</v>
      </c>
      <c r="K9" s="25" t="s">
        <v>50</v>
      </c>
      <c r="L9" s="25" t="s">
        <v>51</v>
      </c>
    </row>
    <row r="10" spans="1:12">
      <c r="A10" s="1209"/>
      <c r="B10" s="58">
        <v>45146</v>
      </c>
      <c r="C10" s="3" t="s">
        <v>19</v>
      </c>
      <c r="D10" s="13" t="s">
        <v>299</v>
      </c>
      <c r="E10" s="3" t="s">
        <v>20</v>
      </c>
      <c r="F10" s="3" t="s">
        <v>892</v>
      </c>
      <c r="G10" s="3" t="s">
        <v>893</v>
      </c>
      <c r="H10" s="9" t="s">
        <v>890</v>
      </c>
      <c r="I10" s="38" t="s">
        <v>891</v>
      </c>
      <c r="J10" s="25">
        <v>2</v>
      </c>
      <c r="K10" s="25" t="s">
        <v>50</v>
      </c>
      <c r="L10" s="25" t="s">
        <v>51</v>
      </c>
    </row>
    <row r="11" spans="1:12">
      <c r="A11" s="1209"/>
      <c r="B11" s="58">
        <v>45147</v>
      </c>
      <c r="C11" s="3" t="s">
        <v>19</v>
      </c>
      <c r="D11" s="13" t="s">
        <v>299</v>
      </c>
      <c r="E11" s="3" t="s">
        <v>20</v>
      </c>
      <c r="F11" s="3">
        <v>4209</v>
      </c>
      <c r="G11" s="3" t="s">
        <v>850</v>
      </c>
      <c r="H11" s="9" t="s">
        <v>890</v>
      </c>
      <c r="I11" s="38" t="s">
        <v>891</v>
      </c>
      <c r="J11" s="25">
        <v>2</v>
      </c>
      <c r="K11" s="25" t="s">
        <v>50</v>
      </c>
      <c r="L11" s="25" t="s">
        <v>51</v>
      </c>
    </row>
    <row r="12" spans="1:12">
      <c r="A12" s="1209"/>
      <c r="B12" s="58">
        <v>45149</v>
      </c>
      <c r="C12" s="3" t="s">
        <v>19</v>
      </c>
      <c r="D12" s="13" t="s">
        <v>25</v>
      </c>
      <c r="E12" s="3" t="s">
        <v>20</v>
      </c>
      <c r="F12" s="14">
        <v>2579</v>
      </c>
      <c r="G12" s="3" t="s">
        <v>894</v>
      </c>
      <c r="H12" s="9" t="s">
        <v>890</v>
      </c>
      <c r="I12" s="38" t="s">
        <v>891</v>
      </c>
      <c r="J12" s="25">
        <v>1</v>
      </c>
      <c r="K12" s="25" t="s">
        <v>50</v>
      </c>
      <c r="L12" s="25" t="s">
        <v>51</v>
      </c>
    </row>
    <row r="13" spans="1:12">
      <c r="A13" s="1209"/>
      <c r="B13" s="58">
        <v>45150</v>
      </c>
      <c r="C13" s="3" t="s">
        <v>19</v>
      </c>
      <c r="D13" s="13" t="s">
        <v>25</v>
      </c>
      <c r="E13" s="3" t="s">
        <v>20</v>
      </c>
      <c r="F13" s="14">
        <v>2579</v>
      </c>
      <c r="G13" s="3" t="s">
        <v>894</v>
      </c>
      <c r="H13" s="9" t="s">
        <v>890</v>
      </c>
      <c r="I13" s="38" t="s">
        <v>891</v>
      </c>
      <c r="J13" s="25">
        <v>2</v>
      </c>
      <c r="K13" s="25" t="s">
        <v>50</v>
      </c>
      <c r="L13" s="25" t="s">
        <v>51</v>
      </c>
    </row>
    <row r="14" spans="1:12">
      <c r="A14" s="1209"/>
      <c r="B14" s="58">
        <v>45154</v>
      </c>
      <c r="C14" s="3" t="s">
        <v>19</v>
      </c>
      <c r="D14" s="13" t="s">
        <v>25</v>
      </c>
      <c r="E14" s="3" t="s">
        <v>20</v>
      </c>
      <c r="F14" s="3" t="s">
        <v>892</v>
      </c>
      <c r="G14" s="3" t="s">
        <v>893</v>
      </c>
      <c r="H14" s="9" t="s">
        <v>890</v>
      </c>
      <c r="I14" s="38" t="s">
        <v>891</v>
      </c>
      <c r="J14" s="25">
        <v>2</v>
      </c>
      <c r="K14" s="25" t="s">
        <v>50</v>
      </c>
      <c r="L14" s="25" t="s">
        <v>51</v>
      </c>
    </row>
    <row r="15" spans="1:12">
      <c r="A15" s="1209"/>
      <c r="B15" s="58">
        <v>45155</v>
      </c>
      <c r="C15" s="3" t="s">
        <v>19</v>
      </c>
      <c r="D15" s="13" t="s">
        <v>25</v>
      </c>
      <c r="E15" s="3" t="s">
        <v>20</v>
      </c>
      <c r="F15" s="3" t="s">
        <v>889</v>
      </c>
      <c r="G15" s="3" t="s">
        <v>852</v>
      </c>
      <c r="H15" s="9" t="s">
        <v>890</v>
      </c>
      <c r="I15" s="38" t="s">
        <v>891</v>
      </c>
      <c r="J15" s="25">
        <v>2</v>
      </c>
      <c r="K15" s="25" t="s">
        <v>50</v>
      </c>
      <c r="L15" s="25" t="s">
        <v>51</v>
      </c>
    </row>
    <row r="16" spans="1:12">
      <c r="A16" s="1209"/>
      <c r="B16" s="58">
        <v>45156</v>
      </c>
      <c r="C16" s="3" t="s">
        <v>19</v>
      </c>
      <c r="D16" s="13" t="s">
        <v>25</v>
      </c>
      <c r="E16" s="3" t="s">
        <v>20</v>
      </c>
      <c r="F16" s="14">
        <v>2579</v>
      </c>
      <c r="G16" s="3" t="s">
        <v>894</v>
      </c>
      <c r="H16" s="9" t="s">
        <v>890</v>
      </c>
      <c r="I16" s="38" t="s">
        <v>891</v>
      </c>
      <c r="J16" s="25">
        <v>2</v>
      </c>
      <c r="K16" s="25" t="s">
        <v>50</v>
      </c>
      <c r="L16" s="25" t="s">
        <v>51</v>
      </c>
    </row>
    <row r="17" spans="1:12">
      <c r="A17" s="1209"/>
      <c r="B17" s="58">
        <v>45157</v>
      </c>
      <c r="C17" s="3" t="s">
        <v>19</v>
      </c>
      <c r="D17" s="13" t="s">
        <v>25</v>
      </c>
      <c r="E17" s="3" t="s">
        <v>20</v>
      </c>
      <c r="F17" s="14">
        <v>2579</v>
      </c>
      <c r="G17" s="3" t="s">
        <v>894</v>
      </c>
      <c r="H17" s="9" t="s">
        <v>890</v>
      </c>
      <c r="I17" s="38" t="s">
        <v>891</v>
      </c>
      <c r="J17" s="25">
        <v>2</v>
      </c>
      <c r="K17" s="25" t="s">
        <v>50</v>
      </c>
      <c r="L17" s="25" t="s">
        <v>51</v>
      </c>
    </row>
    <row r="18" spans="1:12">
      <c r="A18" s="1209"/>
      <c r="B18" s="58">
        <v>45159</v>
      </c>
      <c r="C18" s="3" t="s">
        <v>19</v>
      </c>
      <c r="D18" s="13" t="s">
        <v>25</v>
      </c>
      <c r="E18" s="3" t="s">
        <v>20</v>
      </c>
      <c r="F18" s="3">
        <v>4209</v>
      </c>
      <c r="G18" s="3" t="s">
        <v>850</v>
      </c>
      <c r="H18" s="9" t="s">
        <v>890</v>
      </c>
      <c r="I18" s="38" t="s">
        <v>891</v>
      </c>
      <c r="J18" s="25">
        <v>2</v>
      </c>
      <c r="K18" s="25" t="s">
        <v>50</v>
      </c>
      <c r="L18" s="25" t="s">
        <v>51</v>
      </c>
    </row>
    <row r="19" spans="1:12">
      <c r="A19" s="1209"/>
      <c r="B19" s="58">
        <v>45160</v>
      </c>
      <c r="C19" s="3" t="s">
        <v>19</v>
      </c>
      <c r="D19" s="13" t="s">
        <v>25</v>
      </c>
      <c r="E19" s="3" t="s">
        <v>20</v>
      </c>
      <c r="F19" s="3">
        <v>4209</v>
      </c>
      <c r="G19" s="3" t="s">
        <v>850</v>
      </c>
      <c r="H19" s="9" t="s">
        <v>890</v>
      </c>
      <c r="I19" s="38" t="s">
        <v>891</v>
      </c>
      <c r="J19" s="25">
        <v>2</v>
      </c>
      <c r="K19" s="25" t="s">
        <v>50</v>
      </c>
      <c r="L19" s="25" t="s">
        <v>51</v>
      </c>
    </row>
    <row r="20" spans="1:12">
      <c r="A20" s="1200"/>
      <c r="B20" s="58">
        <v>45161</v>
      </c>
      <c r="C20" s="3" t="s">
        <v>19</v>
      </c>
      <c r="D20" s="13" t="s">
        <v>299</v>
      </c>
      <c r="E20" s="3" t="s">
        <v>20</v>
      </c>
      <c r="F20" s="3">
        <v>4209</v>
      </c>
      <c r="G20" s="3" t="s">
        <v>850</v>
      </c>
      <c r="H20" s="9" t="s">
        <v>890</v>
      </c>
      <c r="I20" s="38" t="s">
        <v>891</v>
      </c>
      <c r="J20" s="25">
        <v>2</v>
      </c>
      <c r="K20" s="25" t="s">
        <v>50</v>
      </c>
      <c r="L20" s="25" t="s">
        <v>51</v>
      </c>
    </row>
    <row r="21" spans="1:12">
      <c r="A21" s="953" t="s">
        <v>53</v>
      </c>
      <c r="B21" s="953"/>
      <c r="C21" s="953"/>
      <c r="D21" s="953"/>
      <c r="E21" s="953"/>
      <c r="F21" s="953"/>
      <c r="G21" s="953"/>
      <c r="H21" s="953"/>
      <c r="I21" s="953"/>
      <c r="J21" s="25">
        <f>SUM(J5:J20)</f>
        <v>31</v>
      </c>
      <c r="K21" s="26"/>
      <c r="L21" s="55"/>
    </row>
    <row r="24" spans="1:12" ht="27">
      <c r="A24" s="19" t="s">
        <v>43</v>
      </c>
      <c r="B24" s="19" t="s">
        <v>44</v>
      </c>
      <c r="C24" s="20" t="s">
        <v>2</v>
      </c>
      <c r="D24" s="20" t="s">
        <v>3</v>
      </c>
      <c r="E24" s="20" t="s">
        <v>4</v>
      </c>
      <c r="F24" s="20" t="s">
        <v>5</v>
      </c>
      <c r="G24" s="20" t="s">
        <v>6</v>
      </c>
      <c r="H24" s="21" t="s">
        <v>45</v>
      </c>
      <c r="I24" s="20" t="s">
        <v>16</v>
      </c>
      <c r="J24" s="22" t="s">
        <v>46</v>
      </c>
      <c r="K24" s="23" t="s">
        <v>47</v>
      </c>
      <c r="L24" s="23" t="s">
        <v>48</v>
      </c>
    </row>
    <row r="25" spans="1:12" ht="36.75" customHeight="1">
      <c r="A25" s="56" t="s">
        <v>223</v>
      </c>
      <c r="B25" s="24">
        <v>45089</v>
      </c>
      <c r="C25" s="3" t="s">
        <v>138</v>
      </c>
      <c r="D25" s="4" t="s">
        <v>224</v>
      </c>
      <c r="E25" s="3" t="s">
        <v>225</v>
      </c>
      <c r="F25" s="14" t="s">
        <v>615</v>
      </c>
      <c r="G25" s="3" t="s">
        <v>125</v>
      </c>
      <c r="H25" s="9" t="s">
        <v>616</v>
      </c>
      <c r="I25" s="13" t="s">
        <v>226</v>
      </c>
      <c r="J25" s="56">
        <v>3</v>
      </c>
      <c r="K25" s="88" t="s">
        <v>617</v>
      </c>
      <c r="L25" s="25" t="s">
        <v>51</v>
      </c>
    </row>
    <row r="26" spans="1:12">
      <c r="A26" s="1194" t="s">
        <v>53</v>
      </c>
      <c r="B26" s="1195"/>
      <c r="C26" s="1195"/>
      <c r="D26" s="1195"/>
      <c r="E26" s="1195"/>
      <c r="F26" s="1195"/>
      <c r="G26" s="1195"/>
      <c r="H26" s="1195"/>
      <c r="I26" s="1196"/>
      <c r="J26" s="25">
        <f>SUM(J25:J25)</f>
        <v>3</v>
      </c>
      <c r="K26" s="26"/>
      <c r="L26" s="55"/>
    </row>
    <row r="29" spans="1:12" ht="27">
      <c r="A29" s="19" t="s">
        <v>43</v>
      </c>
      <c r="B29" s="19" t="s">
        <v>44</v>
      </c>
      <c r="C29" s="20" t="s">
        <v>2</v>
      </c>
      <c r="D29" s="20" t="s">
        <v>3</v>
      </c>
      <c r="E29" s="20" t="s">
        <v>4</v>
      </c>
      <c r="F29" s="20" t="s">
        <v>5</v>
      </c>
      <c r="G29" s="20" t="s">
        <v>6</v>
      </c>
      <c r="H29" s="21" t="s">
        <v>45</v>
      </c>
      <c r="I29" s="20" t="s">
        <v>16</v>
      </c>
      <c r="J29" s="22" t="s">
        <v>46</v>
      </c>
      <c r="K29" s="23" t="s">
        <v>47</v>
      </c>
      <c r="L29" s="23" t="s">
        <v>48</v>
      </c>
    </row>
    <row r="30" spans="1:12">
      <c r="A30" s="1209" t="s">
        <v>460</v>
      </c>
      <c r="B30" s="58">
        <v>45064</v>
      </c>
      <c r="C30" s="52" t="s">
        <v>384</v>
      </c>
      <c r="D30" s="52" t="s">
        <v>385</v>
      </c>
      <c r="E30" s="39" t="s">
        <v>386</v>
      </c>
      <c r="F30" s="63">
        <v>2518</v>
      </c>
      <c r="G30" s="52" t="s">
        <v>509</v>
      </c>
      <c r="H30" s="38" t="s">
        <v>130</v>
      </c>
      <c r="I30" s="52" t="s">
        <v>94</v>
      </c>
      <c r="J30" s="25">
        <v>2</v>
      </c>
      <c r="K30" s="25" t="s">
        <v>52</v>
      </c>
      <c r="L30" s="25" t="s">
        <v>51</v>
      </c>
    </row>
    <row r="31" spans="1:12">
      <c r="A31" s="1209"/>
      <c r="B31" s="58">
        <v>45065</v>
      </c>
      <c r="C31" s="52" t="s">
        <v>384</v>
      </c>
      <c r="D31" s="52" t="s">
        <v>385</v>
      </c>
      <c r="E31" s="39" t="s">
        <v>386</v>
      </c>
      <c r="F31" s="63">
        <v>4207</v>
      </c>
      <c r="G31" s="52" t="s">
        <v>510</v>
      </c>
      <c r="H31" s="38" t="s">
        <v>130</v>
      </c>
      <c r="I31" s="52" t="s">
        <v>94</v>
      </c>
      <c r="J31" s="25">
        <v>2</v>
      </c>
      <c r="K31" s="25" t="s">
        <v>52</v>
      </c>
      <c r="L31" s="25" t="s">
        <v>51</v>
      </c>
    </row>
    <row r="32" spans="1:12">
      <c r="A32" s="1209"/>
      <c r="B32" s="58">
        <v>45066</v>
      </c>
      <c r="C32" s="52" t="s">
        <v>384</v>
      </c>
      <c r="D32" s="52" t="s">
        <v>385</v>
      </c>
      <c r="E32" s="39" t="s">
        <v>386</v>
      </c>
      <c r="F32" s="63" t="s">
        <v>511</v>
      </c>
      <c r="G32" s="52" t="s">
        <v>512</v>
      </c>
      <c r="H32" s="38" t="s">
        <v>130</v>
      </c>
      <c r="I32" s="52" t="s">
        <v>94</v>
      </c>
      <c r="J32" s="25">
        <v>2</v>
      </c>
      <c r="K32" s="25" t="s">
        <v>52</v>
      </c>
      <c r="L32" s="25" t="s">
        <v>51</v>
      </c>
    </row>
    <row r="33" spans="1:12">
      <c r="A33" s="1209"/>
      <c r="B33" s="58">
        <v>45070</v>
      </c>
      <c r="C33" s="52" t="s">
        <v>384</v>
      </c>
      <c r="D33" s="52" t="s">
        <v>385</v>
      </c>
      <c r="E33" s="39" t="s">
        <v>386</v>
      </c>
      <c r="F33" s="63" t="s">
        <v>513</v>
      </c>
      <c r="G33" s="52" t="s">
        <v>514</v>
      </c>
      <c r="H33" s="38" t="s">
        <v>130</v>
      </c>
      <c r="I33" s="52" t="s">
        <v>94</v>
      </c>
      <c r="J33" s="25">
        <v>2</v>
      </c>
      <c r="K33" s="25" t="s">
        <v>52</v>
      </c>
      <c r="L33" s="25" t="s">
        <v>51</v>
      </c>
    </row>
    <row r="34" spans="1:12">
      <c r="A34" s="1209"/>
      <c r="B34" s="58">
        <v>45071</v>
      </c>
      <c r="C34" s="52" t="s">
        <v>384</v>
      </c>
      <c r="D34" s="52" t="s">
        <v>385</v>
      </c>
      <c r="E34" s="39" t="s">
        <v>386</v>
      </c>
      <c r="F34" s="63">
        <v>4207</v>
      </c>
      <c r="G34" s="52" t="s">
        <v>510</v>
      </c>
      <c r="H34" s="38" t="s">
        <v>130</v>
      </c>
      <c r="I34" s="52" t="s">
        <v>94</v>
      </c>
      <c r="J34" s="25">
        <v>2</v>
      </c>
      <c r="K34" s="25" t="s">
        <v>52</v>
      </c>
      <c r="L34" s="25" t="s">
        <v>51</v>
      </c>
    </row>
    <row r="35" spans="1:12">
      <c r="A35" s="1194" t="s">
        <v>53</v>
      </c>
      <c r="B35" s="1195"/>
      <c r="C35" s="1195"/>
      <c r="D35" s="1195"/>
      <c r="E35" s="1195"/>
      <c r="F35" s="1195"/>
      <c r="G35" s="1195"/>
      <c r="H35" s="1195"/>
      <c r="I35" s="1196"/>
      <c r="J35" s="25">
        <f>SUM(J30:J34)</f>
        <v>10</v>
      </c>
      <c r="K35" s="26"/>
      <c r="L35" s="25"/>
    </row>
    <row r="38" spans="1:12" ht="27">
      <c r="A38" s="19" t="s">
        <v>43</v>
      </c>
      <c r="B38" s="19" t="s">
        <v>44</v>
      </c>
      <c r="C38" s="20" t="s">
        <v>2</v>
      </c>
      <c r="D38" s="20" t="s">
        <v>3</v>
      </c>
      <c r="E38" s="20" t="s">
        <v>4</v>
      </c>
      <c r="F38" s="20" t="s">
        <v>5</v>
      </c>
      <c r="G38" s="20" t="s">
        <v>6</v>
      </c>
      <c r="H38" s="21" t="s">
        <v>45</v>
      </c>
      <c r="I38" s="20" t="s">
        <v>16</v>
      </c>
      <c r="J38" s="22" t="s">
        <v>46</v>
      </c>
      <c r="K38" s="23" t="s">
        <v>47</v>
      </c>
      <c r="L38" s="23" t="s">
        <v>48</v>
      </c>
    </row>
    <row r="39" spans="1:12">
      <c r="A39" s="1199" t="s">
        <v>218</v>
      </c>
      <c r="B39" s="15">
        <v>45094</v>
      </c>
      <c r="C39" s="45" t="s">
        <v>124</v>
      </c>
      <c r="D39" s="45" t="s">
        <v>151</v>
      </c>
      <c r="E39" s="45" t="s">
        <v>123</v>
      </c>
      <c r="F39" s="45" t="s">
        <v>588</v>
      </c>
      <c r="G39" s="45" t="s">
        <v>145</v>
      </c>
      <c r="H39" s="45" t="s">
        <v>590</v>
      </c>
      <c r="I39" s="45" t="s">
        <v>94</v>
      </c>
      <c r="J39" s="25">
        <v>4</v>
      </c>
      <c r="K39" s="25" t="s">
        <v>50</v>
      </c>
      <c r="L39" s="25" t="s">
        <v>51</v>
      </c>
    </row>
    <row r="40" spans="1:12">
      <c r="A40" s="1209"/>
      <c r="B40" s="34">
        <v>45105</v>
      </c>
      <c r="C40" s="79" t="s">
        <v>49</v>
      </c>
      <c r="D40" s="79" t="s">
        <v>151</v>
      </c>
      <c r="E40" s="94" t="s">
        <v>123</v>
      </c>
      <c r="F40" s="79">
        <v>4208</v>
      </c>
      <c r="G40" s="79" t="s">
        <v>18</v>
      </c>
      <c r="H40" s="78" t="s">
        <v>607</v>
      </c>
      <c r="I40" s="45" t="s">
        <v>94</v>
      </c>
      <c r="J40" s="25">
        <v>2</v>
      </c>
      <c r="K40" s="25" t="s">
        <v>50</v>
      </c>
      <c r="L40" s="25" t="s">
        <v>51</v>
      </c>
    </row>
    <row r="41" spans="1:12">
      <c r="A41" s="1200"/>
      <c r="B41" s="34">
        <v>45106</v>
      </c>
      <c r="C41" s="79" t="s">
        <v>49</v>
      </c>
      <c r="D41" s="79" t="s">
        <v>151</v>
      </c>
      <c r="E41" s="94" t="s">
        <v>123</v>
      </c>
      <c r="F41" s="79">
        <v>4208</v>
      </c>
      <c r="G41" s="79" t="s">
        <v>18</v>
      </c>
      <c r="H41" s="78" t="s">
        <v>607</v>
      </c>
      <c r="I41" s="45" t="s">
        <v>94</v>
      </c>
      <c r="J41" s="25">
        <v>2</v>
      </c>
      <c r="K41" s="25" t="s">
        <v>50</v>
      </c>
      <c r="L41" s="25" t="s">
        <v>51</v>
      </c>
    </row>
    <row r="42" spans="1:12">
      <c r="A42" s="1194" t="s">
        <v>53</v>
      </c>
      <c r="B42" s="1195"/>
      <c r="C42" s="1195"/>
      <c r="D42" s="1195"/>
      <c r="E42" s="1195"/>
      <c r="F42" s="1195"/>
      <c r="G42" s="1195"/>
      <c r="H42" s="1195"/>
      <c r="I42" s="1196"/>
      <c r="J42" s="25">
        <f>SUM(J39:J41)</f>
        <v>8</v>
      </c>
      <c r="K42" s="26"/>
      <c r="L42" s="55"/>
    </row>
    <row r="46" spans="1:12" ht="27">
      <c r="A46" s="19" t="s">
        <v>43</v>
      </c>
      <c r="B46" s="19" t="s">
        <v>44</v>
      </c>
      <c r="C46" s="20" t="s">
        <v>2</v>
      </c>
      <c r="D46" s="20" t="s">
        <v>3</v>
      </c>
      <c r="E46" s="20" t="s">
        <v>4</v>
      </c>
      <c r="F46" s="20" t="s">
        <v>5</v>
      </c>
      <c r="G46" s="20" t="s">
        <v>6</v>
      </c>
      <c r="H46" s="21" t="s">
        <v>45</v>
      </c>
      <c r="I46" s="20" t="s">
        <v>16</v>
      </c>
      <c r="J46" s="22" t="s">
        <v>46</v>
      </c>
      <c r="K46" s="23" t="s">
        <v>47</v>
      </c>
      <c r="L46" s="23" t="s">
        <v>48</v>
      </c>
    </row>
    <row r="47" spans="1:12">
      <c r="A47" s="56" t="s">
        <v>228</v>
      </c>
      <c r="B47" s="58">
        <v>45016</v>
      </c>
      <c r="C47" s="3" t="s">
        <v>21</v>
      </c>
      <c r="D47" s="13" t="s">
        <v>14</v>
      </c>
      <c r="E47" s="3" t="s">
        <v>381</v>
      </c>
      <c r="F47" s="3">
        <v>2579</v>
      </c>
      <c r="G47" s="3" t="s">
        <v>382</v>
      </c>
      <c r="H47" s="38" t="s">
        <v>383</v>
      </c>
      <c r="I47" s="52" t="s">
        <v>94</v>
      </c>
      <c r="J47" s="25">
        <v>1</v>
      </c>
      <c r="K47" s="25" t="s">
        <v>50</v>
      </c>
      <c r="L47" s="25" t="s">
        <v>51</v>
      </c>
    </row>
    <row r="48" spans="1:12">
      <c r="A48" s="1194" t="s">
        <v>53</v>
      </c>
      <c r="B48" s="1195"/>
      <c r="C48" s="1195"/>
      <c r="D48" s="1195"/>
      <c r="E48" s="1195"/>
      <c r="F48" s="1195"/>
      <c r="G48" s="1195"/>
      <c r="H48" s="1195"/>
      <c r="I48" s="1196"/>
      <c r="J48" s="25">
        <f>SUM(J47:J47)</f>
        <v>1</v>
      </c>
      <c r="K48" s="26"/>
      <c r="L48" s="55"/>
    </row>
    <row r="51" spans="1:12" ht="27">
      <c r="A51" s="19" t="s">
        <v>43</v>
      </c>
      <c r="B51" s="19" t="s">
        <v>44</v>
      </c>
      <c r="C51" s="20" t="s">
        <v>2</v>
      </c>
      <c r="D51" s="20" t="s">
        <v>3</v>
      </c>
      <c r="E51" s="20" t="s">
        <v>4</v>
      </c>
      <c r="F51" s="20" t="s">
        <v>5</v>
      </c>
      <c r="G51" s="20" t="s">
        <v>6</v>
      </c>
      <c r="H51" s="21" t="s">
        <v>45</v>
      </c>
      <c r="I51" s="20" t="s">
        <v>16</v>
      </c>
      <c r="J51" s="22" t="s">
        <v>46</v>
      </c>
      <c r="K51" s="23" t="s">
        <v>47</v>
      </c>
      <c r="L51" s="23" t="s">
        <v>48</v>
      </c>
    </row>
    <row r="52" spans="1:12">
      <c r="A52" s="1209" t="s">
        <v>632</v>
      </c>
      <c r="B52" s="58">
        <v>45101</v>
      </c>
      <c r="C52" s="3" t="s">
        <v>621</v>
      </c>
      <c r="D52" s="13" t="s">
        <v>624</v>
      </c>
      <c r="E52" s="3" t="s">
        <v>625</v>
      </c>
      <c r="F52" s="3" t="s">
        <v>627</v>
      </c>
      <c r="G52" s="3" t="s">
        <v>628</v>
      </c>
      <c r="H52" s="9" t="s">
        <v>629</v>
      </c>
      <c r="I52" s="38" t="s">
        <v>626</v>
      </c>
      <c r="J52" s="25">
        <v>2</v>
      </c>
      <c r="K52" s="25" t="s">
        <v>631</v>
      </c>
      <c r="L52" s="25" t="s">
        <v>51</v>
      </c>
    </row>
    <row r="53" spans="1:12">
      <c r="A53" s="1200"/>
      <c r="B53" s="58">
        <v>45103</v>
      </c>
      <c r="C53" s="3" t="s">
        <v>621</v>
      </c>
      <c r="D53" s="13" t="s">
        <v>624</v>
      </c>
      <c r="E53" s="3" t="s">
        <v>625</v>
      </c>
      <c r="F53" s="3" t="s">
        <v>627</v>
      </c>
      <c r="G53" s="3" t="s">
        <v>628</v>
      </c>
      <c r="H53" s="9" t="s">
        <v>629</v>
      </c>
      <c r="I53" s="38" t="s">
        <v>626</v>
      </c>
      <c r="J53" s="25">
        <v>2</v>
      </c>
      <c r="K53" s="25" t="s">
        <v>631</v>
      </c>
      <c r="L53" s="25" t="s">
        <v>51</v>
      </c>
    </row>
    <row r="54" spans="1:12">
      <c r="A54" s="1194" t="s">
        <v>53</v>
      </c>
      <c r="B54" s="1195"/>
      <c r="C54" s="1195"/>
      <c r="D54" s="1195"/>
      <c r="E54" s="1195"/>
      <c r="F54" s="1195"/>
      <c r="G54" s="1195"/>
      <c r="H54" s="1195"/>
      <c r="I54" s="1196"/>
      <c r="J54" s="25">
        <f>SUM(J52:J53)</f>
        <v>4</v>
      </c>
      <c r="K54" s="26"/>
      <c r="L54" s="55"/>
    </row>
    <row r="57" spans="1:12" ht="27">
      <c r="A57" s="19" t="s">
        <v>43</v>
      </c>
      <c r="B57" s="19" t="s">
        <v>44</v>
      </c>
      <c r="C57" s="20" t="s">
        <v>2</v>
      </c>
      <c r="D57" s="20" t="s">
        <v>3</v>
      </c>
      <c r="E57" s="20" t="s">
        <v>4</v>
      </c>
      <c r="F57" s="20" t="s">
        <v>5</v>
      </c>
      <c r="G57" s="20" t="s">
        <v>6</v>
      </c>
      <c r="H57" s="21" t="s">
        <v>45</v>
      </c>
      <c r="I57" s="20" t="s">
        <v>16</v>
      </c>
      <c r="J57" s="22" t="s">
        <v>46</v>
      </c>
      <c r="K57" s="23" t="s">
        <v>47</v>
      </c>
      <c r="L57" s="23" t="s">
        <v>48</v>
      </c>
    </row>
    <row r="58" spans="1:12" ht="27">
      <c r="A58" s="1199" t="s">
        <v>229</v>
      </c>
      <c r="B58" s="58" t="s">
        <v>872</v>
      </c>
      <c r="C58" s="3" t="s">
        <v>19</v>
      </c>
      <c r="D58" s="4" t="s">
        <v>25</v>
      </c>
      <c r="E58" s="4" t="s">
        <v>123</v>
      </c>
      <c r="F58" s="4" t="s">
        <v>774</v>
      </c>
      <c r="G58" s="3" t="s">
        <v>775</v>
      </c>
      <c r="H58" s="9" t="s">
        <v>733</v>
      </c>
      <c r="I58" s="13" t="s">
        <v>168</v>
      </c>
      <c r="J58" s="4">
        <v>5</v>
      </c>
      <c r="K58" s="25" t="s">
        <v>50</v>
      </c>
      <c r="L58" s="25" t="s">
        <v>51</v>
      </c>
    </row>
    <row r="59" spans="1:12" ht="40.5">
      <c r="A59" s="1209"/>
      <c r="B59" s="15" t="s">
        <v>873</v>
      </c>
      <c r="C59" s="3" t="s">
        <v>19</v>
      </c>
      <c r="D59" s="4" t="s">
        <v>25</v>
      </c>
      <c r="E59" s="4" t="s">
        <v>123</v>
      </c>
      <c r="F59" s="4" t="s">
        <v>786</v>
      </c>
      <c r="G59" s="3" t="s">
        <v>787</v>
      </c>
      <c r="H59" s="9" t="s">
        <v>733</v>
      </c>
      <c r="I59" s="13" t="s">
        <v>737</v>
      </c>
      <c r="J59" s="4">
        <v>4</v>
      </c>
      <c r="K59" s="25" t="s">
        <v>50</v>
      </c>
      <c r="L59" s="25" t="s">
        <v>51</v>
      </c>
    </row>
    <row r="60" spans="1:12" ht="27">
      <c r="A60" s="1209"/>
      <c r="B60" s="58" t="s">
        <v>874</v>
      </c>
      <c r="C60" s="3" t="s">
        <v>19</v>
      </c>
      <c r="D60" s="4" t="s">
        <v>25</v>
      </c>
      <c r="E60" s="4" t="s">
        <v>123</v>
      </c>
      <c r="F60" s="4">
        <v>3306</v>
      </c>
      <c r="G60" s="3" t="s">
        <v>811</v>
      </c>
      <c r="H60" s="9" t="s">
        <v>827</v>
      </c>
      <c r="I60" s="13" t="s">
        <v>812</v>
      </c>
      <c r="J60" s="4">
        <v>5</v>
      </c>
      <c r="K60" s="25" t="s">
        <v>50</v>
      </c>
      <c r="L60" s="25" t="s">
        <v>51</v>
      </c>
    </row>
    <row r="61" spans="1:12">
      <c r="A61" s="1209"/>
      <c r="B61" s="1214" t="s">
        <v>875</v>
      </c>
      <c r="C61" s="110" t="s">
        <v>306</v>
      </c>
      <c r="D61" s="110" t="s">
        <v>322</v>
      </c>
      <c r="E61" s="4" t="s">
        <v>123</v>
      </c>
      <c r="F61" s="4">
        <v>4210</v>
      </c>
      <c r="G61" s="4" t="s">
        <v>850</v>
      </c>
      <c r="H61" s="9" t="s">
        <v>855</v>
      </c>
      <c r="I61" s="13" t="s">
        <v>812</v>
      </c>
      <c r="J61" s="4">
        <v>2</v>
      </c>
      <c r="K61" s="25" t="s">
        <v>50</v>
      </c>
      <c r="L61" s="25" t="s">
        <v>51</v>
      </c>
    </row>
    <row r="62" spans="1:12">
      <c r="A62" s="1209"/>
      <c r="B62" s="1215"/>
      <c r="C62" s="110" t="s">
        <v>306</v>
      </c>
      <c r="D62" s="110" t="s">
        <v>322</v>
      </c>
      <c r="E62" s="4" t="s">
        <v>123</v>
      </c>
      <c r="F62" s="4" t="s">
        <v>851</v>
      </c>
      <c r="G62" s="4" t="s">
        <v>852</v>
      </c>
      <c r="H62" s="9" t="s">
        <v>855</v>
      </c>
      <c r="I62" s="13" t="s">
        <v>812</v>
      </c>
      <c r="J62" s="4">
        <v>1</v>
      </c>
      <c r="K62" s="25" t="s">
        <v>50</v>
      </c>
      <c r="L62" s="25" t="s">
        <v>51</v>
      </c>
    </row>
    <row r="63" spans="1:12">
      <c r="A63" s="1209"/>
      <c r="B63" s="1216"/>
      <c r="C63" s="110" t="s">
        <v>306</v>
      </c>
      <c r="D63" s="110" t="s">
        <v>322</v>
      </c>
      <c r="E63" s="4" t="s">
        <v>123</v>
      </c>
      <c r="F63" s="4" t="s">
        <v>853</v>
      </c>
      <c r="G63" s="4" t="s">
        <v>854</v>
      </c>
      <c r="H63" s="9" t="s">
        <v>855</v>
      </c>
      <c r="I63" s="13" t="s">
        <v>812</v>
      </c>
      <c r="J63" s="4">
        <v>1</v>
      </c>
      <c r="K63" s="25" t="s">
        <v>50</v>
      </c>
      <c r="L63" s="25" t="s">
        <v>51</v>
      </c>
    </row>
    <row r="64" spans="1:12">
      <c r="A64" s="1194" t="s">
        <v>53</v>
      </c>
      <c r="B64" s="1195"/>
      <c r="C64" s="1195"/>
      <c r="D64" s="1195"/>
      <c r="E64" s="1195"/>
      <c r="F64" s="1195"/>
      <c r="G64" s="1195"/>
      <c r="H64" s="1195"/>
      <c r="I64" s="1196"/>
      <c r="J64" s="25">
        <f>SUM(J58:J63)</f>
        <v>18</v>
      </c>
      <c r="K64" s="26"/>
      <c r="L64" s="55"/>
    </row>
    <row r="67" spans="1:12" ht="27">
      <c r="A67" s="19" t="s">
        <v>43</v>
      </c>
      <c r="B67" s="19" t="s">
        <v>44</v>
      </c>
      <c r="C67" s="20" t="s">
        <v>2</v>
      </c>
      <c r="D67" s="20" t="s">
        <v>3</v>
      </c>
      <c r="E67" s="20" t="s">
        <v>4</v>
      </c>
      <c r="F67" s="20" t="s">
        <v>5</v>
      </c>
      <c r="G67" s="20" t="s">
        <v>6</v>
      </c>
      <c r="H67" s="21" t="s">
        <v>45</v>
      </c>
      <c r="I67" s="20" t="s">
        <v>16</v>
      </c>
      <c r="J67" s="22" t="s">
        <v>46</v>
      </c>
      <c r="K67" s="23" t="s">
        <v>47</v>
      </c>
      <c r="L67" s="23" t="s">
        <v>48</v>
      </c>
    </row>
    <row r="68" spans="1:12">
      <c r="A68" s="1220" t="s">
        <v>1094</v>
      </c>
      <c r="B68" s="92">
        <v>45289</v>
      </c>
      <c r="C68" s="4" t="s">
        <v>19</v>
      </c>
      <c r="D68" s="4" t="s">
        <v>25</v>
      </c>
      <c r="E68" s="4" t="s">
        <v>20</v>
      </c>
      <c r="F68" s="4">
        <v>8384</v>
      </c>
      <c r="G68" s="4" t="s">
        <v>18</v>
      </c>
      <c r="H68" s="9" t="s">
        <v>1106</v>
      </c>
      <c r="I68" s="13" t="s">
        <v>168</v>
      </c>
      <c r="J68" s="4">
        <v>2</v>
      </c>
      <c r="K68" s="25" t="s">
        <v>1093</v>
      </c>
      <c r="L68" s="25" t="s">
        <v>51</v>
      </c>
    </row>
    <row r="69" spans="1:12">
      <c r="A69" s="1221"/>
      <c r="B69" s="92">
        <v>45316</v>
      </c>
      <c r="C69" s="4" t="s">
        <v>19</v>
      </c>
      <c r="D69" s="4" t="s">
        <v>25</v>
      </c>
      <c r="E69" s="4" t="s">
        <v>20</v>
      </c>
      <c r="F69" s="4" t="s">
        <v>1246</v>
      </c>
      <c r="G69" s="4" t="s">
        <v>264</v>
      </c>
      <c r="H69" s="9" t="s">
        <v>441</v>
      </c>
      <c r="I69" s="13"/>
      <c r="J69" s="4">
        <v>1</v>
      </c>
      <c r="K69" s="25" t="s">
        <v>1093</v>
      </c>
      <c r="L69" s="25" t="s">
        <v>51</v>
      </c>
    </row>
    <row r="70" spans="1:12">
      <c r="A70" s="1194" t="s">
        <v>53</v>
      </c>
      <c r="B70" s="1195"/>
      <c r="C70" s="1195"/>
      <c r="D70" s="1195"/>
      <c r="E70" s="1195"/>
      <c r="F70" s="1195"/>
      <c r="G70" s="1195"/>
      <c r="H70" s="1195"/>
      <c r="I70" s="1196"/>
      <c r="J70" s="25">
        <f>SUM(J68:J69)</f>
        <v>3</v>
      </c>
      <c r="K70" s="26"/>
      <c r="L70" s="55"/>
    </row>
    <row r="75" spans="1:12" ht="27">
      <c r="A75" s="19" t="s">
        <v>43</v>
      </c>
      <c r="B75" s="19" t="s">
        <v>44</v>
      </c>
      <c r="C75" s="20" t="s">
        <v>2</v>
      </c>
      <c r="D75" s="20" t="s">
        <v>3</v>
      </c>
      <c r="E75" s="20" t="s">
        <v>4</v>
      </c>
      <c r="F75" s="20" t="s">
        <v>5</v>
      </c>
      <c r="G75" s="20" t="s">
        <v>6</v>
      </c>
      <c r="H75" s="21" t="s">
        <v>45</v>
      </c>
      <c r="I75" s="20" t="s">
        <v>16</v>
      </c>
      <c r="J75" s="22" t="s">
        <v>46</v>
      </c>
      <c r="K75" s="23" t="s">
        <v>47</v>
      </c>
      <c r="L75" s="23" t="s">
        <v>48</v>
      </c>
    </row>
    <row r="76" spans="1:12" ht="27">
      <c r="A76" s="1199" t="s">
        <v>1275</v>
      </c>
      <c r="B76" s="92">
        <v>45289</v>
      </c>
      <c r="C76" s="3" t="s">
        <v>21</v>
      </c>
      <c r="D76" s="4" t="s">
        <v>30</v>
      </c>
      <c r="E76" s="3" t="s">
        <v>211</v>
      </c>
      <c r="F76" s="146">
        <v>2461</v>
      </c>
      <c r="G76" s="147" t="s">
        <v>1131</v>
      </c>
      <c r="H76" s="146" t="s">
        <v>238</v>
      </c>
      <c r="I76" s="13"/>
      <c r="J76" s="4">
        <v>2</v>
      </c>
      <c r="K76" s="25" t="s">
        <v>50</v>
      </c>
      <c r="L76" s="25" t="s">
        <v>51</v>
      </c>
    </row>
    <row r="77" spans="1:12" ht="27">
      <c r="A77" s="1209"/>
      <c r="B77" s="92">
        <v>45307</v>
      </c>
      <c r="C77" s="3" t="s">
        <v>138</v>
      </c>
      <c r="D77" s="4" t="s">
        <v>14</v>
      </c>
      <c r="E77" s="3" t="s">
        <v>211</v>
      </c>
      <c r="F77" s="3" t="s">
        <v>802</v>
      </c>
      <c r="G77" s="3" t="s">
        <v>1228</v>
      </c>
      <c r="H77" s="9" t="s">
        <v>1229</v>
      </c>
      <c r="I77" s="4"/>
      <c r="J77" s="4">
        <v>1</v>
      </c>
      <c r="K77" s="25" t="s">
        <v>50</v>
      </c>
      <c r="L77" s="25" t="s">
        <v>51</v>
      </c>
    </row>
    <row r="78" spans="1:12">
      <c r="A78" s="953" t="s">
        <v>53</v>
      </c>
      <c r="B78" s="953"/>
      <c r="C78" s="953"/>
      <c r="D78" s="953"/>
      <c r="E78" s="953"/>
      <c r="F78" s="953"/>
      <c r="G78" s="953"/>
      <c r="H78" s="953"/>
      <c r="I78" s="953"/>
      <c r="J78" s="25">
        <f>SUM(J76:J77)</f>
        <v>3</v>
      </c>
      <c r="K78" s="26"/>
      <c r="L78" s="55"/>
    </row>
    <row r="81" spans="1:12" ht="27">
      <c r="A81" s="19" t="s">
        <v>43</v>
      </c>
      <c r="B81" s="19" t="s">
        <v>44</v>
      </c>
      <c r="C81" s="20" t="s">
        <v>2</v>
      </c>
      <c r="D81" s="20" t="s">
        <v>3</v>
      </c>
      <c r="E81" s="20" t="s">
        <v>4</v>
      </c>
      <c r="F81" s="20" t="s">
        <v>5</v>
      </c>
      <c r="G81" s="20" t="s">
        <v>6</v>
      </c>
      <c r="H81" s="21" t="s">
        <v>45</v>
      </c>
      <c r="I81" s="20" t="s">
        <v>16</v>
      </c>
      <c r="J81" s="22" t="s">
        <v>46</v>
      </c>
      <c r="K81" s="23" t="s">
        <v>47</v>
      </c>
      <c r="L81" s="23" t="s">
        <v>48</v>
      </c>
    </row>
    <row r="82" spans="1:12">
      <c r="A82" s="1209" t="s">
        <v>738</v>
      </c>
      <c r="B82" s="120">
        <v>45150</v>
      </c>
      <c r="C82" s="64" t="s">
        <v>881</v>
      </c>
      <c r="D82" s="64" t="s">
        <v>320</v>
      </c>
      <c r="E82" s="64" t="s">
        <v>800</v>
      </c>
      <c r="F82" s="64">
        <v>4207</v>
      </c>
      <c r="G82" s="64" t="s">
        <v>801</v>
      </c>
      <c r="H82" s="104" t="s">
        <v>882</v>
      </c>
      <c r="I82" s="64" t="s">
        <v>638</v>
      </c>
      <c r="J82" s="105">
        <v>2</v>
      </c>
      <c r="K82" s="25" t="s">
        <v>50</v>
      </c>
      <c r="L82" s="25" t="s">
        <v>51</v>
      </c>
    </row>
    <row r="83" spans="1:12">
      <c r="A83" s="1209"/>
      <c r="B83" s="112">
        <v>45152</v>
      </c>
      <c r="C83" s="64" t="s">
        <v>311</v>
      </c>
      <c r="D83" s="113" t="s">
        <v>883</v>
      </c>
      <c r="E83" s="64" t="s">
        <v>337</v>
      </c>
      <c r="F83" s="64" t="s">
        <v>884</v>
      </c>
      <c r="G83" s="64" t="s">
        <v>885</v>
      </c>
      <c r="H83" s="104" t="s">
        <v>886</v>
      </c>
      <c r="I83" s="113" t="s">
        <v>887</v>
      </c>
      <c r="J83" s="25">
        <v>2</v>
      </c>
      <c r="K83" s="25" t="s">
        <v>50</v>
      </c>
      <c r="L83" s="25" t="s">
        <v>51</v>
      </c>
    </row>
    <row r="84" spans="1:12">
      <c r="A84" s="1209"/>
      <c r="B84" s="112">
        <v>45157</v>
      </c>
      <c r="C84" s="64" t="s">
        <v>311</v>
      </c>
      <c r="D84" s="110" t="s">
        <v>320</v>
      </c>
      <c r="E84" s="110" t="s">
        <v>800</v>
      </c>
      <c r="F84" s="110">
        <v>4207</v>
      </c>
      <c r="G84" s="110" t="s">
        <v>850</v>
      </c>
      <c r="H84" s="111" t="s">
        <v>888</v>
      </c>
      <c r="I84" s="64" t="s">
        <v>638</v>
      </c>
      <c r="J84" s="110">
        <v>2</v>
      </c>
      <c r="K84" s="25" t="s">
        <v>50</v>
      </c>
      <c r="L84" s="25" t="s">
        <v>51</v>
      </c>
    </row>
    <row r="85" spans="1:12">
      <c r="A85" s="1209"/>
      <c r="B85" s="112">
        <v>45158</v>
      </c>
      <c r="C85" s="64" t="s">
        <v>311</v>
      </c>
      <c r="D85" s="4" t="s">
        <v>14</v>
      </c>
      <c r="E85" s="110" t="s">
        <v>800</v>
      </c>
      <c r="F85" s="110">
        <v>4208</v>
      </c>
      <c r="G85" s="110" t="s">
        <v>850</v>
      </c>
      <c r="H85" s="111" t="s">
        <v>888</v>
      </c>
      <c r="I85" s="64" t="s">
        <v>638</v>
      </c>
      <c r="J85" s="110">
        <v>2</v>
      </c>
      <c r="K85" s="25" t="s">
        <v>50</v>
      </c>
      <c r="L85" s="25" t="s">
        <v>51</v>
      </c>
    </row>
    <row r="86" spans="1:12">
      <c r="A86" s="1194" t="s">
        <v>53</v>
      </c>
      <c r="B86" s="1195"/>
      <c r="C86" s="1195"/>
      <c r="D86" s="1195"/>
      <c r="E86" s="1195"/>
      <c r="F86" s="1195"/>
      <c r="G86" s="1195"/>
      <c r="H86" s="1195"/>
      <c r="I86" s="1196"/>
      <c r="J86" s="25">
        <f>SUM(J82:J85)</f>
        <v>8</v>
      </c>
      <c r="K86" s="26"/>
      <c r="L86" s="25"/>
    </row>
    <row r="90" spans="1:12" ht="27">
      <c r="A90" s="19" t="s">
        <v>43</v>
      </c>
      <c r="B90" s="19" t="s">
        <v>44</v>
      </c>
      <c r="C90" s="20" t="s">
        <v>2</v>
      </c>
      <c r="D90" s="20" t="s">
        <v>3</v>
      </c>
      <c r="E90" s="20" t="s">
        <v>4</v>
      </c>
      <c r="F90" s="20" t="s">
        <v>5</v>
      </c>
      <c r="G90" s="20" t="s">
        <v>6</v>
      </c>
      <c r="H90" s="21" t="s">
        <v>45</v>
      </c>
      <c r="I90" s="20" t="s">
        <v>16</v>
      </c>
      <c r="J90" s="22" t="s">
        <v>46</v>
      </c>
      <c r="K90" s="23" t="s">
        <v>47</v>
      </c>
      <c r="L90" s="23" t="s">
        <v>48</v>
      </c>
    </row>
    <row r="91" spans="1:12" ht="40.5">
      <c r="A91" s="124" t="s">
        <v>229</v>
      </c>
      <c r="B91" s="35">
        <v>45248</v>
      </c>
      <c r="C91" s="3" t="s">
        <v>21</v>
      </c>
      <c r="D91" s="4" t="s">
        <v>30</v>
      </c>
      <c r="E91" s="3" t="s">
        <v>1080</v>
      </c>
      <c r="F91" s="3">
        <v>4210</v>
      </c>
      <c r="G91" s="3" t="s">
        <v>18</v>
      </c>
      <c r="H91" s="9" t="s">
        <v>1081</v>
      </c>
      <c r="I91" s="4" t="s">
        <v>1052</v>
      </c>
      <c r="J91" s="6">
        <v>1</v>
      </c>
      <c r="K91" s="25" t="s">
        <v>1082</v>
      </c>
      <c r="L91" s="25" t="s">
        <v>51</v>
      </c>
    </row>
    <row r="92" spans="1:12">
      <c r="A92" s="1194" t="s">
        <v>53</v>
      </c>
      <c r="B92" s="1195"/>
      <c r="C92" s="1195"/>
      <c r="D92" s="1195"/>
      <c r="E92" s="1195"/>
      <c r="F92" s="1195"/>
      <c r="G92" s="1195"/>
      <c r="H92" s="1195"/>
      <c r="I92" s="1196"/>
      <c r="J92" s="25">
        <f>SUM(J91:J91)</f>
        <v>1</v>
      </c>
      <c r="K92" s="26"/>
      <c r="L92" s="25"/>
    </row>
    <row r="96" spans="1:12" ht="27">
      <c r="A96" s="19" t="s">
        <v>43</v>
      </c>
      <c r="B96" s="19" t="s">
        <v>44</v>
      </c>
      <c r="C96" s="20" t="s">
        <v>2</v>
      </c>
      <c r="D96" s="20" t="s">
        <v>3</v>
      </c>
      <c r="E96" s="20" t="s">
        <v>4</v>
      </c>
      <c r="F96" s="20" t="s">
        <v>5</v>
      </c>
      <c r="G96" s="20" t="s">
        <v>6</v>
      </c>
      <c r="H96" s="21" t="s">
        <v>45</v>
      </c>
      <c r="I96" s="20" t="s">
        <v>16</v>
      </c>
      <c r="J96" s="22" t="s">
        <v>46</v>
      </c>
      <c r="K96" s="23" t="s">
        <v>47</v>
      </c>
      <c r="L96" s="23" t="s">
        <v>48</v>
      </c>
    </row>
    <row r="97" spans="1:12">
      <c r="A97" s="1209" t="s">
        <v>738</v>
      </c>
      <c r="B97" s="112">
        <v>45103</v>
      </c>
      <c r="C97" s="113" t="s">
        <v>749</v>
      </c>
      <c r="D97" s="113" t="s">
        <v>748</v>
      </c>
      <c r="E97" s="113" t="s">
        <v>747</v>
      </c>
      <c r="F97" s="64" t="s">
        <v>750</v>
      </c>
      <c r="G97" s="64" t="s">
        <v>746</v>
      </c>
      <c r="H97" s="114" t="s">
        <v>751</v>
      </c>
      <c r="I97" s="113" t="s">
        <v>744</v>
      </c>
      <c r="J97" s="105">
        <v>2</v>
      </c>
      <c r="K97" s="25" t="s">
        <v>50</v>
      </c>
      <c r="L97" s="25" t="s">
        <v>51</v>
      </c>
    </row>
    <row r="98" spans="1:12">
      <c r="A98" s="1209"/>
      <c r="B98" s="112">
        <v>45121</v>
      </c>
      <c r="C98" s="113" t="s">
        <v>749</v>
      </c>
      <c r="D98" s="113" t="s">
        <v>748</v>
      </c>
      <c r="E98" s="113" t="s">
        <v>747</v>
      </c>
      <c r="F98" s="64" t="s">
        <v>745</v>
      </c>
      <c r="G98" s="64" t="s">
        <v>746</v>
      </c>
      <c r="H98" s="104" t="s">
        <v>741</v>
      </c>
      <c r="I98" s="113" t="s">
        <v>744</v>
      </c>
      <c r="J98" s="105">
        <v>2</v>
      </c>
      <c r="K98" s="25" t="s">
        <v>50</v>
      </c>
      <c r="L98" s="25" t="s">
        <v>51</v>
      </c>
    </row>
    <row r="99" spans="1:12">
      <c r="A99" s="1209"/>
      <c r="B99" s="112">
        <v>45122</v>
      </c>
      <c r="C99" s="113" t="s">
        <v>749</v>
      </c>
      <c r="D99" s="113" t="s">
        <v>748</v>
      </c>
      <c r="E99" s="113" t="s">
        <v>747</v>
      </c>
      <c r="F99" s="64" t="s">
        <v>745</v>
      </c>
      <c r="G99" s="64" t="s">
        <v>746</v>
      </c>
      <c r="H99" s="104" t="s">
        <v>742</v>
      </c>
      <c r="I99" s="113" t="s">
        <v>744</v>
      </c>
      <c r="J99" s="25">
        <v>3</v>
      </c>
      <c r="K99" s="25" t="s">
        <v>50</v>
      </c>
      <c r="L99" s="25" t="s">
        <v>51</v>
      </c>
    </row>
    <row r="100" spans="1:12">
      <c r="A100" s="1209"/>
      <c r="B100" s="112">
        <v>45124</v>
      </c>
      <c r="C100" s="113" t="s">
        <v>749</v>
      </c>
      <c r="D100" s="113" t="s">
        <v>748</v>
      </c>
      <c r="E100" s="113" t="s">
        <v>747</v>
      </c>
      <c r="F100" s="64" t="s">
        <v>745</v>
      </c>
      <c r="G100" s="64" t="s">
        <v>746</v>
      </c>
      <c r="H100" s="111" t="s">
        <v>743</v>
      </c>
      <c r="I100" s="113" t="s">
        <v>744</v>
      </c>
      <c r="J100" s="110">
        <v>3</v>
      </c>
      <c r="K100" s="25" t="s">
        <v>50</v>
      </c>
      <c r="L100" s="25" t="s">
        <v>51</v>
      </c>
    </row>
    <row r="101" spans="1:12">
      <c r="A101" s="1194" t="s">
        <v>53</v>
      </c>
      <c r="B101" s="1195"/>
      <c r="C101" s="1195"/>
      <c r="D101" s="1195"/>
      <c r="E101" s="1195"/>
      <c r="F101" s="1195"/>
      <c r="G101" s="1195"/>
      <c r="H101" s="1195"/>
      <c r="I101" s="1196"/>
      <c r="J101" s="25">
        <f>SUM(J97:J100)</f>
        <v>10</v>
      </c>
      <c r="K101" s="26"/>
      <c r="L101" s="25"/>
    </row>
    <row r="105" spans="1:12" ht="27">
      <c r="A105" s="19" t="s">
        <v>43</v>
      </c>
      <c r="B105" s="19" t="s">
        <v>44</v>
      </c>
      <c r="C105" s="20" t="s">
        <v>2</v>
      </c>
      <c r="D105" s="20" t="s">
        <v>3</v>
      </c>
      <c r="E105" s="20" t="s">
        <v>4</v>
      </c>
      <c r="F105" s="20" t="s">
        <v>5</v>
      </c>
      <c r="G105" s="20" t="s">
        <v>6</v>
      </c>
      <c r="H105" s="21" t="s">
        <v>45</v>
      </c>
      <c r="I105" s="20" t="s">
        <v>8</v>
      </c>
      <c r="J105" s="22" t="s">
        <v>46</v>
      </c>
      <c r="K105" s="23" t="s">
        <v>47</v>
      </c>
      <c r="L105" s="23" t="s">
        <v>48</v>
      </c>
    </row>
    <row r="106" spans="1:12">
      <c r="A106" s="1199" t="s">
        <v>218</v>
      </c>
      <c r="B106" s="15">
        <v>45156</v>
      </c>
      <c r="C106" s="3" t="s">
        <v>19</v>
      </c>
      <c r="D106" s="4" t="s">
        <v>25</v>
      </c>
      <c r="E106" s="4" t="s">
        <v>123</v>
      </c>
      <c r="F106" s="4">
        <v>4209</v>
      </c>
      <c r="G106" s="3" t="s">
        <v>801</v>
      </c>
      <c r="H106" s="9" t="s">
        <v>732</v>
      </c>
      <c r="I106" s="13" t="s">
        <v>902</v>
      </c>
      <c r="J106" s="25">
        <v>1</v>
      </c>
      <c r="K106" s="25" t="s">
        <v>52</v>
      </c>
      <c r="L106" s="25" t="s">
        <v>51</v>
      </c>
    </row>
    <row r="107" spans="1:12">
      <c r="A107" s="1209"/>
      <c r="B107" s="1219">
        <v>45157</v>
      </c>
      <c r="C107" s="3" t="s">
        <v>19</v>
      </c>
      <c r="D107" s="4" t="s">
        <v>25</v>
      </c>
      <c r="E107" s="4" t="s">
        <v>123</v>
      </c>
      <c r="F107" s="4">
        <v>4209</v>
      </c>
      <c r="G107" s="3" t="s">
        <v>801</v>
      </c>
      <c r="H107" s="9" t="s">
        <v>732</v>
      </c>
      <c r="I107" s="13" t="s">
        <v>902</v>
      </c>
      <c r="J107" s="25">
        <v>1</v>
      </c>
      <c r="K107" s="25" t="s">
        <v>52</v>
      </c>
      <c r="L107" s="25" t="s">
        <v>51</v>
      </c>
    </row>
    <row r="108" spans="1:12">
      <c r="A108" s="1209"/>
      <c r="B108" s="1219"/>
      <c r="C108" s="3" t="s">
        <v>19</v>
      </c>
      <c r="D108" s="4" t="s">
        <v>25</v>
      </c>
      <c r="E108" s="4" t="s">
        <v>123</v>
      </c>
      <c r="F108" s="4" t="s">
        <v>802</v>
      </c>
      <c r="G108" s="3" t="s">
        <v>803</v>
      </c>
      <c r="H108" s="9" t="s">
        <v>732</v>
      </c>
      <c r="I108" s="13" t="s">
        <v>902</v>
      </c>
      <c r="J108" s="25">
        <v>1</v>
      </c>
      <c r="K108" s="25" t="s">
        <v>52</v>
      </c>
      <c r="L108" s="25" t="s">
        <v>51</v>
      </c>
    </row>
    <row r="109" spans="1:12">
      <c r="A109" s="1209"/>
      <c r="B109" s="15">
        <v>45161</v>
      </c>
      <c r="C109" s="3" t="s">
        <v>19</v>
      </c>
      <c r="D109" s="4" t="s">
        <v>25</v>
      </c>
      <c r="E109" s="4" t="s">
        <v>123</v>
      </c>
      <c r="F109" s="4">
        <v>2584</v>
      </c>
      <c r="G109" s="3" t="s">
        <v>823</v>
      </c>
      <c r="H109" s="9" t="s">
        <v>732</v>
      </c>
      <c r="I109" s="13" t="s">
        <v>902</v>
      </c>
      <c r="J109" s="25">
        <v>2</v>
      </c>
      <c r="K109" s="25" t="s">
        <v>52</v>
      </c>
      <c r="L109" s="25" t="s">
        <v>51</v>
      </c>
    </row>
    <row r="110" spans="1:12">
      <c r="A110" s="1209"/>
      <c r="B110" s="34">
        <v>45162</v>
      </c>
      <c r="C110" s="32" t="s">
        <v>19</v>
      </c>
      <c r="D110" s="10" t="s">
        <v>25</v>
      </c>
      <c r="E110" s="10" t="s">
        <v>123</v>
      </c>
      <c r="F110" s="10">
        <v>2584</v>
      </c>
      <c r="G110" s="32" t="s">
        <v>823</v>
      </c>
      <c r="H110" s="5" t="s">
        <v>732</v>
      </c>
      <c r="I110" s="13" t="s">
        <v>902</v>
      </c>
      <c r="J110" s="56">
        <v>2</v>
      </c>
      <c r="K110" s="56" t="s">
        <v>52</v>
      </c>
      <c r="L110" s="25" t="s">
        <v>51</v>
      </c>
    </row>
    <row r="111" spans="1:12">
      <c r="A111" s="1200"/>
      <c r="B111" s="15">
        <v>45167</v>
      </c>
      <c r="C111" s="4" t="s">
        <v>19</v>
      </c>
      <c r="D111" s="4" t="s">
        <v>25</v>
      </c>
      <c r="E111" s="4" t="s">
        <v>123</v>
      </c>
      <c r="F111" s="4" t="s">
        <v>853</v>
      </c>
      <c r="G111" s="4" t="s">
        <v>860</v>
      </c>
      <c r="H111" s="9" t="s">
        <v>861</v>
      </c>
      <c r="I111" s="13" t="s">
        <v>902</v>
      </c>
      <c r="J111" s="56">
        <v>2</v>
      </c>
      <c r="K111" s="56" t="s">
        <v>50</v>
      </c>
      <c r="L111" s="25" t="s">
        <v>51</v>
      </c>
    </row>
    <row r="112" spans="1:12">
      <c r="A112" s="953" t="s">
        <v>53</v>
      </c>
      <c r="B112" s="953"/>
      <c r="C112" s="953"/>
      <c r="D112" s="953"/>
      <c r="E112" s="953"/>
      <c r="F112" s="953"/>
      <c r="G112" s="953"/>
      <c r="H112" s="953"/>
      <c r="I112" s="953"/>
      <c r="J112" s="25">
        <f>SUM(J106:J111)</f>
        <v>9</v>
      </c>
      <c r="K112" s="26"/>
      <c r="L112" s="25"/>
    </row>
    <row r="118" spans="1:12" ht="27">
      <c r="A118" s="19" t="s">
        <v>43</v>
      </c>
      <c r="B118" s="19" t="s">
        <v>44</v>
      </c>
      <c r="C118" s="20" t="s">
        <v>2</v>
      </c>
      <c r="D118" s="20" t="s">
        <v>3</v>
      </c>
      <c r="E118" s="20" t="s">
        <v>4</v>
      </c>
      <c r="F118" s="20" t="s">
        <v>5</v>
      </c>
      <c r="G118" s="20" t="s">
        <v>6</v>
      </c>
      <c r="H118" s="21" t="s">
        <v>45</v>
      </c>
      <c r="I118" s="20" t="s">
        <v>8</v>
      </c>
      <c r="J118" s="22" t="s">
        <v>46</v>
      </c>
      <c r="K118" s="23" t="s">
        <v>47</v>
      </c>
      <c r="L118" s="23" t="s">
        <v>48</v>
      </c>
    </row>
    <row r="119" spans="1:12">
      <c r="A119" s="978" t="s">
        <v>954</v>
      </c>
      <c r="B119" s="981" t="s">
        <v>1351</v>
      </c>
      <c r="C119" s="4" t="s">
        <v>1072</v>
      </c>
      <c r="D119" s="4" t="s">
        <v>14</v>
      </c>
      <c r="E119" s="4" t="s">
        <v>156</v>
      </c>
      <c r="F119" s="4" t="s">
        <v>362</v>
      </c>
      <c r="G119" s="4" t="s">
        <v>148</v>
      </c>
      <c r="H119" s="9" t="s">
        <v>1279</v>
      </c>
      <c r="I119" s="13"/>
      <c r="J119" s="4">
        <v>4</v>
      </c>
      <c r="K119" s="25" t="s">
        <v>1280</v>
      </c>
      <c r="L119" s="25" t="s">
        <v>51</v>
      </c>
    </row>
    <row r="120" spans="1:12">
      <c r="A120" s="979"/>
      <c r="B120" s="983"/>
      <c r="C120" s="4" t="s">
        <v>1072</v>
      </c>
      <c r="D120" s="4" t="s">
        <v>14</v>
      </c>
      <c r="E120" s="4" t="s">
        <v>156</v>
      </c>
      <c r="F120" s="4" t="s">
        <v>362</v>
      </c>
      <c r="G120" s="4" t="s">
        <v>148</v>
      </c>
      <c r="H120" s="9" t="s">
        <v>1279</v>
      </c>
      <c r="I120" s="13"/>
      <c r="J120" s="4">
        <v>4</v>
      </c>
      <c r="K120" s="25" t="s">
        <v>1280</v>
      </c>
      <c r="L120" s="25" t="s">
        <v>51</v>
      </c>
    </row>
    <row r="121" spans="1:12">
      <c r="A121" s="953" t="s">
        <v>53</v>
      </c>
      <c r="B121" s="953"/>
      <c r="C121" s="953"/>
      <c r="D121" s="953"/>
      <c r="E121" s="953"/>
      <c r="F121" s="953"/>
      <c r="G121" s="953"/>
      <c r="H121" s="953"/>
      <c r="I121" s="953"/>
      <c r="J121" s="25">
        <f>SUM(J119:J120)</f>
        <v>8</v>
      </c>
      <c r="K121" s="25"/>
      <c r="L121" s="25"/>
    </row>
    <row r="125" spans="1:12" ht="27">
      <c r="A125" s="19" t="s">
        <v>43</v>
      </c>
      <c r="B125" s="19" t="s">
        <v>44</v>
      </c>
      <c r="C125" s="20" t="s">
        <v>2</v>
      </c>
      <c r="D125" s="20" t="s">
        <v>3</v>
      </c>
      <c r="E125" s="20" t="s">
        <v>4</v>
      </c>
      <c r="F125" s="20" t="s">
        <v>5</v>
      </c>
      <c r="G125" s="20" t="s">
        <v>6</v>
      </c>
      <c r="H125" s="21" t="s">
        <v>45</v>
      </c>
      <c r="I125" s="20" t="s">
        <v>8</v>
      </c>
      <c r="J125" s="22" t="s">
        <v>46</v>
      </c>
      <c r="K125" s="23" t="s">
        <v>47</v>
      </c>
      <c r="L125" s="23" t="s">
        <v>48</v>
      </c>
    </row>
    <row r="126" spans="1:12" ht="27">
      <c r="A126" s="978" t="s">
        <v>955</v>
      </c>
      <c r="B126" s="15">
        <v>45287</v>
      </c>
      <c r="C126" s="3" t="s">
        <v>24</v>
      </c>
      <c r="D126" s="4" t="s">
        <v>30</v>
      </c>
      <c r="E126" s="3" t="s">
        <v>1125</v>
      </c>
      <c r="F126" s="3" t="s">
        <v>604</v>
      </c>
      <c r="G126" s="3" t="s">
        <v>102</v>
      </c>
      <c r="H126" s="9" t="s">
        <v>1127</v>
      </c>
      <c r="I126" s="13" t="s">
        <v>1278</v>
      </c>
      <c r="J126" s="9">
        <v>1</v>
      </c>
      <c r="K126" s="25" t="s">
        <v>52</v>
      </c>
      <c r="L126" s="25" t="s">
        <v>51</v>
      </c>
    </row>
    <row r="127" spans="1:12">
      <c r="A127" s="979"/>
      <c r="B127" s="15">
        <v>45288</v>
      </c>
      <c r="C127" s="3" t="s">
        <v>24</v>
      </c>
      <c r="D127" s="4" t="s">
        <v>30</v>
      </c>
      <c r="E127" s="3" t="s">
        <v>623</v>
      </c>
      <c r="F127" s="3" t="s">
        <v>1123</v>
      </c>
      <c r="G127" s="3" t="s">
        <v>102</v>
      </c>
      <c r="H127" s="9" t="s">
        <v>1276</v>
      </c>
      <c r="I127" s="13" t="s">
        <v>1278</v>
      </c>
      <c r="J127" s="9">
        <v>1</v>
      </c>
      <c r="K127" s="25" t="s">
        <v>52</v>
      </c>
      <c r="L127" s="25" t="s">
        <v>51</v>
      </c>
    </row>
    <row r="128" spans="1:12" ht="27">
      <c r="A128" s="979"/>
      <c r="B128" s="15">
        <v>45293</v>
      </c>
      <c r="C128" s="3" t="s">
        <v>64</v>
      </c>
      <c r="D128" s="4" t="s">
        <v>17</v>
      </c>
      <c r="E128" s="3" t="s">
        <v>156</v>
      </c>
      <c r="F128" s="3" t="s">
        <v>1166</v>
      </c>
      <c r="G128" s="3" t="s">
        <v>154</v>
      </c>
      <c r="H128" s="9" t="s">
        <v>1168</v>
      </c>
      <c r="I128" s="13" t="s">
        <v>90</v>
      </c>
      <c r="J128" s="9">
        <v>2</v>
      </c>
      <c r="K128" s="25" t="s">
        <v>52</v>
      </c>
      <c r="L128" s="25" t="s">
        <v>51</v>
      </c>
    </row>
    <row r="129" spans="1:12" ht="27">
      <c r="A129" s="979"/>
      <c r="B129" s="1217">
        <v>45294</v>
      </c>
      <c r="C129" s="3" t="s">
        <v>24</v>
      </c>
      <c r="D129" s="4" t="s">
        <v>31</v>
      </c>
      <c r="E129" s="3" t="s">
        <v>78</v>
      </c>
      <c r="F129" s="3" t="s">
        <v>1118</v>
      </c>
      <c r="G129" s="3" t="s">
        <v>345</v>
      </c>
      <c r="H129" s="9" t="s">
        <v>1119</v>
      </c>
      <c r="I129" s="1218" t="s">
        <v>90</v>
      </c>
      <c r="J129" s="1211">
        <v>2</v>
      </c>
      <c r="K129" s="25" t="s">
        <v>52</v>
      </c>
      <c r="L129" s="25" t="s">
        <v>51</v>
      </c>
    </row>
    <row r="130" spans="1:12">
      <c r="A130" s="979"/>
      <c r="B130" s="1217"/>
      <c r="C130" s="3" t="s">
        <v>21</v>
      </c>
      <c r="D130" s="4" t="s">
        <v>17</v>
      </c>
      <c r="E130" s="3" t="s">
        <v>78</v>
      </c>
      <c r="F130" s="14" t="s">
        <v>867</v>
      </c>
      <c r="G130" s="3" t="s">
        <v>83</v>
      </c>
      <c r="H130" s="9" t="s">
        <v>1128</v>
      </c>
      <c r="I130" s="1218"/>
      <c r="J130" s="1213"/>
      <c r="K130" s="25" t="s">
        <v>52</v>
      </c>
      <c r="L130" s="25" t="s">
        <v>51</v>
      </c>
    </row>
    <row r="131" spans="1:12">
      <c r="A131" s="979"/>
      <c r="B131" s="92">
        <v>45295</v>
      </c>
      <c r="C131" s="3" t="s">
        <v>64</v>
      </c>
      <c r="D131" s="4" t="s">
        <v>70</v>
      </c>
      <c r="E131" s="3" t="s">
        <v>1125</v>
      </c>
      <c r="F131" s="3" t="s">
        <v>604</v>
      </c>
      <c r="G131" s="3" t="s">
        <v>102</v>
      </c>
      <c r="H131" s="9" t="s">
        <v>1180</v>
      </c>
      <c r="I131" s="13"/>
      <c r="J131" s="9">
        <v>2</v>
      </c>
      <c r="K131" s="25" t="s">
        <v>52</v>
      </c>
      <c r="L131" s="25" t="s">
        <v>51</v>
      </c>
    </row>
    <row r="132" spans="1:12" ht="25.5">
      <c r="A132" s="979"/>
      <c r="B132" s="15">
        <v>45299</v>
      </c>
      <c r="C132" s="64" t="s">
        <v>311</v>
      </c>
      <c r="D132" s="129" t="s">
        <v>320</v>
      </c>
      <c r="E132" s="64" t="s">
        <v>1232</v>
      </c>
      <c r="F132" s="64" t="s">
        <v>689</v>
      </c>
      <c r="G132" s="64" t="s">
        <v>662</v>
      </c>
      <c r="H132" s="134" t="s">
        <v>1204</v>
      </c>
      <c r="I132" s="129" t="s">
        <v>638</v>
      </c>
      <c r="J132" s="9">
        <v>1</v>
      </c>
      <c r="K132" s="25" t="s">
        <v>52</v>
      </c>
      <c r="L132" s="25" t="s">
        <v>51</v>
      </c>
    </row>
    <row r="133" spans="1:12" ht="25.5">
      <c r="A133" s="979"/>
      <c r="B133" s="1014">
        <v>45300</v>
      </c>
      <c r="C133" s="64" t="s">
        <v>311</v>
      </c>
      <c r="D133" s="129" t="s">
        <v>675</v>
      </c>
      <c r="E133" s="64" t="s">
        <v>720</v>
      </c>
      <c r="F133" s="64" t="s">
        <v>1235</v>
      </c>
      <c r="G133" s="64" t="s">
        <v>1236</v>
      </c>
      <c r="H133" s="149" t="s">
        <v>1177</v>
      </c>
      <c r="I133" s="984" t="s">
        <v>1277</v>
      </c>
      <c r="J133" s="1211">
        <v>1</v>
      </c>
      <c r="K133" s="25" t="s">
        <v>52</v>
      </c>
      <c r="L133" s="25" t="s">
        <v>51</v>
      </c>
    </row>
    <row r="134" spans="1:12">
      <c r="A134" s="979"/>
      <c r="B134" s="1015"/>
      <c r="C134" s="64" t="s">
        <v>311</v>
      </c>
      <c r="D134" s="129" t="s">
        <v>675</v>
      </c>
      <c r="E134" s="64" t="s">
        <v>720</v>
      </c>
      <c r="F134" s="64" t="s">
        <v>1237</v>
      </c>
      <c r="G134" s="64" t="s">
        <v>1238</v>
      </c>
      <c r="H134" s="149" t="s">
        <v>1239</v>
      </c>
      <c r="I134" s="1004"/>
      <c r="J134" s="1213"/>
      <c r="K134" s="25" t="s">
        <v>52</v>
      </c>
      <c r="L134" s="25" t="s">
        <v>51</v>
      </c>
    </row>
    <row r="135" spans="1:12">
      <c r="A135" s="979"/>
      <c r="B135" s="15">
        <v>45301</v>
      </c>
      <c r="C135" s="64" t="s">
        <v>311</v>
      </c>
      <c r="D135" s="129" t="s">
        <v>675</v>
      </c>
      <c r="E135" s="64" t="s">
        <v>337</v>
      </c>
      <c r="F135" s="64" t="s">
        <v>333</v>
      </c>
      <c r="G135" s="64" t="s">
        <v>1198</v>
      </c>
      <c r="H135" s="149" t="s">
        <v>1199</v>
      </c>
      <c r="I135" s="13"/>
      <c r="J135" s="9">
        <v>1</v>
      </c>
      <c r="K135" s="25" t="s">
        <v>52</v>
      </c>
      <c r="L135" s="25" t="s">
        <v>51</v>
      </c>
    </row>
    <row r="136" spans="1:12">
      <c r="A136" s="980"/>
      <c r="B136" s="148" t="s">
        <v>1241</v>
      </c>
      <c r="C136" s="64" t="s">
        <v>311</v>
      </c>
      <c r="D136" s="129" t="s">
        <v>320</v>
      </c>
      <c r="E136" s="64" t="s">
        <v>337</v>
      </c>
      <c r="F136" s="64" t="s">
        <v>1201</v>
      </c>
      <c r="G136" s="64" t="s">
        <v>1197</v>
      </c>
      <c r="H136" s="149" t="s">
        <v>1242</v>
      </c>
      <c r="I136" s="148" t="s">
        <v>638</v>
      </c>
      <c r="J136" s="9">
        <v>1</v>
      </c>
      <c r="K136" s="25" t="s">
        <v>52</v>
      </c>
      <c r="L136" s="25" t="s">
        <v>51</v>
      </c>
    </row>
    <row r="137" spans="1:12">
      <c r="A137" s="953" t="s">
        <v>53</v>
      </c>
      <c r="B137" s="953"/>
      <c r="C137" s="953"/>
      <c r="D137" s="953"/>
      <c r="E137" s="953"/>
      <c r="F137" s="953"/>
      <c r="G137" s="953"/>
      <c r="H137" s="953"/>
      <c r="I137" s="953"/>
      <c r="J137" s="25">
        <f>SUM(J126:J136)</f>
        <v>12</v>
      </c>
      <c r="K137" s="25"/>
      <c r="L137" s="25"/>
    </row>
    <row r="141" spans="1:12" ht="27">
      <c r="A141" s="19" t="s">
        <v>43</v>
      </c>
      <c r="B141" s="19" t="s">
        <v>44</v>
      </c>
      <c r="C141" s="20" t="s">
        <v>2</v>
      </c>
      <c r="D141" s="20" t="s">
        <v>3</v>
      </c>
      <c r="E141" s="20" t="s">
        <v>4</v>
      </c>
      <c r="F141" s="20" t="s">
        <v>5</v>
      </c>
      <c r="G141" s="20" t="s">
        <v>6</v>
      </c>
      <c r="H141" s="21" t="s">
        <v>45</v>
      </c>
      <c r="I141" s="20" t="s">
        <v>8</v>
      </c>
      <c r="J141" s="22" t="s">
        <v>46</v>
      </c>
      <c r="K141" s="23" t="s">
        <v>47</v>
      </c>
      <c r="L141" s="23" t="s">
        <v>48</v>
      </c>
    </row>
    <row r="142" spans="1:12">
      <c r="A142" s="979" t="s">
        <v>1007</v>
      </c>
      <c r="B142" s="1014" t="s">
        <v>1263</v>
      </c>
      <c r="C142" s="4" t="s">
        <v>19</v>
      </c>
      <c r="D142" s="4" t="s">
        <v>25</v>
      </c>
      <c r="E142" s="4" t="s">
        <v>20</v>
      </c>
      <c r="F142" s="4">
        <v>3306</v>
      </c>
      <c r="G142" s="4" t="s">
        <v>811</v>
      </c>
      <c r="H142" s="9" t="s">
        <v>1148</v>
      </c>
      <c r="I142" s="13" t="s">
        <v>1264</v>
      </c>
      <c r="J142" s="4">
        <v>4</v>
      </c>
      <c r="K142" s="25" t="s">
        <v>50</v>
      </c>
      <c r="L142" s="25" t="s">
        <v>51</v>
      </c>
    </row>
    <row r="143" spans="1:12">
      <c r="A143" s="979"/>
      <c r="B143" s="1015"/>
      <c r="C143" s="4" t="s">
        <v>19</v>
      </c>
      <c r="D143" s="4" t="s">
        <v>25</v>
      </c>
      <c r="E143" s="4" t="s">
        <v>20</v>
      </c>
      <c r="F143" s="4">
        <v>8384</v>
      </c>
      <c r="G143" s="4" t="s">
        <v>18</v>
      </c>
      <c r="H143" s="9" t="s">
        <v>1106</v>
      </c>
      <c r="I143" s="13" t="s">
        <v>168</v>
      </c>
      <c r="J143" s="4">
        <v>2</v>
      </c>
      <c r="K143" s="25" t="s">
        <v>50</v>
      </c>
      <c r="L143" s="25" t="s">
        <v>51</v>
      </c>
    </row>
    <row r="144" spans="1:12">
      <c r="A144" s="979"/>
      <c r="B144" s="15" t="s">
        <v>1265</v>
      </c>
      <c r="C144" s="4" t="s">
        <v>19</v>
      </c>
      <c r="D144" s="4" t="s">
        <v>25</v>
      </c>
      <c r="E144" s="4" t="s">
        <v>20</v>
      </c>
      <c r="F144" s="4" t="s">
        <v>1246</v>
      </c>
      <c r="G144" s="4" t="s">
        <v>1247</v>
      </c>
      <c r="H144" s="9" t="s">
        <v>1122</v>
      </c>
      <c r="I144" s="13" t="s">
        <v>172</v>
      </c>
      <c r="J144" s="4">
        <v>5</v>
      </c>
      <c r="K144" s="25" t="s">
        <v>50</v>
      </c>
      <c r="L144" s="25" t="s">
        <v>51</v>
      </c>
    </row>
    <row r="145" spans="1:12">
      <c r="A145" s="953" t="s">
        <v>53</v>
      </c>
      <c r="B145" s="953"/>
      <c r="C145" s="953"/>
      <c r="D145" s="953"/>
      <c r="E145" s="953"/>
      <c r="F145" s="953"/>
      <c r="G145" s="953"/>
      <c r="H145" s="953"/>
      <c r="I145" s="953"/>
      <c r="J145" s="25">
        <f>SUM(J142:J144)</f>
        <v>11</v>
      </c>
      <c r="K145" s="25"/>
      <c r="L145" s="25"/>
    </row>
    <row r="148" spans="1:12" ht="27">
      <c r="A148" s="19" t="s">
        <v>43</v>
      </c>
      <c r="B148" s="19" t="s">
        <v>44</v>
      </c>
      <c r="C148" s="20" t="s">
        <v>2</v>
      </c>
      <c r="D148" s="20" t="s">
        <v>3</v>
      </c>
      <c r="E148" s="20" t="s">
        <v>4</v>
      </c>
      <c r="F148" s="20" t="s">
        <v>5</v>
      </c>
      <c r="G148" s="20" t="s">
        <v>6</v>
      </c>
      <c r="H148" s="21" t="s">
        <v>45</v>
      </c>
      <c r="I148" s="20" t="s">
        <v>8</v>
      </c>
      <c r="J148" s="22" t="s">
        <v>46</v>
      </c>
      <c r="K148" s="23" t="s">
        <v>47</v>
      </c>
      <c r="L148" s="23" t="s">
        <v>48</v>
      </c>
    </row>
    <row r="149" spans="1:12" ht="40.5">
      <c r="A149" s="1198" t="s">
        <v>956</v>
      </c>
      <c r="B149" s="122" t="s">
        <v>1369</v>
      </c>
      <c r="C149" s="129" t="s">
        <v>306</v>
      </c>
      <c r="D149" s="129" t="s">
        <v>322</v>
      </c>
      <c r="E149" s="129" t="s">
        <v>307</v>
      </c>
      <c r="F149" s="129" t="s">
        <v>1285</v>
      </c>
      <c r="G149" s="129" t="s">
        <v>1047</v>
      </c>
      <c r="H149" s="130" t="s">
        <v>1185</v>
      </c>
      <c r="I149" s="129" t="s">
        <v>349</v>
      </c>
      <c r="J149" s="181">
        <v>4</v>
      </c>
      <c r="K149" s="25" t="s">
        <v>52</v>
      </c>
      <c r="L149" s="25" t="s">
        <v>51</v>
      </c>
    </row>
    <row r="150" spans="1:12">
      <c r="A150" s="1198"/>
      <c r="B150" s="981" t="s">
        <v>1367</v>
      </c>
      <c r="C150" s="4" t="s">
        <v>19</v>
      </c>
      <c r="D150" s="4" t="s">
        <v>25</v>
      </c>
      <c r="E150" s="4" t="s">
        <v>20</v>
      </c>
      <c r="F150" s="13" t="s">
        <v>1291</v>
      </c>
      <c r="G150" s="4" t="s">
        <v>1373</v>
      </c>
      <c r="H150" s="9" t="s">
        <v>130</v>
      </c>
      <c r="I150" s="13" t="s">
        <v>94</v>
      </c>
      <c r="J150" s="9">
        <v>2</v>
      </c>
      <c r="K150" s="25" t="s">
        <v>52</v>
      </c>
      <c r="L150" s="25" t="s">
        <v>51</v>
      </c>
    </row>
    <row r="151" spans="1:12">
      <c r="A151" s="1198"/>
      <c r="B151" s="983"/>
      <c r="C151" s="4" t="s">
        <v>19</v>
      </c>
      <c r="D151" s="4" t="s">
        <v>25</v>
      </c>
      <c r="E151" s="4" t="s">
        <v>20</v>
      </c>
      <c r="F151" s="13" t="s">
        <v>1246</v>
      </c>
      <c r="G151" s="4" t="s">
        <v>264</v>
      </c>
      <c r="H151" s="9" t="s">
        <v>130</v>
      </c>
      <c r="I151" s="13" t="s">
        <v>94</v>
      </c>
      <c r="J151" s="9">
        <v>2</v>
      </c>
      <c r="K151" s="25" t="s">
        <v>52</v>
      </c>
      <c r="L151" s="25" t="s">
        <v>51</v>
      </c>
    </row>
    <row r="152" spans="1:12" ht="40.5">
      <c r="A152" s="1198"/>
      <c r="B152" s="92" t="s">
        <v>1372</v>
      </c>
      <c r="C152" s="4" t="s">
        <v>19</v>
      </c>
      <c r="D152" s="4" t="s">
        <v>25</v>
      </c>
      <c r="E152" s="4" t="s">
        <v>20</v>
      </c>
      <c r="F152" s="13" t="s">
        <v>1291</v>
      </c>
      <c r="G152" s="4" t="s">
        <v>23</v>
      </c>
      <c r="H152" s="9" t="s">
        <v>130</v>
      </c>
      <c r="I152" s="13" t="s">
        <v>94</v>
      </c>
      <c r="J152" s="9">
        <v>4</v>
      </c>
      <c r="K152" s="25" t="s">
        <v>52</v>
      </c>
      <c r="L152" s="25" t="s">
        <v>51</v>
      </c>
    </row>
    <row r="153" spans="1:12" ht="40.5">
      <c r="A153" s="1198"/>
      <c r="B153" s="92" t="s">
        <v>1370</v>
      </c>
      <c r="C153" s="4" t="s">
        <v>19</v>
      </c>
      <c r="D153" s="4" t="s">
        <v>25</v>
      </c>
      <c r="E153" s="4" t="s">
        <v>20</v>
      </c>
      <c r="F153" s="13">
        <v>3306</v>
      </c>
      <c r="G153" s="4" t="s">
        <v>1328</v>
      </c>
      <c r="H153" s="9" t="s">
        <v>1329</v>
      </c>
      <c r="I153" s="13" t="s">
        <v>94</v>
      </c>
      <c r="J153" s="9">
        <v>6</v>
      </c>
      <c r="K153" s="25" t="s">
        <v>52</v>
      </c>
      <c r="L153" s="25" t="s">
        <v>51</v>
      </c>
    </row>
    <row r="154" spans="1:12">
      <c r="A154" s="1136" t="s">
        <v>53</v>
      </c>
      <c r="B154" s="1136"/>
      <c r="C154" s="1136"/>
      <c r="D154" s="1136"/>
      <c r="E154" s="1136"/>
      <c r="F154" s="1136"/>
      <c r="G154" s="1136"/>
      <c r="H154" s="1136"/>
      <c r="I154" s="1136"/>
      <c r="J154" s="25">
        <f>SUM(J149:J153)</f>
        <v>18</v>
      </c>
      <c r="K154" s="25"/>
      <c r="L154" s="25"/>
    </row>
    <row r="157" spans="1:12" ht="27">
      <c r="A157" s="19" t="s">
        <v>43</v>
      </c>
      <c r="B157" s="19" t="s">
        <v>44</v>
      </c>
      <c r="C157" s="20" t="s">
        <v>2</v>
      </c>
      <c r="D157" s="20" t="s">
        <v>3</v>
      </c>
      <c r="E157" s="20" t="s">
        <v>4</v>
      </c>
      <c r="F157" s="20" t="s">
        <v>5</v>
      </c>
      <c r="G157" s="20" t="s">
        <v>6</v>
      </c>
      <c r="H157" s="21" t="s">
        <v>45</v>
      </c>
      <c r="I157" s="20" t="s">
        <v>8</v>
      </c>
      <c r="J157" s="22" t="s">
        <v>46</v>
      </c>
      <c r="K157" s="23" t="s">
        <v>47</v>
      </c>
      <c r="L157" s="23" t="s">
        <v>48</v>
      </c>
    </row>
    <row r="158" spans="1:12" ht="27">
      <c r="A158" s="978" t="s">
        <v>1005</v>
      </c>
      <c r="B158" s="92" t="s">
        <v>1343</v>
      </c>
      <c r="C158" s="4" t="s">
        <v>19</v>
      </c>
      <c r="D158" s="4" t="s">
        <v>25</v>
      </c>
      <c r="E158" s="4" t="s">
        <v>20</v>
      </c>
      <c r="F158" s="4">
        <v>3306</v>
      </c>
      <c r="G158" s="4" t="s">
        <v>811</v>
      </c>
      <c r="H158" s="9" t="s">
        <v>378</v>
      </c>
      <c r="I158" s="13" t="s">
        <v>126</v>
      </c>
      <c r="J158" s="4">
        <v>2</v>
      </c>
      <c r="K158" s="25" t="s">
        <v>50</v>
      </c>
      <c r="L158" s="25" t="s">
        <v>51</v>
      </c>
    </row>
    <row r="159" spans="1:12" ht="27">
      <c r="A159" s="979"/>
      <c r="B159" s="92" t="s">
        <v>1344</v>
      </c>
      <c r="C159" s="4" t="s">
        <v>19</v>
      </c>
      <c r="D159" s="4" t="s">
        <v>25</v>
      </c>
      <c r="E159" s="4" t="s">
        <v>20</v>
      </c>
      <c r="F159" s="4">
        <v>3306</v>
      </c>
      <c r="G159" s="4" t="s">
        <v>811</v>
      </c>
      <c r="H159" s="9" t="s">
        <v>378</v>
      </c>
      <c r="I159" s="13" t="s">
        <v>126</v>
      </c>
      <c r="J159" s="4">
        <v>4</v>
      </c>
      <c r="K159" s="25" t="s">
        <v>50</v>
      </c>
      <c r="L159" s="25" t="s">
        <v>51</v>
      </c>
    </row>
    <row r="160" spans="1:12" ht="27">
      <c r="A160" s="979"/>
      <c r="B160" s="92" t="s">
        <v>1345</v>
      </c>
      <c r="C160" s="4" t="s">
        <v>19</v>
      </c>
      <c r="D160" s="4" t="s">
        <v>25</v>
      </c>
      <c r="E160" s="4" t="s">
        <v>20</v>
      </c>
      <c r="F160" s="4">
        <v>3306</v>
      </c>
      <c r="G160" s="4" t="s">
        <v>811</v>
      </c>
      <c r="H160" s="9" t="s">
        <v>378</v>
      </c>
      <c r="I160" s="13" t="s">
        <v>126</v>
      </c>
      <c r="J160" s="4">
        <v>4</v>
      </c>
      <c r="K160" s="25" t="s">
        <v>50</v>
      </c>
      <c r="L160" s="25" t="s">
        <v>51</v>
      </c>
    </row>
    <row r="161" spans="1:12" ht="27">
      <c r="A161" s="979"/>
      <c r="B161" s="92" t="s">
        <v>1346</v>
      </c>
      <c r="C161" s="4" t="s">
        <v>19</v>
      </c>
      <c r="D161" s="4" t="s">
        <v>25</v>
      </c>
      <c r="E161" s="4" t="s">
        <v>20</v>
      </c>
      <c r="F161" s="4" t="s">
        <v>1323</v>
      </c>
      <c r="G161" s="4" t="s">
        <v>1348</v>
      </c>
      <c r="H161" s="9" t="s">
        <v>378</v>
      </c>
      <c r="I161" s="13" t="s">
        <v>126</v>
      </c>
      <c r="J161" s="4">
        <v>5</v>
      </c>
      <c r="K161" s="25" t="s">
        <v>50</v>
      </c>
      <c r="L161" s="25" t="s">
        <v>51</v>
      </c>
    </row>
    <row r="162" spans="1:12" ht="27">
      <c r="A162" s="980"/>
      <c r="B162" s="92" t="s">
        <v>1347</v>
      </c>
      <c r="C162" s="4" t="s">
        <v>19</v>
      </c>
      <c r="D162" s="4" t="s">
        <v>25</v>
      </c>
      <c r="E162" s="4" t="s">
        <v>20</v>
      </c>
      <c r="F162" s="4" t="s">
        <v>1349</v>
      </c>
      <c r="G162" s="4" t="s">
        <v>1350</v>
      </c>
      <c r="H162" s="9" t="s">
        <v>378</v>
      </c>
      <c r="I162" s="13" t="s">
        <v>126</v>
      </c>
      <c r="J162" s="4">
        <v>4</v>
      </c>
      <c r="K162" s="25" t="s">
        <v>50</v>
      </c>
      <c r="L162" s="25" t="s">
        <v>51</v>
      </c>
    </row>
    <row r="163" spans="1:12">
      <c r="A163" s="953" t="s">
        <v>53</v>
      </c>
      <c r="B163" s="953"/>
      <c r="C163" s="953"/>
      <c r="D163" s="953"/>
      <c r="E163" s="953"/>
      <c r="F163" s="953"/>
      <c r="G163" s="953"/>
      <c r="H163" s="953"/>
      <c r="I163" s="953"/>
      <c r="J163" s="25">
        <f>SUM(J158:J162)</f>
        <v>19</v>
      </c>
      <c r="K163" s="25"/>
      <c r="L163" s="25"/>
    </row>
    <row r="165" spans="1:12" ht="27">
      <c r="A165" s="19" t="s">
        <v>43</v>
      </c>
      <c r="B165" s="19" t="s">
        <v>44</v>
      </c>
      <c r="C165" s="20" t="s">
        <v>2</v>
      </c>
      <c r="D165" s="20" t="s">
        <v>3</v>
      </c>
      <c r="E165" s="20" t="s">
        <v>4</v>
      </c>
      <c r="F165" s="20" t="s">
        <v>5</v>
      </c>
      <c r="G165" s="20" t="s">
        <v>6</v>
      </c>
      <c r="H165" s="21" t="s">
        <v>45</v>
      </c>
      <c r="I165" s="20" t="s">
        <v>8</v>
      </c>
      <c r="J165" s="22" t="s">
        <v>46</v>
      </c>
      <c r="K165" s="23" t="s">
        <v>47</v>
      </c>
      <c r="L165" s="23" t="s">
        <v>48</v>
      </c>
    </row>
    <row r="166" spans="1:12" ht="27">
      <c r="A166" s="155" t="s">
        <v>1341</v>
      </c>
      <c r="B166" s="15">
        <v>45335</v>
      </c>
      <c r="C166" s="3" t="s">
        <v>21</v>
      </c>
      <c r="D166" s="4" t="s">
        <v>14</v>
      </c>
      <c r="E166" s="3" t="s">
        <v>623</v>
      </c>
      <c r="F166" s="3" t="s">
        <v>1123</v>
      </c>
      <c r="G166" s="3" t="s">
        <v>102</v>
      </c>
      <c r="H166" s="9" t="s">
        <v>1292</v>
      </c>
      <c r="I166" s="13"/>
      <c r="J166" s="4">
        <v>1</v>
      </c>
      <c r="K166" s="25" t="s">
        <v>1342</v>
      </c>
      <c r="L166" s="31" t="s">
        <v>1006</v>
      </c>
    </row>
    <row r="167" spans="1:12">
      <c r="A167" s="1136" t="s">
        <v>53</v>
      </c>
      <c r="B167" s="1136"/>
      <c r="C167" s="1136"/>
      <c r="D167" s="1136"/>
      <c r="E167" s="1136"/>
      <c r="F167" s="1136"/>
      <c r="G167" s="1136"/>
      <c r="H167" s="1136"/>
      <c r="I167" s="1136"/>
      <c r="J167" s="25">
        <f>SUM(J166:J166)</f>
        <v>1</v>
      </c>
      <c r="K167" s="25"/>
      <c r="L167" s="25"/>
    </row>
    <row r="172" spans="1:12" ht="27">
      <c r="A172" s="19" t="s">
        <v>43</v>
      </c>
      <c r="B172" s="19" t="s">
        <v>44</v>
      </c>
      <c r="C172" s="20" t="s">
        <v>2</v>
      </c>
      <c r="D172" s="20" t="s">
        <v>3</v>
      </c>
      <c r="E172" s="20" t="s">
        <v>4</v>
      </c>
      <c r="F172" s="20" t="s">
        <v>5</v>
      </c>
      <c r="G172" s="20" t="s">
        <v>6</v>
      </c>
      <c r="H172" s="21" t="s">
        <v>45</v>
      </c>
      <c r="I172" s="20" t="s">
        <v>8</v>
      </c>
      <c r="J172" s="22" t="s">
        <v>46</v>
      </c>
      <c r="K172" s="23" t="s">
        <v>47</v>
      </c>
      <c r="L172" s="23" t="s">
        <v>48</v>
      </c>
    </row>
    <row r="173" spans="1:12">
      <c r="A173" s="978" t="s">
        <v>1007</v>
      </c>
      <c r="B173" s="35">
        <v>45225</v>
      </c>
      <c r="C173" s="3" t="s">
        <v>1072</v>
      </c>
      <c r="D173" s="4" t="s">
        <v>25</v>
      </c>
      <c r="E173" s="3" t="s">
        <v>1068</v>
      </c>
      <c r="F173" s="3">
        <v>3306</v>
      </c>
      <c r="G173" s="3" t="s">
        <v>1063</v>
      </c>
      <c r="H173" s="9" t="s">
        <v>1073</v>
      </c>
      <c r="I173" s="13" t="s">
        <v>1075</v>
      </c>
      <c r="J173" s="4">
        <v>2</v>
      </c>
      <c r="K173" s="25" t="s">
        <v>1008</v>
      </c>
      <c r="L173" s="31" t="s">
        <v>1006</v>
      </c>
    </row>
    <row r="174" spans="1:12">
      <c r="A174" s="979"/>
      <c r="B174" s="35">
        <v>45226</v>
      </c>
      <c r="C174" s="3" t="s">
        <v>1072</v>
      </c>
      <c r="D174" s="4" t="s">
        <v>25</v>
      </c>
      <c r="E174" s="3" t="s">
        <v>1068</v>
      </c>
      <c r="F174" s="3">
        <v>3306</v>
      </c>
      <c r="G174" s="3" t="s">
        <v>1063</v>
      </c>
      <c r="H174" s="9" t="s">
        <v>1073</v>
      </c>
      <c r="I174" s="13" t="s">
        <v>1075</v>
      </c>
      <c r="J174" s="4">
        <v>2</v>
      </c>
      <c r="K174" s="25" t="s">
        <v>1008</v>
      </c>
      <c r="L174" s="31" t="s">
        <v>1006</v>
      </c>
    </row>
    <row r="175" spans="1:12">
      <c r="A175" s="979"/>
      <c r="B175" s="35">
        <v>45229</v>
      </c>
      <c r="C175" s="3" t="s">
        <v>1072</v>
      </c>
      <c r="D175" s="4" t="s">
        <v>25</v>
      </c>
      <c r="E175" s="3" t="s">
        <v>1069</v>
      </c>
      <c r="F175" s="3">
        <v>2585</v>
      </c>
      <c r="G175" s="3" t="s">
        <v>1048</v>
      </c>
      <c r="H175" s="9" t="s">
        <v>1073</v>
      </c>
      <c r="I175" s="13" t="s">
        <v>1076</v>
      </c>
      <c r="J175" s="4">
        <v>1</v>
      </c>
      <c r="K175" s="25" t="s">
        <v>1008</v>
      </c>
      <c r="L175" s="31" t="s">
        <v>1006</v>
      </c>
    </row>
    <row r="176" spans="1:12">
      <c r="A176" s="979"/>
      <c r="B176" s="35">
        <v>45230</v>
      </c>
      <c r="C176" s="3" t="s">
        <v>1072</v>
      </c>
      <c r="D176" s="4" t="s">
        <v>25</v>
      </c>
      <c r="E176" s="3" t="s">
        <v>1070</v>
      </c>
      <c r="F176" s="3" t="s">
        <v>1062</v>
      </c>
      <c r="G176" s="3" t="s">
        <v>1067</v>
      </c>
      <c r="H176" s="9" t="s">
        <v>1073</v>
      </c>
      <c r="I176" s="13" t="s">
        <v>1074</v>
      </c>
      <c r="J176" s="4">
        <v>1</v>
      </c>
      <c r="K176" s="25" t="s">
        <v>1008</v>
      </c>
      <c r="L176" s="31" t="s">
        <v>1006</v>
      </c>
    </row>
    <row r="177" spans="1:12">
      <c r="A177" s="979"/>
      <c r="B177" s="35">
        <v>45233</v>
      </c>
      <c r="C177" s="3" t="s">
        <v>1072</v>
      </c>
      <c r="D177" s="4" t="s">
        <v>25</v>
      </c>
      <c r="E177" s="3" t="s">
        <v>1070</v>
      </c>
      <c r="F177" s="3">
        <v>2585</v>
      </c>
      <c r="G177" s="3" t="s">
        <v>1066</v>
      </c>
      <c r="H177" s="9" t="s">
        <v>1073</v>
      </c>
      <c r="I177" s="13" t="s">
        <v>1077</v>
      </c>
      <c r="J177" s="4">
        <v>1</v>
      </c>
      <c r="K177" s="25" t="s">
        <v>1008</v>
      </c>
      <c r="L177" s="31" t="s">
        <v>1006</v>
      </c>
    </row>
    <row r="178" spans="1:12">
      <c r="A178" s="979"/>
      <c r="B178" s="35">
        <v>45240</v>
      </c>
      <c r="C178" s="3" t="s">
        <v>1072</v>
      </c>
      <c r="D178" s="4" t="s">
        <v>25</v>
      </c>
      <c r="E178" s="3" t="s">
        <v>1068</v>
      </c>
      <c r="F178" s="3">
        <v>3306</v>
      </c>
      <c r="G178" s="3" t="s">
        <v>1063</v>
      </c>
      <c r="H178" s="9" t="s">
        <v>1073</v>
      </c>
      <c r="I178" s="13" t="s">
        <v>1075</v>
      </c>
      <c r="J178" s="4">
        <v>2</v>
      </c>
      <c r="K178" s="25" t="s">
        <v>1008</v>
      </c>
      <c r="L178" s="31" t="s">
        <v>1006</v>
      </c>
    </row>
    <row r="179" spans="1:12">
      <c r="A179" s="979"/>
      <c r="B179" s="35">
        <v>45241</v>
      </c>
      <c r="C179" s="3" t="s">
        <v>1072</v>
      </c>
      <c r="D179" s="4" t="s">
        <v>25</v>
      </c>
      <c r="E179" s="3" t="s">
        <v>1068</v>
      </c>
      <c r="F179" s="3">
        <v>3306</v>
      </c>
      <c r="G179" s="3" t="s">
        <v>1063</v>
      </c>
      <c r="H179" s="9" t="s">
        <v>1073</v>
      </c>
      <c r="I179" s="13" t="s">
        <v>1075</v>
      </c>
      <c r="J179" s="4">
        <v>2</v>
      </c>
      <c r="K179" s="25" t="s">
        <v>1008</v>
      </c>
      <c r="L179" s="31" t="s">
        <v>1006</v>
      </c>
    </row>
    <row r="180" spans="1:12">
      <c r="A180" s="979"/>
      <c r="B180" s="35">
        <v>45243</v>
      </c>
      <c r="C180" s="3" t="s">
        <v>1072</v>
      </c>
      <c r="D180" s="4" t="s">
        <v>25</v>
      </c>
      <c r="E180" s="3" t="s">
        <v>1068</v>
      </c>
      <c r="F180" s="3">
        <v>3306</v>
      </c>
      <c r="G180" s="3" t="s">
        <v>1063</v>
      </c>
      <c r="H180" s="9" t="s">
        <v>1073</v>
      </c>
      <c r="I180" s="13" t="s">
        <v>1075</v>
      </c>
      <c r="J180" s="4">
        <v>2</v>
      </c>
      <c r="K180" s="25" t="s">
        <v>1008</v>
      </c>
      <c r="L180" s="31" t="s">
        <v>1006</v>
      </c>
    </row>
    <row r="181" spans="1:12">
      <c r="A181" s="979"/>
      <c r="B181" s="35">
        <v>45244</v>
      </c>
      <c r="C181" s="3" t="s">
        <v>1072</v>
      </c>
      <c r="D181" s="4" t="s">
        <v>25</v>
      </c>
      <c r="E181" s="3" t="s">
        <v>1071</v>
      </c>
      <c r="F181" s="3">
        <v>2585</v>
      </c>
      <c r="G181" s="3" t="s">
        <v>1064</v>
      </c>
      <c r="H181" s="9" t="s">
        <v>1073</v>
      </c>
      <c r="I181" s="13" t="s">
        <v>1078</v>
      </c>
      <c r="J181" s="4">
        <v>1</v>
      </c>
      <c r="K181" s="25" t="s">
        <v>1008</v>
      </c>
      <c r="L181" s="31" t="s">
        <v>1006</v>
      </c>
    </row>
    <row r="182" spans="1:12">
      <c r="A182" s="980"/>
      <c r="B182" s="35">
        <v>45244</v>
      </c>
      <c r="C182" s="3" t="s">
        <v>1072</v>
      </c>
      <c r="D182" s="4" t="s">
        <v>25</v>
      </c>
      <c r="E182" s="3" t="s">
        <v>1071</v>
      </c>
      <c r="F182" s="3">
        <v>4266</v>
      </c>
      <c r="G182" s="3" t="s">
        <v>1065</v>
      </c>
      <c r="H182" s="9" t="s">
        <v>1073</v>
      </c>
      <c r="I182" s="13" t="s">
        <v>1079</v>
      </c>
      <c r="J182" s="4">
        <v>1</v>
      </c>
      <c r="K182" s="25" t="s">
        <v>1008</v>
      </c>
      <c r="L182" s="31" t="s">
        <v>1006</v>
      </c>
    </row>
    <row r="183" spans="1:12">
      <c r="A183" s="953" t="s">
        <v>53</v>
      </c>
      <c r="B183" s="953"/>
      <c r="C183" s="953"/>
      <c r="D183" s="953"/>
      <c r="E183" s="953"/>
      <c r="F183" s="953"/>
      <c r="G183" s="953"/>
      <c r="H183" s="953"/>
      <c r="I183" s="953"/>
      <c r="J183" s="25">
        <f>SUM(J173:J182)</f>
        <v>15</v>
      </c>
      <c r="K183" s="25"/>
      <c r="L183" s="25"/>
    </row>
    <row r="188" spans="1:12" ht="27">
      <c r="A188" s="19" t="s">
        <v>43</v>
      </c>
      <c r="B188" s="19" t="s">
        <v>44</v>
      </c>
      <c r="C188" s="20" t="s">
        <v>2</v>
      </c>
      <c r="D188" s="20" t="s">
        <v>3</v>
      </c>
      <c r="E188" s="20" t="s">
        <v>4</v>
      </c>
      <c r="F188" s="20" t="s">
        <v>5</v>
      </c>
      <c r="G188" s="20" t="s">
        <v>6</v>
      </c>
      <c r="H188" s="21" t="s">
        <v>45</v>
      </c>
      <c r="I188" s="20" t="s">
        <v>8</v>
      </c>
      <c r="J188" s="22" t="s">
        <v>46</v>
      </c>
      <c r="K188" s="23" t="s">
        <v>47</v>
      </c>
      <c r="L188" s="23" t="s">
        <v>48</v>
      </c>
    </row>
    <row r="189" spans="1:12">
      <c r="A189" s="1094" t="s">
        <v>1061</v>
      </c>
      <c r="B189" s="981" t="s">
        <v>1085</v>
      </c>
      <c r="C189" s="4" t="s">
        <v>19</v>
      </c>
      <c r="D189" s="4" t="s">
        <v>25</v>
      </c>
      <c r="E189" s="4" t="s">
        <v>20</v>
      </c>
      <c r="F189" s="4" t="s">
        <v>1088</v>
      </c>
      <c r="G189" s="4" t="s">
        <v>23</v>
      </c>
      <c r="H189" s="9" t="s">
        <v>1117</v>
      </c>
      <c r="I189" s="13" t="s">
        <v>1056</v>
      </c>
      <c r="J189" s="4">
        <v>4</v>
      </c>
      <c r="K189" s="25" t="s">
        <v>52</v>
      </c>
      <c r="L189" s="25" t="s">
        <v>51</v>
      </c>
    </row>
    <row r="190" spans="1:12">
      <c r="A190" s="1095"/>
      <c r="B190" s="983"/>
      <c r="C190" s="3" t="s">
        <v>19</v>
      </c>
      <c r="D190" s="4" t="s">
        <v>25</v>
      </c>
      <c r="E190" s="4" t="s">
        <v>20</v>
      </c>
      <c r="F190" s="4">
        <v>2585</v>
      </c>
      <c r="G190" s="3" t="s">
        <v>361</v>
      </c>
      <c r="H190" s="9" t="s">
        <v>732</v>
      </c>
      <c r="I190" s="13" t="s">
        <v>1056</v>
      </c>
      <c r="J190" s="4">
        <v>2</v>
      </c>
      <c r="K190" s="25" t="s">
        <v>52</v>
      </c>
      <c r="L190" s="25" t="s">
        <v>51</v>
      </c>
    </row>
    <row r="191" spans="1:12">
      <c r="A191" s="1095"/>
      <c r="B191" s="981" t="s">
        <v>1121</v>
      </c>
      <c r="C191" s="3" t="s">
        <v>19</v>
      </c>
      <c r="D191" s="4" t="s">
        <v>25</v>
      </c>
      <c r="E191" s="4" t="s">
        <v>20</v>
      </c>
      <c r="F191" s="4" t="s">
        <v>961</v>
      </c>
      <c r="G191" s="3" t="s">
        <v>145</v>
      </c>
      <c r="H191" s="9" t="s">
        <v>1105</v>
      </c>
      <c r="I191" s="13" t="s">
        <v>94</v>
      </c>
      <c r="J191" s="4">
        <v>1</v>
      </c>
      <c r="K191" s="25" t="s">
        <v>52</v>
      </c>
      <c r="L191" s="25" t="s">
        <v>51</v>
      </c>
    </row>
    <row r="192" spans="1:12">
      <c r="A192" s="1095"/>
      <c r="B192" s="983"/>
      <c r="C192" s="3" t="s">
        <v>19</v>
      </c>
      <c r="D192" s="4" t="s">
        <v>25</v>
      </c>
      <c r="E192" s="4" t="s">
        <v>20</v>
      </c>
      <c r="F192" s="4">
        <v>2585</v>
      </c>
      <c r="G192" s="3" t="s">
        <v>279</v>
      </c>
      <c r="H192" s="9" t="s">
        <v>1105</v>
      </c>
      <c r="I192" s="13" t="s">
        <v>94</v>
      </c>
      <c r="J192" s="4">
        <v>4</v>
      </c>
      <c r="K192" s="25" t="s">
        <v>52</v>
      </c>
      <c r="L192" s="25" t="s">
        <v>51</v>
      </c>
    </row>
    <row r="193" spans="1:12">
      <c r="A193" s="953" t="s">
        <v>53</v>
      </c>
      <c r="B193" s="953"/>
      <c r="C193" s="953"/>
      <c r="D193" s="953"/>
      <c r="E193" s="953"/>
      <c r="F193" s="953"/>
      <c r="G193" s="953"/>
      <c r="H193" s="953"/>
      <c r="I193" s="953"/>
      <c r="J193" s="4">
        <f>SUM(J189:J192)</f>
        <v>11</v>
      </c>
      <c r="K193" s="26"/>
      <c r="L193" s="55"/>
    </row>
    <row r="198" spans="1:12" ht="27">
      <c r="A198" s="19" t="s">
        <v>43</v>
      </c>
      <c r="B198" s="19" t="s">
        <v>44</v>
      </c>
      <c r="C198" s="20" t="s">
        <v>2</v>
      </c>
      <c r="D198" s="20" t="s">
        <v>3</v>
      </c>
      <c r="E198" s="20" t="s">
        <v>4</v>
      </c>
      <c r="F198" s="20" t="s">
        <v>5</v>
      </c>
      <c r="G198" s="20" t="s">
        <v>6</v>
      </c>
      <c r="H198" s="21" t="s">
        <v>45</v>
      </c>
      <c r="I198" s="20" t="s">
        <v>8</v>
      </c>
      <c r="J198" s="22" t="s">
        <v>46</v>
      </c>
      <c r="K198" s="23" t="s">
        <v>47</v>
      </c>
      <c r="L198" s="23" t="s">
        <v>48</v>
      </c>
    </row>
    <row r="199" spans="1:12" ht="27">
      <c r="A199" s="1207" t="s">
        <v>1115</v>
      </c>
      <c r="B199" s="121">
        <v>45652</v>
      </c>
      <c r="C199" s="3" t="s">
        <v>24</v>
      </c>
      <c r="D199" s="4" t="s">
        <v>30</v>
      </c>
      <c r="E199" s="3" t="s">
        <v>1125</v>
      </c>
      <c r="F199" s="3" t="s">
        <v>604</v>
      </c>
      <c r="G199" s="3" t="s">
        <v>102</v>
      </c>
      <c r="H199" s="9" t="s">
        <v>1127</v>
      </c>
      <c r="I199" s="13"/>
      <c r="J199" s="4">
        <v>1</v>
      </c>
      <c r="K199" s="25" t="s">
        <v>52</v>
      </c>
      <c r="L199" s="25" t="s">
        <v>51</v>
      </c>
    </row>
    <row r="200" spans="1:12">
      <c r="A200" s="1208"/>
      <c r="B200" s="121">
        <v>45653</v>
      </c>
      <c r="C200" s="3" t="s">
        <v>24</v>
      </c>
      <c r="D200" s="4" t="s">
        <v>30</v>
      </c>
      <c r="E200" s="3" t="s">
        <v>623</v>
      </c>
      <c r="F200" s="3" t="s">
        <v>1123</v>
      </c>
      <c r="G200" s="3" t="s">
        <v>102</v>
      </c>
      <c r="H200" s="9" t="s">
        <v>1124</v>
      </c>
      <c r="I200" s="13"/>
      <c r="J200" s="4">
        <v>1</v>
      </c>
      <c r="K200" s="25" t="s">
        <v>52</v>
      </c>
      <c r="L200" s="25" t="s">
        <v>51</v>
      </c>
    </row>
    <row r="201" spans="1:12" ht="27">
      <c r="A201" s="1208"/>
      <c r="B201" s="121">
        <v>45654</v>
      </c>
      <c r="C201" s="3" t="s">
        <v>21</v>
      </c>
      <c r="D201" s="4" t="s">
        <v>31</v>
      </c>
      <c r="E201" s="3" t="s">
        <v>898</v>
      </c>
      <c r="F201" s="3" t="s">
        <v>879</v>
      </c>
      <c r="G201" s="3" t="s">
        <v>102</v>
      </c>
      <c r="H201" s="9" t="s">
        <v>1130</v>
      </c>
      <c r="I201" s="13"/>
      <c r="J201" s="4">
        <v>1</v>
      </c>
      <c r="K201" s="25" t="s">
        <v>52</v>
      </c>
      <c r="L201" s="25" t="s">
        <v>51</v>
      </c>
    </row>
    <row r="202" spans="1:12">
      <c r="A202" s="1208"/>
      <c r="B202" s="92">
        <v>45317</v>
      </c>
      <c r="C202" s="3" t="s">
        <v>64</v>
      </c>
      <c r="D202" s="4" t="s">
        <v>70</v>
      </c>
      <c r="E202" s="3" t="s">
        <v>1125</v>
      </c>
      <c r="F202" s="3" t="s">
        <v>604</v>
      </c>
      <c r="G202" s="3" t="s">
        <v>102</v>
      </c>
      <c r="H202" s="9" t="s">
        <v>396</v>
      </c>
      <c r="I202" s="13" t="s">
        <v>90</v>
      </c>
      <c r="J202" s="4">
        <v>1</v>
      </c>
      <c r="K202" s="25" t="s">
        <v>52</v>
      </c>
      <c r="L202" s="25" t="s">
        <v>51</v>
      </c>
    </row>
    <row r="203" spans="1:12">
      <c r="A203" s="1136" t="s">
        <v>53</v>
      </c>
      <c r="B203" s="1136"/>
      <c r="C203" s="1136"/>
      <c r="D203" s="1136"/>
      <c r="E203" s="1136"/>
      <c r="F203" s="1136"/>
      <c r="G203" s="1136"/>
      <c r="H203" s="1136"/>
      <c r="I203" s="1136"/>
      <c r="J203" s="25">
        <f>SUM(J199:J202)</f>
        <v>4</v>
      </c>
      <c r="K203" s="25"/>
      <c r="L203" s="25"/>
    </row>
    <row r="206" spans="1:12" ht="27">
      <c r="A206" s="19" t="s">
        <v>43</v>
      </c>
      <c r="B206" s="19" t="s">
        <v>44</v>
      </c>
      <c r="C206" s="20" t="s">
        <v>2</v>
      </c>
      <c r="D206" s="20" t="s">
        <v>3</v>
      </c>
      <c r="E206" s="20" t="s">
        <v>4</v>
      </c>
      <c r="F206" s="20" t="s">
        <v>5</v>
      </c>
      <c r="G206" s="20" t="s">
        <v>6</v>
      </c>
      <c r="H206" s="21" t="s">
        <v>45</v>
      </c>
      <c r="I206" s="20" t="s">
        <v>8</v>
      </c>
      <c r="J206" s="22" t="s">
        <v>46</v>
      </c>
      <c r="K206" s="23" t="s">
        <v>47</v>
      </c>
      <c r="L206" s="23" t="s">
        <v>48</v>
      </c>
    </row>
    <row r="207" spans="1:12" ht="40.5">
      <c r="A207" s="1136" t="s">
        <v>739</v>
      </c>
      <c r="B207" s="127" t="s">
        <v>1266</v>
      </c>
      <c r="C207" s="3" t="s">
        <v>21</v>
      </c>
      <c r="D207" s="4" t="s">
        <v>30</v>
      </c>
      <c r="E207" s="3" t="s">
        <v>919</v>
      </c>
      <c r="F207" s="3" t="s">
        <v>1026</v>
      </c>
      <c r="G207" s="3" t="s">
        <v>23</v>
      </c>
      <c r="H207" s="9" t="s">
        <v>1267</v>
      </c>
      <c r="I207" s="13" t="s">
        <v>155</v>
      </c>
      <c r="J207" s="4">
        <v>3</v>
      </c>
      <c r="K207" s="25" t="s">
        <v>1268</v>
      </c>
      <c r="L207" s="25" t="s">
        <v>51</v>
      </c>
    </row>
    <row r="208" spans="1:12" ht="27">
      <c r="A208" s="1136"/>
      <c r="B208" s="127">
        <v>45288</v>
      </c>
      <c r="C208" s="3" t="s">
        <v>21</v>
      </c>
      <c r="D208" s="4" t="s">
        <v>31</v>
      </c>
      <c r="E208" s="3" t="s">
        <v>898</v>
      </c>
      <c r="F208" s="3" t="s">
        <v>879</v>
      </c>
      <c r="G208" s="3" t="s">
        <v>102</v>
      </c>
      <c r="H208" s="9" t="s">
        <v>1130</v>
      </c>
      <c r="I208" s="13" t="s">
        <v>155</v>
      </c>
      <c r="J208" s="4">
        <v>1</v>
      </c>
      <c r="K208" s="25" t="s">
        <v>50</v>
      </c>
      <c r="L208" s="25" t="s">
        <v>51</v>
      </c>
    </row>
    <row r="209" spans="1:12" ht="27">
      <c r="A209" s="1136"/>
      <c r="B209" s="127">
        <v>45293</v>
      </c>
      <c r="C209" s="3" t="s">
        <v>96</v>
      </c>
      <c r="D209" s="4" t="s">
        <v>14</v>
      </c>
      <c r="E209" s="3" t="s">
        <v>211</v>
      </c>
      <c r="F209" s="3">
        <v>2461</v>
      </c>
      <c r="G209" s="3" t="s">
        <v>264</v>
      </c>
      <c r="H209" s="9" t="s">
        <v>1272</v>
      </c>
      <c r="I209" s="13"/>
      <c r="J209" s="4">
        <v>2</v>
      </c>
      <c r="K209" s="25" t="s">
        <v>50</v>
      </c>
      <c r="L209" s="25" t="s">
        <v>51</v>
      </c>
    </row>
    <row r="210" spans="1:12">
      <c r="A210" s="1136"/>
      <c r="B210" s="127">
        <v>45296</v>
      </c>
      <c r="C210" s="3" t="s">
        <v>21</v>
      </c>
      <c r="D210" s="4" t="s">
        <v>30</v>
      </c>
      <c r="E210" s="3" t="s">
        <v>107</v>
      </c>
      <c r="F210" s="3" t="s">
        <v>108</v>
      </c>
      <c r="G210" s="3" t="s">
        <v>143</v>
      </c>
      <c r="H210" s="9" t="s">
        <v>1269</v>
      </c>
      <c r="I210" s="13" t="s">
        <v>155</v>
      </c>
      <c r="J210" s="4">
        <v>1</v>
      </c>
      <c r="K210" s="25" t="s">
        <v>50</v>
      </c>
      <c r="L210" s="25" t="s">
        <v>51</v>
      </c>
    </row>
    <row r="211" spans="1:12">
      <c r="A211" s="1136"/>
      <c r="B211" s="127">
        <v>45297</v>
      </c>
      <c r="C211" s="3" t="s">
        <v>138</v>
      </c>
      <c r="D211" s="4" t="s">
        <v>30</v>
      </c>
      <c r="E211" s="3" t="s">
        <v>277</v>
      </c>
      <c r="F211" s="3">
        <v>4210</v>
      </c>
      <c r="G211" s="3" t="s">
        <v>1270</v>
      </c>
      <c r="H211" s="9" t="s">
        <v>1271</v>
      </c>
      <c r="I211" s="13"/>
      <c r="J211" s="4">
        <v>3</v>
      </c>
      <c r="K211" s="25" t="s">
        <v>50</v>
      </c>
      <c r="L211" s="25" t="s">
        <v>51</v>
      </c>
    </row>
    <row r="212" spans="1:12">
      <c r="A212" s="1136"/>
      <c r="B212" s="127">
        <v>45299</v>
      </c>
      <c r="C212" s="64" t="s">
        <v>311</v>
      </c>
      <c r="D212" s="129" t="s">
        <v>320</v>
      </c>
      <c r="E212" s="64" t="s">
        <v>709</v>
      </c>
      <c r="F212" s="64">
        <v>2461</v>
      </c>
      <c r="G212" s="64" t="s">
        <v>1047</v>
      </c>
      <c r="H212" s="152" t="s">
        <v>1212</v>
      </c>
      <c r="I212" s="13"/>
      <c r="J212" s="4">
        <v>2</v>
      </c>
      <c r="K212" s="25" t="s">
        <v>50</v>
      </c>
      <c r="L212" s="25" t="s">
        <v>51</v>
      </c>
    </row>
    <row r="213" spans="1:12">
      <c r="A213" s="1136"/>
      <c r="B213" s="127" t="s">
        <v>1274</v>
      </c>
      <c r="C213" s="3" t="s">
        <v>21</v>
      </c>
      <c r="D213" s="4" t="s">
        <v>30</v>
      </c>
      <c r="E213" s="3" t="s">
        <v>919</v>
      </c>
      <c r="F213" s="3" t="s">
        <v>1026</v>
      </c>
      <c r="G213" s="3" t="s">
        <v>23</v>
      </c>
      <c r="H213" s="9" t="s">
        <v>1273</v>
      </c>
      <c r="I213" s="13" t="s">
        <v>90</v>
      </c>
      <c r="J213" s="4">
        <v>2</v>
      </c>
      <c r="K213" s="25" t="s">
        <v>50</v>
      </c>
      <c r="L213" s="25" t="s">
        <v>51</v>
      </c>
    </row>
    <row r="214" spans="1:12">
      <c r="A214" s="1136" t="s">
        <v>53</v>
      </c>
      <c r="B214" s="1136"/>
      <c r="C214" s="1136"/>
      <c r="D214" s="1136"/>
      <c r="E214" s="1136"/>
      <c r="F214" s="1136"/>
      <c r="G214" s="1136"/>
      <c r="H214" s="1136"/>
      <c r="I214" s="1136"/>
      <c r="J214" s="25">
        <f>SUM(J207:J213)</f>
        <v>14</v>
      </c>
      <c r="K214" s="25"/>
      <c r="L214" s="25"/>
    </row>
    <row r="217" spans="1:12">
      <c r="A217" t="s">
        <v>1500</v>
      </c>
    </row>
    <row r="219" spans="1:12" ht="27">
      <c r="A219" s="19" t="s">
        <v>1433</v>
      </c>
      <c r="B219" s="19" t="s">
        <v>1434</v>
      </c>
      <c r="C219" s="20" t="s">
        <v>2</v>
      </c>
      <c r="D219" s="20" t="s">
        <v>3</v>
      </c>
      <c r="E219" s="20" t="s">
        <v>4</v>
      </c>
      <c r="F219" s="20" t="s">
        <v>5</v>
      </c>
      <c r="G219" s="20" t="s">
        <v>6</v>
      </c>
      <c r="H219" s="21" t="s">
        <v>1435</v>
      </c>
      <c r="I219" s="20" t="s">
        <v>1436</v>
      </c>
      <c r="J219" s="22" t="s">
        <v>1437</v>
      </c>
      <c r="K219" s="23" t="s">
        <v>1438</v>
      </c>
      <c r="L219" s="23" t="s">
        <v>1439</v>
      </c>
    </row>
    <row r="220" spans="1:12">
      <c r="A220" s="1136" t="s">
        <v>1440</v>
      </c>
      <c r="B220" s="188">
        <v>45344</v>
      </c>
      <c r="C220" s="183" t="s">
        <v>75</v>
      </c>
      <c r="D220" s="183" t="s">
        <v>70</v>
      </c>
      <c r="E220" s="183" t="s">
        <v>1441</v>
      </c>
      <c r="F220" s="183" t="s">
        <v>108</v>
      </c>
      <c r="G220" s="183" t="s">
        <v>143</v>
      </c>
      <c r="H220" s="189" t="s">
        <v>1442</v>
      </c>
      <c r="I220" s="190" t="s">
        <v>120</v>
      </c>
      <c r="J220" s="183">
        <v>1</v>
      </c>
      <c r="K220" s="191" t="s">
        <v>52</v>
      </c>
      <c r="L220" s="44" t="s">
        <v>1443</v>
      </c>
    </row>
    <row r="221" spans="1:12">
      <c r="A221" s="1136"/>
      <c r="B221" s="15">
        <v>45345</v>
      </c>
      <c r="C221" s="3" t="s">
        <v>1444</v>
      </c>
      <c r="D221" s="4" t="s">
        <v>70</v>
      </c>
      <c r="E221" s="3" t="s">
        <v>1161</v>
      </c>
      <c r="F221" s="3">
        <v>8384</v>
      </c>
      <c r="G221" s="3" t="s">
        <v>1445</v>
      </c>
      <c r="H221" s="9" t="s">
        <v>1446</v>
      </c>
      <c r="I221" s="13" t="s">
        <v>120</v>
      </c>
      <c r="J221" s="4">
        <v>2</v>
      </c>
      <c r="K221" s="25" t="s">
        <v>52</v>
      </c>
      <c r="L221" s="25" t="s">
        <v>1443</v>
      </c>
    </row>
    <row r="222" spans="1:12">
      <c r="A222" s="1136"/>
      <c r="B222" s="15">
        <v>45348</v>
      </c>
      <c r="C222" s="4" t="s">
        <v>1447</v>
      </c>
      <c r="D222" s="4" t="s">
        <v>70</v>
      </c>
      <c r="E222" s="3" t="s">
        <v>1441</v>
      </c>
      <c r="F222" s="3" t="s">
        <v>108</v>
      </c>
      <c r="G222" s="3" t="s">
        <v>143</v>
      </c>
      <c r="H222" s="9" t="s">
        <v>1448</v>
      </c>
      <c r="I222" s="13" t="s">
        <v>120</v>
      </c>
      <c r="J222" s="4">
        <v>2</v>
      </c>
      <c r="K222" s="25" t="s">
        <v>52</v>
      </c>
      <c r="L222" s="25" t="s">
        <v>1443</v>
      </c>
    </row>
    <row r="223" spans="1:12">
      <c r="A223" s="1136"/>
      <c r="B223" s="15">
        <v>45349</v>
      </c>
      <c r="C223" s="3" t="s">
        <v>75</v>
      </c>
      <c r="D223" s="4" t="s">
        <v>70</v>
      </c>
      <c r="E223" s="3" t="s">
        <v>107</v>
      </c>
      <c r="F223" s="3" t="s">
        <v>1449</v>
      </c>
      <c r="G223" s="3" t="s">
        <v>1390</v>
      </c>
      <c r="H223" s="5" t="s">
        <v>1450</v>
      </c>
      <c r="I223" s="13" t="s">
        <v>1451</v>
      </c>
      <c r="J223" s="4">
        <v>2</v>
      </c>
      <c r="K223" s="25" t="s">
        <v>1452</v>
      </c>
      <c r="L223" s="25" t="s">
        <v>1443</v>
      </c>
    </row>
    <row r="224" spans="1:12" ht="27">
      <c r="A224" s="1136"/>
      <c r="B224" s="15">
        <v>45355</v>
      </c>
      <c r="C224" s="33" t="s">
        <v>75</v>
      </c>
      <c r="D224" s="4" t="s">
        <v>77</v>
      </c>
      <c r="E224" s="3" t="s">
        <v>1453</v>
      </c>
      <c r="F224" s="3">
        <v>7059</v>
      </c>
      <c r="G224" s="3" t="s">
        <v>1454</v>
      </c>
      <c r="H224" s="5" t="s">
        <v>1455</v>
      </c>
      <c r="I224" s="13" t="s">
        <v>1451</v>
      </c>
      <c r="J224" s="4">
        <v>1</v>
      </c>
      <c r="K224" s="25" t="s">
        <v>1456</v>
      </c>
      <c r="L224" s="25" t="s">
        <v>1443</v>
      </c>
    </row>
    <row r="225" spans="1:12">
      <c r="A225" s="1136"/>
      <c r="B225" s="15">
        <v>45380</v>
      </c>
      <c r="C225" s="3" t="s">
        <v>138</v>
      </c>
      <c r="D225" s="4" t="s">
        <v>70</v>
      </c>
      <c r="E225" s="3" t="s">
        <v>1161</v>
      </c>
      <c r="F225" s="14">
        <v>8384</v>
      </c>
      <c r="G225" s="3" t="s">
        <v>125</v>
      </c>
      <c r="H225" s="9" t="s">
        <v>1457</v>
      </c>
      <c r="I225" s="13" t="s">
        <v>120</v>
      </c>
      <c r="J225" s="4">
        <v>1</v>
      </c>
      <c r="K225" s="25" t="s">
        <v>1456</v>
      </c>
      <c r="L225" s="25" t="s">
        <v>1443</v>
      </c>
    </row>
    <row r="226" spans="1:12">
      <c r="A226" s="1136" t="s">
        <v>1458</v>
      </c>
      <c r="B226" s="1136"/>
      <c r="C226" s="1136"/>
      <c r="D226" s="1136"/>
      <c r="E226" s="1136"/>
      <c r="F226" s="1136"/>
      <c r="G226" s="1136"/>
      <c r="H226" s="1136"/>
      <c r="I226" s="1136"/>
      <c r="J226" s="25">
        <f>SUM(J220:J225)</f>
        <v>9</v>
      </c>
      <c r="K226" s="25"/>
      <c r="L226" s="25"/>
    </row>
    <row r="228" spans="1:12" ht="27">
      <c r="A228" s="19" t="s">
        <v>43</v>
      </c>
      <c r="B228" s="19" t="s">
        <v>1459</v>
      </c>
      <c r="C228" s="20" t="s">
        <v>2</v>
      </c>
      <c r="D228" s="20" t="s">
        <v>3</v>
      </c>
      <c r="E228" s="20" t="s">
        <v>4</v>
      </c>
      <c r="F228" s="20" t="s">
        <v>5</v>
      </c>
      <c r="G228" s="20" t="s">
        <v>6</v>
      </c>
      <c r="H228" s="21" t="s">
        <v>1460</v>
      </c>
      <c r="I228" s="20" t="s">
        <v>1461</v>
      </c>
      <c r="J228" s="22" t="s">
        <v>1462</v>
      </c>
      <c r="K228" s="23" t="s">
        <v>1463</v>
      </c>
      <c r="L228" s="23" t="s">
        <v>1464</v>
      </c>
    </row>
    <row r="229" spans="1:12">
      <c r="A229" s="1136" t="s">
        <v>1465</v>
      </c>
      <c r="B229" s="15">
        <v>45345</v>
      </c>
      <c r="C229" s="3" t="s">
        <v>1466</v>
      </c>
      <c r="D229" s="4" t="s">
        <v>1467</v>
      </c>
      <c r="E229" s="3" t="s">
        <v>1468</v>
      </c>
      <c r="F229" s="3" t="s">
        <v>1469</v>
      </c>
      <c r="G229" s="3" t="s">
        <v>1470</v>
      </c>
      <c r="H229" s="5" t="s">
        <v>1471</v>
      </c>
      <c r="I229" s="13" t="s">
        <v>1472</v>
      </c>
      <c r="J229" s="4">
        <v>2</v>
      </c>
      <c r="K229" s="25" t="s">
        <v>1473</v>
      </c>
      <c r="L229" s="25" t="s">
        <v>1474</v>
      </c>
    </row>
    <row r="230" spans="1:12">
      <c r="A230" s="1136"/>
      <c r="B230" s="15">
        <v>45346</v>
      </c>
      <c r="C230" s="3" t="s">
        <v>1475</v>
      </c>
      <c r="D230" s="4" t="s">
        <v>1476</v>
      </c>
      <c r="E230" s="3" t="s">
        <v>1477</v>
      </c>
      <c r="F230" s="3" t="s">
        <v>1469</v>
      </c>
      <c r="G230" s="3" t="s">
        <v>1470</v>
      </c>
      <c r="H230" s="5" t="s">
        <v>1478</v>
      </c>
      <c r="I230" s="13" t="s">
        <v>1472</v>
      </c>
      <c r="J230" s="4">
        <v>2</v>
      </c>
      <c r="K230" s="25" t="s">
        <v>1479</v>
      </c>
      <c r="L230" s="25" t="s">
        <v>1480</v>
      </c>
    </row>
    <row r="231" spans="1:12">
      <c r="A231" s="1136"/>
      <c r="B231" s="15">
        <v>45348</v>
      </c>
      <c r="C231" s="3" t="s">
        <v>1466</v>
      </c>
      <c r="D231" s="4" t="s">
        <v>1467</v>
      </c>
      <c r="E231" s="3" t="s">
        <v>1477</v>
      </c>
      <c r="F231" s="3" t="s">
        <v>1481</v>
      </c>
      <c r="G231" s="3" t="s">
        <v>1390</v>
      </c>
      <c r="H231" s="9" t="s">
        <v>1482</v>
      </c>
      <c r="I231" s="13" t="s">
        <v>1483</v>
      </c>
      <c r="J231" s="4">
        <v>2</v>
      </c>
      <c r="K231" s="25" t="s">
        <v>1473</v>
      </c>
      <c r="L231" s="25" t="s">
        <v>1484</v>
      </c>
    </row>
    <row r="232" spans="1:12" ht="27">
      <c r="A232" s="1136"/>
      <c r="B232" s="15">
        <v>45357</v>
      </c>
      <c r="C232" s="3" t="s">
        <v>1466</v>
      </c>
      <c r="D232" s="4" t="s">
        <v>1467</v>
      </c>
      <c r="E232" s="3" t="s">
        <v>1485</v>
      </c>
      <c r="F232" s="3" t="s">
        <v>1481</v>
      </c>
      <c r="G232" s="3" t="s">
        <v>1486</v>
      </c>
      <c r="H232" s="5" t="s">
        <v>1487</v>
      </c>
      <c r="I232" s="13" t="s">
        <v>1472</v>
      </c>
      <c r="J232" s="4">
        <v>2</v>
      </c>
      <c r="K232" s="25" t="s">
        <v>1699</v>
      </c>
      <c r="L232" s="25" t="s">
        <v>1484</v>
      </c>
    </row>
    <row r="233" spans="1:12" ht="27">
      <c r="A233" s="1136"/>
      <c r="B233" s="15">
        <v>45358</v>
      </c>
      <c r="C233" s="3" t="s">
        <v>1466</v>
      </c>
      <c r="D233" s="4" t="s">
        <v>1476</v>
      </c>
      <c r="E233" s="3" t="s">
        <v>1477</v>
      </c>
      <c r="F233" s="3" t="s">
        <v>1469</v>
      </c>
      <c r="G233" s="3" t="s">
        <v>1486</v>
      </c>
      <c r="H233" s="5" t="s">
        <v>1489</v>
      </c>
      <c r="I233" s="13" t="s">
        <v>1451</v>
      </c>
      <c r="J233" s="4">
        <v>2</v>
      </c>
      <c r="K233" s="25" t="s">
        <v>1488</v>
      </c>
      <c r="L233" s="25" t="s">
        <v>1480</v>
      </c>
    </row>
    <row r="234" spans="1:12">
      <c r="A234" s="1136"/>
      <c r="B234" s="15">
        <v>45376</v>
      </c>
      <c r="C234" s="3" t="s">
        <v>1490</v>
      </c>
      <c r="D234" s="4" t="s">
        <v>1467</v>
      </c>
      <c r="E234" s="3" t="s">
        <v>107</v>
      </c>
      <c r="F234" s="3" t="s">
        <v>1491</v>
      </c>
      <c r="G234" s="3" t="s">
        <v>1492</v>
      </c>
      <c r="H234" s="9" t="s">
        <v>1493</v>
      </c>
      <c r="I234" s="13" t="s">
        <v>1472</v>
      </c>
      <c r="J234" s="4">
        <v>1</v>
      </c>
      <c r="K234" s="25" t="s">
        <v>1494</v>
      </c>
      <c r="L234" s="25" t="s">
        <v>1443</v>
      </c>
    </row>
    <row r="235" spans="1:12" ht="40.5">
      <c r="A235" s="1136"/>
      <c r="B235" s="15">
        <v>45377</v>
      </c>
      <c r="C235" s="4" t="s">
        <v>1495</v>
      </c>
      <c r="D235" s="4" t="s">
        <v>1476</v>
      </c>
      <c r="E235" s="4" t="s">
        <v>1477</v>
      </c>
      <c r="F235" s="4" t="s">
        <v>1496</v>
      </c>
      <c r="G235" s="3" t="s">
        <v>1497</v>
      </c>
      <c r="H235" s="9" t="s">
        <v>1498</v>
      </c>
      <c r="I235" s="13"/>
      <c r="J235" s="3">
        <v>3</v>
      </c>
      <c r="K235" s="25" t="s">
        <v>1488</v>
      </c>
      <c r="L235" s="25" t="s">
        <v>1480</v>
      </c>
    </row>
    <row r="236" spans="1:12">
      <c r="A236" s="1136" t="s">
        <v>1499</v>
      </c>
      <c r="B236" s="1136"/>
      <c r="C236" s="1136"/>
      <c r="D236" s="1136"/>
      <c r="E236" s="1136"/>
      <c r="F236" s="1136"/>
      <c r="G236" s="1136"/>
      <c r="H236" s="1136"/>
      <c r="I236" s="1136"/>
      <c r="J236" s="25">
        <f>SUM(J229:J235)</f>
        <v>14</v>
      </c>
      <c r="K236" s="25"/>
      <c r="L236" s="25"/>
    </row>
    <row r="239" spans="1:12" ht="27">
      <c r="A239" s="19" t="s">
        <v>43</v>
      </c>
      <c r="B239" s="19" t="s">
        <v>44</v>
      </c>
      <c r="C239" s="20" t="s">
        <v>2</v>
      </c>
      <c r="D239" s="20" t="s">
        <v>3</v>
      </c>
      <c r="E239" s="20" t="s">
        <v>4</v>
      </c>
      <c r="F239" s="20" t="s">
        <v>5</v>
      </c>
      <c r="G239" s="20" t="s">
        <v>6</v>
      </c>
      <c r="H239" s="21" t="s">
        <v>45</v>
      </c>
      <c r="I239" s="20" t="s">
        <v>16</v>
      </c>
      <c r="J239" s="22" t="s">
        <v>46</v>
      </c>
      <c r="K239" s="23" t="s">
        <v>47</v>
      </c>
      <c r="L239" s="23" t="s">
        <v>48</v>
      </c>
    </row>
    <row r="240" spans="1:12">
      <c r="A240" s="1209" t="s">
        <v>738</v>
      </c>
      <c r="B240" s="112">
        <v>45355</v>
      </c>
      <c r="C240" s="129" t="s">
        <v>1511</v>
      </c>
      <c r="D240" s="113" t="s">
        <v>30</v>
      </c>
      <c r="E240" s="113" t="s">
        <v>1512</v>
      </c>
      <c r="F240" s="64" t="s">
        <v>1513</v>
      </c>
      <c r="G240" s="64" t="s">
        <v>1514</v>
      </c>
      <c r="H240" s="114" t="s">
        <v>1515</v>
      </c>
      <c r="I240" s="113" t="s">
        <v>202</v>
      </c>
      <c r="J240" s="105">
        <v>4</v>
      </c>
      <c r="K240" s="25" t="s">
        <v>1516</v>
      </c>
      <c r="L240" s="25" t="s">
        <v>51</v>
      </c>
    </row>
    <row r="241" spans="1:12">
      <c r="A241" s="1209"/>
      <c r="B241" s="112">
        <v>45356</v>
      </c>
      <c r="C241" s="129" t="s">
        <v>1511</v>
      </c>
      <c r="D241" s="113" t="s">
        <v>30</v>
      </c>
      <c r="E241" s="113" t="s">
        <v>1512</v>
      </c>
      <c r="F241" s="64" t="s">
        <v>1513</v>
      </c>
      <c r="G241" s="64" t="s">
        <v>1514</v>
      </c>
      <c r="H241" s="114" t="s">
        <v>1515</v>
      </c>
      <c r="I241" s="113" t="s">
        <v>202</v>
      </c>
      <c r="J241" s="105">
        <v>3</v>
      </c>
      <c r="K241" s="25" t="s">
        <v>1516</v>
      </c>
      <c r="L241" s="25" t="s">
        <v>51</v>
      </c>
    </row>
    <row r="242" spans="1:12">
      <c r="A242" s="1209"/>
      <c r="B242" s="112">
        <v>45357</v>
      </c>
      <c r="C242" s="129" t="s">
        <v>1511</v>
      </c>
      <c r="D242" s="113" t="s">
        <v>30</v>
      </c>
      <c r="E242" s="113" t="s">
        <v>1512</v>
      </c>
      <c r="F242" s="64" t="s">
        <v>1513</v>
      </c>
      <c r="G242" s="64" t="s">
        <v>1514</v>
      </c>
      <c r="H242" s="114" t="s">
        <v>1515</v>
      </c>
      <c r="I242" s="113" t="s">
        <v>202</v>
      </c>
      <c r="J242" s="25">
        <v>3</v>
      </c>
      <c r="K242" s="25" t="s">
        <v>1516</v>
      </c>
      <c r="L242" s="25" t="s">
        <v>51</v>
      </c>
    </row>
    <row r="243" spans="1:12">
      <c r="A243" s="1209"/>
      <c r="B243" s="112">
        <v>45358</v>
      </c>
      <c r="C243" s="129" t="s">
        <v>1511</v>
      </c>
      <c r="D243" s="113" t="s">
        <v>30</v>
      </c>
      <c r="E243" s="113" t="s">
        <v>1512</v>
      </c>
      <c r="F243" s="64" t="s">
        <v>1513</v>
      </c>
      <c r="G243" s="64" t="s">
        <v>1514</v>
      </c>
      <c r="H243" s="192" t="s">
        <v>1517</v>
      </c>
      <c r="I243" s="113" t="s">
        <v>202</v>
      </c>
      <c r="J243" s="110">
        <v>4</v>
      </c>
      <c r="K243" s="25" t="s">
        <v>1516</v>
      </c>
      <c r="L243" s="25" t="s">
        <v>51</v>
      </c>
    </row>
    <row r="244" spans="1:12">
      <c r="A244" s="1194" t="s">
        <v>53</v>
      </c>
      <c r="B244" s="1195"/>
      <c r="C244" s="1195"/>
      <c r="D244" s="1195"/>
      <c r="E244" s="1195"/>
      <c r="F244" s="1195"/>
      <c r="G244" s="1195"/>
      <c r="H244" s="1195"/>
      <c r="I244" s="1196"/>
      <c r="J244" s="25">
        <f>SUM(J240:J243)</f>
        <v>14</v>
      </c>
      <c r="K244" s="26"/>
      <c r="L244" s="25"/>
    </row>
    <row r="246" spans="1:12" ht="27">
      <c r="A246" s="19" t="s">
        <v>43</v>
      </c>
      <c r="B246" s="19" t="s">
        <v>44</v>
      </c>
      <c r="C246" s="20" t="s">
        <v>2</v>
      </c>
      <c r="D246" s="20" t="s">
        <v>3</v>
      </c>
      <c r="E246" s="20" t="s">
        <v>4</v>
      </c>
      <c r="F246" s="20" t="s">
        <v>5</v>
      </c>
      <c r="G246" s="20" t="s">
        <v>6</v>
      </c>
      <c r="H246" s="21" t="s">
        <v>45</v>
      </c>
      <c r="I246" s="20" t="s">
        <v>16</v>
      </c>
      <c r="J246" s="22" t="s">
        <v>46</v>
      </c>
      <c r="K246" s="23" t="s">
        <v>47</v>
      </c>
      <c r="L246" s="23" t="s">
        <v>48</v>
      </c>
    </row>
    <row r="247" spans="1:12">
      <c r="A247" s="1209" t="s">
        <v>218</v>
      </c>
      <c r="B247" s="15">
        <v>45359</v>
      </c>
      <c r="C247" s="52" t="s">
        <v>19</v>
      </c>
      <c r="D247" s="52" t="s">
        <v>25</v>
      </c>
      <c r="E247" s="39" t="s">
        <v>386</v>
      </c>
      <c r="F247" s="63" t="s">
        <v>1519</v>
      </c>
      <c r="G247" s="52" t="s">
        <v>227</v>
      </c>
      <c r="H247" s="38" t="s">
        <v>130</v>
      </c>
      <c r="I247" s="52" t="s">
        <v>94</v>
      </c>
      <c r="J247" s="25">
        <v>4</v>
      </c>
      <c r="K247" s="25" t="s">
        <v>50</v>
      </c>
      <c r="L247" s="25" t="s">
        <v>51</v>
      </c>
    </row>
    <row r="248" spans="1:12">
      <c r="A248" s="1209"/>
      <c r="B248" s="15">
        <v>45363</v>
      </c>
      <c r="C248" s="52" t="s">
        <v>19</v>
      </c>
      <c r="D248" s="52" t="s">
        <v>25</v>
      </c>
      <c r="E248" s="39" t="s">
        <v>386</v>
      </c>
      <c r="F248" s="63" t="s">
        <v>1518</v>
      </c>
      <c r="G248" s="52" t="s">
        <v>510</v>
      </c>
      <c r="H248" s="38" t="s">
        <v>130</v>
      </c>
      <c r="I248" s="52" t="s">
        <v>94</v>
      </c>
      <c r="J248" s="25">
        <v>2</v>
      </c>
      <c r="K248" s="25" t="s">
        <v>50</v>
      </c>
      <c r="L248" s="25" t="s">
        <v>51</v>
      </c>
    </row>
    <row r="249" spans="1:12">
      <c r="A249" s="1209"/>
      <c r="B249" s="15">
        <v>45369</v>
      </c>
      <c r="C249" s="52" t="s">
        <v>19</v>
      </c>
      <c r="D249" s="52" t="s">
        <v>25</v>
      </c>
      <c r="E249" s="39" t="s">
        <v>386</v>
      </c>
      <c r="F249" s="63" t="s">
        <v>1518</v>
      </c>
      <c r="G249" s="52" t="s">
        <v>510</v>
      </c>
      <c r="H249" s="38" t="s">
        <v>130</v>
      </c>
      <c r="I249" s="52" t="s">
        <v>94</v>
      </c>
      <c r="J249" s="25">
        <v>2</v>
      </c>
      <c r="K249" s="25" t="s">
        <v>50</v>
      </c>
      <c r="L249" s="25" t="s">
        <v>51</v>
      </c>
    </row>
    <row r="250" spans="1:12">
      <c r="A250" s="1194" t="s">
        <v>53</v>
      </c>
      <c r="B250" s="1195"/>
      <c r="C250" s="1195"/>
      <c r="D250" s="1195"/>
      <c r="E250" s="1195"/>
      <c r="F250" s="1195"/>
      <c r="G250" s="1195"/>
      <c r="H250" s="1195"/>
      <c r="I250" s="1196"/>
      <c r="J250" s="25">
        <f>SUM(J247:J249)</f>
        <v>8</v>
      </c>
      <c r="K250" s="26"/>
      <c r="L250" s="25"/>
    </row>
    <row r="252" spans="1:12" ht="27">
      <c r="A252" s="19" t="s">
        <v>43</v>
      </c>
      <c r="B252" s="19" t="s">
        <v>44</v>
      </c>
      <c r="C252" s="20" t="s">
        <v>2</v>
      </c>
      <c r="D252" s="20" t="s">
        <v>3</v>
      </c>
      <c r="E252" s="20" t="s">
        <v>4</v>
      </c>
      <c r="F252" s="20" t="s">
        <v>5</v>
      </c>
      <c r="G252" s="20" t="s">
        <v>6</v>
      </c>
      <c r="H252" s="21" t="s">
        <v>45</v>
      </c>
      <c r="I252" s="20" t="s">
        <v>16</v>
      </c>
      <c r="J252" s="22" t="s">
        <v>46</v>
      </c>
      <c r="K252" s="23" t="s">
        <v>47</v>
      </c>
      <c r="L252" s="23" t="s">
        <v>48</v>
      </c>
    </row>
    <row r="253" spans="1:12">
      <c r="A253" s="1209" t="s">
        <v>738</v>
      </c>
      <c r="B253" s="15">
        <v>45359</v>
      </c>
      <c r="C253" s="129" t="s">
        <v>1511</v>
      </c>
      <c r="D253" s="113" t="s">
        <v>30</v>
      </c>
      <c r="E253" s="113" t="s">
        <v>1512</v>
      </c>
      <c r="F253" s="64" t="s">
        <v>1513</v>
      </c>
      <c r="G253" s="64" t="s">
        <v>1514</v>
      </c>
      <c r="H253" s="114" t="s">
        <v>1515</v>
      </c>
      <c r="I253" s="113" t="s">
        <v>202</v>
      </c>
      <c r="J253" s="105">
        <v>4</v>
      </c>
      <c r="K253" s="25" t="s">
        <v>1516</v>
      </c>
      <c r="L253" s="25" t="s">
        <v>51</v>
      </c>
    </row>
    <row r="254" spans="1:12">
      <c r="A254" s="1209"/>
      <c r="B254" s="15">
        <v>45359</v>
      </c>
      <c r="C254" s="129" t="s">
        <v>1511</v>
      </c>
      <c r="D254" s="113" t="s">
        <v>30</v>
      </c>
      <c r="E254" s="113" t="s">
        <v>1512</v>
      </c>
      <c r="F254" s="64" t="s">
        <v>1513</v>
      </c>
      <c r="G254" s="64" t="s">
        <v>1514</v>
      </c>
      <c r="H254" s="114" t="s">
        <v>1515</v>
      </c>
      <c r="I254" s="113" t="s">
        <v>202</v>
      </c>
      <c r="J254" s="105">
        <v>3</v>
      </c>
      <c r="K254" s="25" t="s">
        <v>1516</v>
      </c>
      <c r="L254" s="25" t="s">
        <v>51</v>
      </c>
    </row>
    <row r="255" spans="1:12">
      <c r="A255" s="1209"/>
      <c r="B255" s="15">
        <v>45363</v>
      </c>
      <c r="C255" s="129" t="s">
        <v>1511</v>
      </c>
      <c r="D255" s="113" t="s">
        <v>30</v>
      </c>
      <c r="E255" s="113" t="s">
        <v>1512</v>
      </c>
      <c r="F255" s="64" t="s">
        <v>1513</v>
      </c>
      <c r="G255" s="64" t="s">
        <v>1514</v>
      </c>
      <c r="H255" s="114" t="s">
        <v>1515</v>
      </c>
      <c r="I255" s="113" t="s">
        <v>202</v>
      </c>
      <c r="J255" s="25">
        <v>3</v>
      </c>
      <c r="K255" s="25" t="s">
        <v>1516</v>
      </c>
      <c r="L255" s="25" t="s">
        <v>51</v>
      </c>
    </row>
    <row r="256" spans="1:12">
      <c r="A256" s="1209"/>
      <c r="B256" s="15">
        <v>45369</v>
      </c>
      <c r="C256" s="129" t="s">
        <v>1511</v>
      </c>
      <c r="D256" s="113" t="s">
        <v>30</v>
      </c>
      <c r="E256" s="113" t="s">
        <v>1512</v>
      </c>
      <c r="F256" s="64" t="s">
        <v>1513</v>
      </c>
      <c r="G256" s="64" t="s">
        <v>1514</v>
      </c>
      <c r="H256" s="192" t="s">
        <v>1517</v>
      </c>
      <c r="I256" s="113" t="s">
        <v>202</v>
      </c>
      <c r="J256" s="110">
        <v>4</v>
      </c>
      <c r="K256" s="25" t="s">
        <v>1516</v>
      </c>
      <c r="L256" s="25" t="s">
        <v>51</v>
      </c>
    </row>
    <row r="257" spans="1:12">
      <c r="A257" s="1194" t="s">
        <v>53</v>
      </c>
      <c r="B257" s="1195"/>
      <c r="C257" s="1195"/>
      <c r="D257" s="1195"/>
      <c r="E257" s="1195"/>
      <c r="F257" s="1195"/>
      <c r="G257" s="1195"/>
      <c r="H257" s="1195"/>
      <c r="I257" s="1196"/>
      <c r="J257" s="25">
        <f>SUM(J253:J256)</f>
        <v>14</v>
      </c>
      <c r="K257" s="26"/>
      <c r="L257" s="25"/>
    </row>
    <row r="259" spans="1:12" ht="27" customHeight="1">
      <c r="A259" s="19" t="s">
        <v>43</v>
      </c>
      <c r="B259" s="19" t="s">
        <v>44</v>
      </c>
      <c r="C259" s="20" t="s">
        <v>2</v>
      </c>
      <c r="D259" s="20" t="s">
        <v>3</v>
      </c>
      <c r="E259" s="20" t="s">
        <v>4</v>
      </c>
      <c r="F259" s="20" t="s">
        <v>5</v>
      </c>
      <c r="G259" s="20" t="s">
        <v>6</v>
      </c>
      <c r="H259" s="21" t="s">
        <v>45</v>
      </c>
      <c r="I259" s="20" t="s">
        <v>16</v>
      </c>
      <c r="J259" s="22" t="s">
        <v>46</v>
      </c>
      <c r="K259" s="23" t="s">
        <v>47</v>
      </c>
      <c r="L259" s="23" t="s">
        <v>48</v>
      </c>
    </row>
    <row r="260" spans="1:12" ht="16.5" customHeight="1">
      <c r="A260" s="1210" t="s">
        <v>1521</v>
      </c>
      <c r="B260" s="110" t="s">
        <v>1411</v>
      </c>
      <c r="C260" s="148" t="s">
        <v>306</v>
      </c>
      <c r="D260" s="129" t="s">
        <v>322</v>
      </c>
      <c r="E260" s="129" t="s">
        <v>307</v>
      </c>
      <c r="F260" s="129" t="s">
        <v>1412</v>
      </c>
      <c r="G260" s="129" t="s">
        <v>1413</v>
      </c>
      <c r="H260" s="130" t="s">
        <v>704</v>
      </c>
      <c r="I260" s="129" t="s">
        <v>664</v>
      </c>
      <c r="J260" s="129">
        <v>1</v>
      </c>
      <c r="K260" s="25" t="s">
        <v>50</v>
      </c>
      <c r="L260" s="25" t="s">
        <v>51</v>
      </c>
    </row>
    <row r="261" spans="1:12" ht="16.5" customHeight="1">
      <c r="A261" s="1210"/>
      <c r="B261" s="110" t="s">
        <v>1414</v>
      </c>
      <c r="C261" s="148" t="s">
        <v>306</v>
      </c>
      <c r="D261" s="129" t="s">
        <v>322</v>
      </c>
      <c r="E261" s="129" t="s">
        <v>307</v>
      </c>
      <c r="F261" s="129" t="s">
        <v>1415</v>
      </c>
      <c r="G261" s="129" t="s">
        <v>1416</v>
      </c>
      <c r="H261" s="130" t="s">
        <v>1417</v>
      </c>
      <c r="I261" s="129" t="s">
        <v>664</v>
      </c>
      <c r="J261" s="129">
        <v>1</v>
      </c>
      <c r="K261" s="25" t="s">
        <v>50</v>
      </c>
      <c r="L261" s="25" t="s">
        <v>51</v>
      </c>
    </row>
    <row r="262" spans="1:12">
      <c r="A262" s="1194" t="s">
        <v>53</v>
      </c>
      <c r="B262" s="1195"/>
      <c r="C262" s="1195"/>
      <c r="D262" s="1195"/>
      <c r="E262" s="1195"/>
      <c r="F262" s="1195"/>
      <c r="G262" s="1195"/>
      <c r="H262" s="1195"/>
      <c r="I262" s="1196"/>
      <c r="J262" s="25">
        <f>SUM(J259:J261)</f>
        <v>2</v>
      </c>
      <c r="K262" s="26"/>
      <c r="L262" s="25"/>
    </row>
    <row r="264" spans="1:12" ht="27">
      <c r="A264" s="19" t="s">
        <v>43</v>
      </c>
      <c r="B264" s="19" t="s">
        <v>44</v>
      </c>
      <c r="C264" s="20" t="s">
        <v>2</v>
      </c>
      <c r="D264" s="20" t="s">
        <v>3</v>
      </c>
      <c r="E264" s="20" t="s">
        <v>4</v>
      </c>
      <c r="F264" s="20" t="s">
        <v>5</v>
      </c>
      <c r="G264" s="20" t="s">
        <v>6</v>
      </c>
      <c r="H264" s="21" t="s">
        <v>45</v>
      </c>
      <c r="I264" s="20" t="s">
        <v>16</v>
      </c>
      <c r="J264" s="22" t="s">
        <v>46</v>
      </c>
      <c r="K264" s="23" t="s">
        <v>47</v>
      </c>
      <c r="L264" s="23" t="s">
        <v>48</v>
      </c>
    </row>
    <row r="265" spans="1:12" ht="16.5" customHeight="1">
      <c r="A265" s="1199" t="s">
        <v>229</v>
      </c>
      <c r="B265" s="15">
        <v>45358</v>
      </c>
      <c r="C265" s="3" t="s">
        <v>21</v>
      </c>
      <c r="D265" s="4" t="s">
        <v>14</v>
      </c>
      <c r="E265" s="4" t="s">
        <v>107</v>
      </c>
      <c r="F265" s="4" t="s">
        <v>108</v>
      </c>
      <c r="G265" s="3" t="s">
        <v>1375</v>
      </c>
      <c r="H265" s="5" t="s">
        <v>1374</v>
      </c>
      <c r="I265" s="129" t="s">
        <v>638</v>
      </c>
      <c r="J265" s="105">
        <v>1</v>
      </c>
      <c r="K265" s="25" t="s">
        <v>50</v>
      </c>
      <c r="L265" s="25" t="s">
        <v>51</v>
      </c>
    </row>
    <row r="266" spans="1:12" ht="16.5" customHeight="1">
      <c r="A266" s="1209"/>
      <c r="B266" s="15">
        <v>45366</v>
      </c>
      <c r="C266" s="3" t="s">
        <v>21</v>
      </c>
      <c r="D266" s="4" t="s">
        <v>14</v>
      </c>
      <c r="E266" s="3" t="s">
        <v>107</v>
      </c>
      <c r="F266" s="3" t="s">
        <v>108</v>
      </c>
      <c r="G266" s="3" t="s">
        <v>1377</v>
      </c>
      <c r="H266" s="1211" t="s">
        <v>1386</v>
      </c>
      <c r="I266" s="113"/>
      <c r="J266" s="105">
        <v>2</v>
      </c>
      <c r="K266" s="25" t="s">
        <v>50</v>
      </c>
      <c r="L266" s="25" t="s">
        <v>51</v>
      </c>
    </row>
    <row r="267" spans="1:12" ht="16.5" customHeight="1">
      <c r="A267" s="1209"/>
      <c r="B267" s="15">
        <v>45369</v>
      </c>
      <c r="C267" s="3" t="s">
        <v>21</v>
      </c>
      <c r="D267" s="4" t="s">
        <v>14</v>
      </c>
      <c r="E267" s="3" t="s">
        <v>107</v>
      </c>
      <c r="F267" s="4" t="s">
        <v>108</v>
      </c>
      <c r="G267" s="3" t="s">
        <v>143</v>
      </c>
      <c r="H267" s="1212"/>
      <c r="I267" s="113"/>
      <c r="J267" s="25">
        <v>2</v>
      </c>
      <c r="K267" s="25" t="s">
        <v>50</v>
      </c>
      <c r="L267" s="25" t="s">
        <v>51</v>
      </c>
    </row>
    <row r="268" spans="1:12" ht="16.5" customHeight="1">
      <c r="A268" s="1209"/>
      <c r="B268" s="15">
        <v>45370</v>
      </c>
      <c r="C268" s="3" t="s">
        <v>21</v>
      </c>
      <c r="D268" s="4" t="s">
        <v>14</v>
      </c>
      <c r="E268" s="3" t="s">
        <v>107</v>
      </c>
      <c r="F268" s="4" t="s">
        <v>108</v>
      </c>
      <c r="G268" s="3" t="s">
        <v>143</v>
      </c>
      <c r="H268" s="1213"/>
      <c r="I268" s="113"/>
      <c r="J268" s="110">
        <v>2</v>
      </c>
      <c r="K268" s="25" t="s">
        <v>50</v>
      </c>
      <c r="L268" s="25" t="s">
        <v>51</v>
      </c>
    </row>
    <row r="269" spans="1:12" ht="16.5" customHeight="1">
      <c r="A269" s="1209"/>
      <c r="B269" s="15">
        <v>45376</v>
      </c>
      <c r="C269" s="3" t="s">
        <v>21</v>
      </c>
      <c r="D269" s="4" t="s">
        <v>14</v>
      </c>
      <c r="E269" s="3" t="s">
        <v>1383</v>
      </c>
      <c r="F269" s="3" t="s">
        <v>619</v>
      </c>
      <c r="G269" s="3" t="s">
        <v>102</v>
      </c>
      <c r="H269" s="9" t="s">
        <v>1392</v>
      </c>
      <c r="I269" s="113"/>
      <c r="J269" s="25">
        <v>2</v>
      </c>
      <c r="K269" s="25" t="s">
        <v>50</v>
      </c>
      <c r="L269" s="25" t="s">
        <v>51</v>
      </c>
    </row>
    <row r="270" spans="1:12" ht="16.5" customHeight="1">
      <c r="A270" s="1200"/>
      <c r="B270" s="15">
        <v>45377</v>
      </c>
      <c r="C270" s="64" t="s">
        <v>311</v>
      </c>
      <c r="D270" s="129" t="s">
        <v>320</v>
      </c>
      <c r="E270" s="64" t="s">
        <v>1425</v>
      </c>
      <c r="F270" s="64" t="s">
        <v>661</v>
      </c>
      <c r="G270" s="64" t="s">
        <v>662</v>
      </c>
      <c r="H270" s="194" t="s">
        <v>1523</v>
      </c>
      <c r="I270" s="129" t="s">
        <v>638</v>
      </c>
      <c r="J270" s="110">
        <v>1</v>
      </c>
      <c r="K270" s="25" t="s">
        <v>50</v>
      </c>
      <c r="L270" s="25" t="s">
        <v>51</v>
      </c>
    </row>
    <row r="271" spans="1:12" ht="16.5" customHeight="1">
      <c r="A271" s="1194" t="s">
        <v>53</v>
      </c>
      <c r="B271" s="1195"/>
      <c r="C271" s="1195"/>
      <c r="D271" s="1195"/>
      <c r="E271" s="1195"/>
      <c r="F271" s="1195"/>
      <c r="G271" s="1195"/>
      <c r="H271" s="1195"/>
      <c r="I271" s="1196"/>
      <c r="J271" s="25">
        <f>SUM(J265:J270)</f>
        <v>10</v>
      </c>
      <c r="K271" s="26"/>
      <c r="L271" s="25"/>
    </row>
    <row r="273" spans="1:13" ht="27">
      <c r="A273" s="19" t="s">
        <v>43</v>
      </c>
      <c r="B273" s="19" t="s">
        <v>44</v>
      </c>
      <c r="C273" s="20" t="s">
        <v>2</v>
      </c>
      <c r="D273" s="20" t="s">
        <v>3</v>
      </c>
      <c r="E273" s="20" t="s">
        <v>4</v>
      </c>
      <c r="F273" s="20" t="s">
        <v>5</v>
      </c>
      <c r="G273" s="20" t="s">
        <v>6</v>
      </c>
      <c r="H273" s="21" t="s">
        <v>45</v>
      </c>
      <c r="I273" s="20" t="s">
        <v>8</v>
      </c>
      <c r="J273" s="22" t="s">
        <v>46</v>
      </c>
      <c r="K273" s="23" t="s">
        <v>47</v>
      </c>
      <c r="L273" s="23" t="s">
        <v>48</v>
      </c>
    </row>
    <row r="274" spans="1:13" ht="24">
      <c r="A274" s="56" t="s">
        <v>229</v>
      </c>
      <c r="B274" s="15">
        <v>45371</v>
      </c>
      <c r="C274" s="129" t="s">
        <v>1511</v>
      </c>
      <c r="D274" s="113" t="s">
        <v>30</v>
      </c>
      <c r="E274" s="113" t="s">
        <v>1543</v>
      </c>
      <c r="F274" s="64" t="s">
        <v>1542</v>
      </c>
      <c r="G274" s="64" t="s">
        <v>148</v>
      </c>
      <c r="H274" s="114" t="s">
        <v>1544</v>
      </c>
      <c r="I274" s="113" t="s">
        <v>202</v>
      </c>
      <c r="J274" s="105">
        <v>3</v>
      </c>
      <c r="K274" s="25" t="s">
        <v>1516</v>
      </c>
      <c r="L274" s="25" t="s">
        <v>51</v>
      </c>
    </row>
    <row r="275" spans="1:13">
      <c r="A275" s="1194" t="s">
        <v>53</v>
      </c>
      <c r="B275" s="1195"/>
      <c r="C275" s="1195"/>
      <c r="D275" s="1195"/>
      <c r="E275" s="1195"/>
      <c r="F275" s="1195"/>
      <c r="G275" s="1195"/>
      <c r="H275" s="1195"/>
      <c r="I275" s="1196"/>
      <c r="J275" s="25">
        <f>SUM(J274:J274)</f>
        <v>3</v>
      </c>
      <c r="K275" s="26"/>
      <c r="L275" s="25"/>
    </row>
    <row r="276" spans="1:13">
      <c r="A276" s="222" t="s">
        <v>1660</v>
      </c>
      <c r="B276" s="222"/>
      <c r="C276" s="222"/>
      <c r="D276" s="222"/>
      <c r="E276" s="222"/>
      <c r="F276" s="222"/>
      <c r="G276" s="222"/>
      <c r="H276" s="222"/>
      <c r="I276" s="222"/>
      <c r="J276" s="223"/>
      <c r="L276" s="223"/>
    </row>
    <row r="278" spans="1:13" ht="27">
      <c r="A278" s="19" t="s">
        <v>1592</v>
      </c>
      <c r="B278" s="19" t="s">
        <v>1593</v>
      </c>
      <c r="C278" s="20" t="s">
        <v>2</v>
      </c>
      <c r="D278" s="20" t="s">
        <v>3</v>
      </c>
      <c r="E278" s="20" t="s">
        <v>4</v>
      </c>
      <c r="F278" s="20" t="s">
        <v>5</v>
      </c>
      <c r="G278" s="20" t="s">
        <v>6</v>
      </c>
      <c r="H278" s="21" t="s">
        <v>1594</v>
      </c>
      <c r="I278" s="20" t="s">
        <v>8</v>
      </c>
      <c r="J278" s="22" t="s">
        <v>46</v>
      </c>
      <c r="K278" s="22" t="s">
        <v>46</v>
      </c>
      <c r="L278" s="23" t="s">
        <v>1595</v>
      </c>
    </row>
    <row r="279" spans="1:13" ht="27">
      <c r="A279" s="1205" t="s">
        <v>218</v>
      </c>
      <c r="B279" s="92" t="s">
        <v>1744</v>
      </c>
      <c r="C279" s="4" t="s">
        <v>19</v>
      </c>
      <c r="D279" s="4" t="s">
        <v>25</v>
      </c>
      <c r="E279" s="4" t="s">
        <v>1596</v>
      </c>
      <c r="F279" s="147" t="s">
        <v>1597</v>
      </c>
      <c r="G279" s="4" t="s">
        <v>1598</v>
      </c>
      <c r="H279" s="9" t="s">
        <v>1403</v>
      </c>
      <c r="I279" s="13" t="s">
        <v>1599</v>
      </c>
      <c r="J279" s="4" t="s">
        <v>1600</v>
      </c>
      <c r="K279" s="4">
        <v>9</v>
      </c>
      <c r="L279" s="96">
        <v>2250000</v>
      </c>
      <c r="M279" t="s">
        <v>1601</v>
      </c>
    </row>
    <row r="280" spans="1:13" ht="27">
      <c r="A280" s="1206"/>
      <c r="B280" s="92" t="s">
        <v>1602</v>
      </c>
      <c r="C280" s="4" t="s">
        <v>1603</v>
      </c>
      <c r="D280" s="4" t="s">
        <v>1604</v>
      </c>
      <c r="E280" s="4" t="s">
        <v>1596</v>
      </c>
      <c r="F280" s="147">
        <v>4266</v>
      </c>
      <c r="G280" s="4" t="s">
        <v>125</v>
      </c>
      <c r="H280" s="9" t="s">
        <v>1605</v>
      </c>
      <c r="I280" s="13" t="s">
        <v>1599</v>
      </c>
      <c r="J280" s="4" t="s">
        <v>1745</v>
      </c>
      <c r="K280" s="4">
        <v>4</v>
      </c>
      <c r="L280" s="96">
        <v>1000000</v>
      </c>
      <c r="M280" t="s">
        <v>1606</v>
      </c>
    </row>
    <row r="281" spans="1:13" ht="27">
      <c r="A281" s="1206"/>
      <c r="B281" s="92" t="s">
        <v>1607</v>
      </c>
      <c r="C281" s="4" t="s">
        <v>1603</v>
      </c>
      <c r="D281" s="4" t="s">
        <v>1604</v>
      </c>
      <c r="E281" s="4" t="s">
        <v>1596</v>
      </c>
      <c r="F281" s="147" t="s">
        <v>1608</v>
      </c>
      <c r="G281" s="4" t="s">
        <v>1609</v>
      </c>
      <c r="H281" s="9" t="s">
        <v>1610</v>
      </c>
      <c r="I281" s="13" t="s">
        <v>94</v>
      </c>
      <c r="J281" s="4" t="s">
        <v>1745</v>
      </c>
      <c r="K281" s="4">
        <v>4</v>
      </c>
      <c r="L281" s="96">
        <v>1000000</v>
      </c>
      <c r="M281" t="s">
        <v>1611</v>
      </c>
    </row>
    <row r="282" spans="1:13" ht="27">
      <c r="A282" s="1206"/>
      <c r="B282" s="92" t="s">
        <v>1612</v>
      </c>
      <c r="C282" s="4" t="s">
        <v>1603</v>
      </c>
      <c r="D282" s="4" t="s">
        <v>25</v>
      </c>
      <c r="E282" s="4" t="s">
        <v>1596</v>
      </c>
      <c r="F282" s="147" t="s">
        <v>1613</v>
      </c>
      <c r="G282" s="4" t="s">
        <v>1574</v>
      </c>
      <c r="H282" s="9" t="s">
        <v>1610</v>
      </c>
      <c r="I282" s="13" t="s">
        <v>94</v>
      </c>
      <c r="J282" s="4" t="s">
        <v>1571</v>
      </c>
      <c r="K282" s="4">
        <v>6</v>
      </c>
      <c r="L282" s="96">
        <v>1500000</v>
      </c>
      <c r="M282" t="s">
        <v>1614</v>
      </c>
    </row>
    <row r="283" spans="1:13" ht="40.5">
      <c r="A283" s="1206"/>
      <c r="B283" s="15">
        <v>45407</v>
      </c>
      <c r="C283" s="4" t="s">
        <v>19</v>
      </c>
      <c r="D283" s="4" t="s">
        <v>1604</v>
      </c>
      <c r="E283" s="4" t="s">
        <v>20</v>
      </c>
      <c r="F283" s="147" t="s">
        <v>1615</v>
      </c>
      <c r="G283" s="4" t="s">
        <v>1616</v>
      </c>
      <c r="H283" s="9" t="s">
        <v>1610</v>
      </c>
      <c r="I283" s="13" t="s">
        <v>1599</v>
      </c>
      <c r="J283" s="4" t="s">
        <v>1617</v>
      </c>
      <c r="K283" s="4">
        <v>2</v>
      </c>
      <c r="L283" s="96">
        <v>500000</v>
      </c>
      <c r="M283" t="s">
        <v>1618</v>
      </c>
    </row>
    <row r="284" spans="1:13">
      <c r="K284" s="184">
        <v>25</v>
      </c>
      <c r="L284" s="371">
        <v>6250000</v>
      </c>
    </row>
    <row r="287" spans="1:13" ht="27">
      <c r="A287" s="19" t="s">
        <v>1592</v>
      </c>
      <c r="B287" s="19" t="s">
        <v>1620</v>
      </c>
      <c r="C287" s="20" t="s">
        <v>2</v>
      </c>
      <c r="D287" s="20" t="s">
        <v>3</v>
      </c>
      <c r="E287" s="20" t="s">
        <v>4</v>
      </c>
      <c r="F287" s="20" t="s">
        <v>5</v>
      </c>
      <c r="G287" s="20" t="s">
        <v>6</v>
      </c>
      <c r="H287" s="21" t="s">
        <v>45</v>
      </c>
      <c r="I287" s="20" t="s">
        <v>1621</v>
      </c>
      <c r="J287" s="22" t="s">
        <v>1622</v>
      </c>
      <c r="K287" s="23" t="s">
        <v>1463</v>
      </c>
      <c r="L287" s="23" t="s">
        <v>1464</v>
      </c>
    </row>
    <row r="288" spans="1:13" ht="27" customHeight="1">
      <c r="A288" s="981" t="s">
        <v>1623</v>
      </c>
      <c r="B288" s="92" t="s">
        <v>1624</v>
      </c>
      <c r="C288" s="4" t="s">
        <v>1625</v>
      </c>
      <c r="D288" s="4" t="s">
        <v>25</v>
      </c>
      <c r="E288" s="4" t="s">
        <v>1626</v>
      </c>
      <c r="F288" s="147" t="s">
        <v>1627</v>
      </c>
      <c r="G288" s="4" t="s">
        <v>23</v>
      </c>
      <c r="H288" s="9" t="s">
        <v>1628</v>
      </c>
      <c r="I288" s="13" t="s">
        <v>1629</v>
      </c>
      <c r="J288" s="57">
        <v>3</v>
      </c>
      <c r="K288" s="25" t="s">
        <v>50</v>
      </c>
      <c r="L288" s="25" t="s">
        <v>1474</v>
      </c>
    </row>
    <row r="289" spans="1:12" ht="27" customHeight="1">
      <c r="A289" s="982"/>
      <c r="B289" s="92" t="s">
        <v>1630</v>
      </c>
      <c r="C289" s="4" t="s">
        <v>1625</v>
      </c>
      <c r="D289" s="4" t="s">
        <v>25</v>
      </c>
      <c r="E289" s="4" t="s">
        <v>1626</v>
      </c>
      <c r="F289" s="147" t="s">
        <v>1504</v>
      </c>
      <c r="G289" s="4" t="s">
        <v>1631</v>
      </c>
      <c r="H289" s="9" t="s">
        <v>1632</v>
      </c>
      <c r="I289" s="13" t="s">
        <v>252</v>
      </c>
      <c r="J289" s="57">
        <v>2</v>
      </c>
      <c r="K289" s="25" t="s">
        <v>50</v>
      </c>
      <c r="L289" s="25" t="s">
        <v>1480</v>
      </c>
    </row>
    <row r="290" spans="1:12" ht="27" customHeight="1">
      <c r="A290" s="982"/>
      <c r="B290" s="92" t="s">
        <v>1633</v>
      </c>
      <c r="C290" s="4" t="s">
        <v>19</v>
      </c>
      <c r="D290" s="4" t="s">
        <v>25</v>
      </c>
      <c r="E290" s="4" t="s">
        <v>1626</v>
      </c>
      <c r="F290" s="147" t="s">
        <v>1634</v>
      </c>
      <c r="G290" s="4" t="s">
        <v>23</v>
      </c>
      <c r="H290" s="9" t="s">
        <v>1635</v>
      </c>
      <c r="I290" s="13" t="s">
        <v>1629</v>
      </c>
      <c r="J290" s="57">
        <v>2</v>
      </c>
      <c r="K290" s="25" t="s">
        <v>50</v>
      </c>
      <c r="L290" s="25" t="s">
        <v>1484</v>
      </c>
    </row>
    <row r="291" spans="1:12" ht="27" customHeight="1">
      <c r="A291" s="982"/>
      <c r="B291" s="92" t="s">
        <v>1636</v>
      </c>
      <c r="C291" s="4" t="s">
        <v>19</v>
      </c>
      <c r="D291" s="4" t="s">
        <v>25</v>
      </c>
      <c r="E291" s="4" t="s">
        <v>20</v>
      </c>
      <c r="F291" s="147" t="s">
        <v>1519</v>
      </c>
      <c r="G291" s="4" t="s">
        <v>482</v>
      </c>
      <c r="H291" s="9" t="s">
        <v>1122</v>
      </c>
      <c r="I291" s="13" t="s">
        <v>168</v>
      </c>
      <c r="J291" s="57">
        <v>2</v>
      </c>
      <c r="K291" s="25" t="s">
        <v>50</v>
      </c>
      <c r="L291" s="25" t="s">
        <v>1484</v>
      </c>
    </row>
    <row r="292" spans="1:12" ht="27" customHeight="1">
      <c r="A292" s="982"/>
      <c r="B292" s="92" t="s">
        <v>1637</v>
      </c>
      <c r="C292" s="4" t="s">
        <v>19</v>
      </c>
      <c r="D292" s="4" t="s">
        <v>1638</v>
      </c>
      <c r="E292" s="4" t="s">
        <v>20</v>
      </c>
      <c r="F292" s="147" t="s">
        <v>1639</v>
      </c>
      <c r="G292" s="4" t="s">
        <v>1640</v>
      </c>
      <c r="H292" s="9" t="s">
        <v>1635</v>
      </c>
      <c r="I292" s="13" t="s">
        <v>1629</v>
      </c>
      <c r="J292" s="57">
        <v>3</v>
      </c>
      <c r="K292" s="25" t="s">
        <v>50</v>
      </c>
      <c r="L292" s="25" t="s">
        <v>1484</v>
      </c>
    </row>
    <row r="293" spans="1:12" ht="27" customHeight="1">
      <c r="A293" s="982"/>
      <c r="B293" s="92" t="s">
        <v>1641</v>
      </c>
      <c r="C293" s="4" t="s">
        <v>1625</v>
      </c>
      <c r="D293" s="4" t="s">
        <v>1638</v>
      </c>
      <c r="E293" s="4" t="s">
        <v>20</v>
      </c>
      <c r="F293" s="147" t="s">
        <v>1519</v>
      </c>
      <c r="G293" s="4" t="s">
        <v>1642</v>
      </c>
      <c r="H293" s="9" t="s">
        <v>1632</v>
      </c>
      <c r="I293" s="13" t="s">
        <v>168</v>
      </c>
      <c r="J293" s="57">
        <v>2</v>
      </c>
      <c r="K293" s="25" t="s">
        <v>50</v>
      </c>
      <c r="L293" s="25" t="s">
        <v>1484</v>
      </c>
    </row>
    <row r="294" spans="1:12" ht="27" customHeight="1">
      <c r="A294" s="982"/>
      <c r="B294" s="92" t="s">
        <v>1643</v>
      </c>
      <c r="C294" s="4" t="s">
        <v>1625</v>
      </c>
      <c r="D294" s="4" t="s">
        <v>1638</v>
      </c>
      <c r="E294" s="4" t="s">
        <v>1626</v>
      </c>
      <c r="F294" s="147">
        <v>3306</v>
      </c>
      <c r="G294" s="4" t="s">
        <v>811</v>
      </c>
      <c r="H294" s="9" t="s">
        <v>1644</v>
      </c>
      <c r="I294" s="13" t="s">
        <v>168</v>
      </c>
      <c r="J294" s="57">
        <v>5</v>
      </c>
      <c r="K294" s="25" t="s">
        <v>50</v>
      </c>
      <c r="L294" s="25" t="s">
        <v>1484</v>
      </c>
    </row>
    <row r="295" spans="1:12" ht="27" customHeight="1">
      <c r="A295" s="983"/>
      <c r="B295" s="92" t="s">
        <v>1662</v>
      </c>
      <c r="C295" s="4" t="s">
        <v>19</v>
      </c>
      <c r="D295" s="4" t="s">
        <v>25</v>
      </c>
      <c r="E295" s="4" t="s">
        <v>1626</v>
      </c>
      <c r="F295" s="147" t="s">
        <v>1645</v>
      </c>
      <c r="G295" s="4" t="s">
        <v>1640</v>
      </c>
      <c r="H295" s="9" t="s">
        <v>1632</v>
      </c>
      <c r="I295" s="13" t="s">
        <v>168</v>
      </c>
      <c r="J295" s="57">
        <v>2</v>
      </c>
      <c r="K295" s="25" t="s">
        <v>50</v>
      </c>
      <c r="L295" s="25" t="s">
        <v>1484</v>
      </c>
    </row>
    <row r="296" spans="1:12" ht="27" customHeight="1">
      <c r="A296" s="1194" t="s">
        <v>1646</v>
      </c>
      <c r="B296" s="1195"/>
      <c r="C296" s="1195"/>
      <c r="D296" s="1195"/>
      <c r="E296" s="1195"/>
      <c r="F296" s="1195"/>
      <c r="G296" s="1195"/>
      <c r="H296" s="1195"/>
      <c r="I296" s="1195"/>
      <c r="J296" s="55">
        <v>21</v>
      </c>
      <c r="K296" s="57"/>
      <c r="L296" s="373"/>
    </row>
    <row r="300" spans="1:12" ht="27">
      <c r="A300" s="19" t="s">
        <v>43</v>
      </c>
      <c r="B300" s="19" t="s">
        <v>1459</v>
      </c>
      <c r="C300" s="20" t="s">
        <v>2</v>
      </c>
      <c r="D300" s="20" t="s">
        <v>3</v>
      </c>
      <c r="E300" s="20" t="s">
        <v>4</v>
      </c>
      <c r="F300" s="20" t="s">
        <v>5</v>
      </c>
      <c r="G300" s="20" t="s">
        <v>6</v>
      </c>
      <c r="H300" s="21" t="s">
        <v>1460</v>
      </c>
      <c r="I300" s="20" t="s">
        <v>1461</v>
      </c>
      <c r="J300" s="22" t="s">
        <v>1462</v>
      </c>
      <c r="K300" s="23" t="s">
        <v>1463</v>
      </c>
      <c r="L300" s="23" t="s">
        <v>1464</v>
      </c>
    </row>
    <row r="301" spans="1:12" ht="27" customHeight="1">
      <c r="A301" s="1136" t="s">
        <v>1465</v>
      </c>
      <c r="B301" s="15">
        <v>45376</v>
      </c>
      <c r="C301" s="3" t="s">
        <v>21</v>
      </c>
      <c r="D301" s="4" t="s">
        <v>14</v>
      </c>
      <c r="E301" s="3" t="s">
        <v>107</v>
      </c>
      <c r="F301" s="3" t="s">
        <v>108</v>
      </c>
      <c r="G301" s="3" t="s">
        <v>376</v>
      </c>
      <c r="H301" s="9" t="s">
        <v>1279</v>
      </c>
      <c r="I301" s="13" t="s">
        <v>90</v>
      </c>
      <c r="J301" s="4">
        <v>1</v>
      </c>
      <c r="K301" s="25" t="s">
        <v>50</v>
      </c>
      <c r="L301" s="25" t="s">
        <v>1474</v>
      </c>
    </row>
    <row r="302" spans="1:12" ht="27" customHeight="1">
      <c r="A302" s="1136"/>
      <c r="B302" s="15">
        <v>45386</v>
      </c>
      <c r="C302" s="3" t="s">
        <v>138</v>
      </c>
      <c r="D302" s="4" t="s">
        <v>14</v>
      </c>
      <c r="E302" s="3" t="s">
        <v>107</v>
      </c>
      <c r="F302" s="3" t="s">
        <v>270</v>
      </c>
      <c r="G302" s="3" t="s">
        <v>143</v>
      </c>
      <c r="H302" s="9" t="s">
        <v>271</v>
      </c>
      <c r="I302" s="13" t="s">
        <v>90</v>
      </c>
      <c r="J302" s="4">
        <v>2</v>
      </c>
      <c r="K302" s="25" t="s">
        <v>50</v>
      </c>
      <c r="L302" s="25" t="s">
        <v>1480</v>
      </c>
    </row>
    <row r="303" spans="1:12" ht="27" customHeight="1">
      <c r="A303" s="1136"/>
      <c r="B303" s="15" t="s">
        <v>1705</v>
      </c>
      <c r="C303" s="3" t="s">
        <v>186</v>
      </c>
      <c r="D303" s="4" t="s">
        <v>1706</v>
      </c>
      <c r="E303" s="3" t="s">
        <v>1707</v>
      </c>
      <c r="F303" s="3" t="s">
        <v>478</v>
      </c>
      <c r="G303" s="3" t="s">
        <v>102</v>
      </c>
      <c r="H303" s="9" t="s">
        <v>1565</v>
      </c>
      <c r="I303" s="13" t="s">
        <v>90</v>
      </c>
      <c r="J303" s="4">
        <v>1</v>
      </c>
      <c r="K303" s="25" t="s">
        <v>50</v>
      </c>
      <c r="L303" s="25" t="s">
        <v>1484</v>
      </c>
    </row>
    <row r="304" spans="1:12" ht="27" customHeight="1">
      <c r="A304" s="1136"/>
      <c r="B304" s="15" t="s">
        <v>1652</v>
      </c>
      <c r="C304" s="3" t="s">
        <v>21</v>
      </c>
      <c r="D304" s="4" t="s">
        <v>14</v>
      </c>
      <c r="E304" s="3" t="s">
        <v>1649</v>
      </c>
      <c r="F304" s="3" t="s">
        <v>619</v>
      </c>
      <c r="G304" s="3" t="s">
        <v>115</v>
      </c>
      <c r="H304" s="9" t="s">
        <v>1650</v>
      </c>
      <c r="I304" s="13" t="s">
        <v>1590</v>
      </c>
      <c r="J304" s="4">
        <v>1</v>
      </c>
      <c r="K304" s="25" t="s">
        <v>50</v>
      </c>
      <c r="L304" s="25" t="s">
        <v>1484</v>
      </c>
    </row>
    <row r="305" spans="1:12" ht="27" customHeight="1">
      <c r="A305" s="1136" t="s">
        <v>1659</v>
      </c>
      <c r="B305" s="1136"/>
      <c r="C305" s="1136"/>
      <c r="D305" s="1136"/>
      <c r="E305" s="1136"/>
      <c r="F305" s="1136"/>
      <c r="G305" s="1136"/>
      <c r="H305" s="1136"/>
      <c r="I305" s="1136"/>
      <c r="J305" s="25">
        <f>SUM(J301:J304)</f>
        <v>5</v>
      </c>
      <c r="K305" s="25"/>
      <c r="L305" s="25"/>
    </row>
    <row r="307" spans="1:12" ht="27">
      <c r="A307" s="19" t="s">
        <v>43</v>
      </c>
      <c r="B307" s="19" t="s">
        <v>44</v>
      </c>
      <c r="C307" s="20" t="s">
        <v>2</v>
      </c>
      <c r="D307" s="20" t="s">
        <v>3</v>
      </c>
      <c r="E307" s="20" t="s">
        <v>4</v>
      </c>
      <c r="F307" s="20" t="s">
        <v>5</v>
      </c>
      <c r="G307" s="20" t="s">
        <v>6</v>
      </c>
      <c r="H307" s="21" t="s">
        <v>45</v>
      </c>
      <c r="I307" s="20" t="s">
        <v>8</v>
      </c>
      <c r="J307" s="22" t="s">
        <v>46</v>
      </c>
      <c r="K307" s="23" t="s">
        <v>47</v>
      </c>
      <c r="L307" s="23" t="s">
        <v>48</v>
      </c>
    </row>
    <row r="308" spans="1:12" ht="27" customHeight="1">
      <c r="A308" s="155" t="s">
        <v>1115</v>
      </c>
      <c r="B308" s="64" t="s">
        <v>1661</v>
      </c>
      <c r="C308" s="64" t="s">
        <v>311</v>
      </c>
      <c r="D308" s="129" t="s">
        <v>320</v>
      </c>
      <c r="E308" s="64" t="s">
        <v>1425</v>
      </c>
      <c r="F308" s="64" t="s">
        <v>661</v>
      </c>
      <c r="G308" s="64" t="s">
        <v>662</v>
      </c>
      <c r="H308" s="152" t="s">
        <v>674</v>
      </c>
      <c r="I308" s="129" t="s">
        <v>638</v>
      </c>
      <c r="J308" s="4">
        <v>1</v>
      </c>
      <c r="K308" s="25" t="s">
        <v>50</v>
      </c>
      <c r="L308" s="31" t="s">
        <v>51</v>
      </c>
    </row>
    <row r="309" spans="1:12">
      <c r="A309" s="1136" t="s">
        <v>53</v>
      </c>
      <c r="B309" s="1136"/>
      <c r="C309" s="1136"/>
      <c r="D309" s="1136"/>
      <c r="E309" s="1136"/>
      <c r="F309" s="1136"/>
      <c r="G309" s="1136"/>
      <c r="H309" s="1136"/>
      <c r="I309" s="1136"/>
      <c r="J309" s="25">
        <v>1</v>
      </c>
      <c r="K309" s="25"/>
      <c r="L309" s="25"/>
    </row>
    <row r="311" spans="1:12" ht="27">
      <c r="A311" s="19" t="s">
        <v>43</v>
      </c>
      <c r="B311" s="19" t="s">
        <v>1459</v>
      </c>
      <c r="C311" s="20" t="s">
        <v>2</v>
      </c>
      <c r="D311" s="20" t="s">
        <v>3</v>
      </c>
      <c r="E311" s="20" t="s">
        <v>4</v>
      </c>
      <c r="F311" s="20" t="s">
        <v>5</v>
      </c>
      <c r="G311" s="20" t="s">
        <v>6</v>
      </c>
      <c r="H311" s="21" t="s">
        <v>1460</v>
      </c>
      <c r="I311" s="20" t="s">
        <v>1461</v>
      </c>
      <c r="J311" s="22" t="s">
        <v>1462</v>
      </c>
      <c r="K311" s="23" t="s">
        <v>1463</v>
      </c>
      <c r="L311" s="23" t="s">
        <v>1464</v>
      </c>
    </row>
    <row r="312" spans="1:12" ht="27" customHeight="1">
      <c r="A312" s="1136" t="s">
        <v>229</v>
      </c>
      <c r="B312" s="15">
        <v>45376</v>
      </c>
      <c r="C312" s="3" t="s">
        <v>21</v>
      </c>
      <c r="D312" s="4" t="s">
        <v>14</v>
      </c>
      <c r="E312" s="3" t="s">
        <v>1664</v>
      </c>
      <c r="F312" s="3" t="s">
        <v>1665</v>
      </c>
      <c r="G312" s="3" t="s">
        <v>1666</v>
      </c>
      <c r="H312" s="9" t="s">
        <v>1667</v>
      </c>
      <c r="I312" s="13" t="s">
        <v>1669</v>
      </c>
      <c r="J312" s="4">
        <v>2</v>
      </c>
      <c r="K312" s="25" t="s">
        <v>1671</v>
      </c>
      <c r="L312" s="31" t="s">
        <v>51</v>
      </c>
    </row>
    <row r="313" spans="1:12" ht="27" customHeight="1">
      <c r="A313" s="1136"/>
      <c r="B313" s="15" t="s">
        <v>1663</v>
      </c>
      <c r="C313" s="3" t="s">
        <v>21</v>
      </c>
      <c r="D313" s="4" t="s">
        <v>14</v>
      </c>
      <c r="E313" s="3" t="s">
        <v>1664</v>
      </c>
      <c r="F313" s="3" t="s">
        <v>1665</v>
      </c>
      <c r="G313" s="3" t="s">
        <v>1666</v>
      </c>
      <c r="H313" s="9" t="s">
        <v>1668</v>
      </c>
      <c r="I313" s="13" t="s">
        <v>1670</v>
      </c>
      <c r="J313" s="4">
        <v>2</v>
      </c>
      <c r="K313" s="25" t="s">
        <v>1671</v>
      </c>
      <c r="L313" s="31" t="s">
        <v>51</v>
      </c>
    </row>
    <row r="314" spans="1:12" ht="27" customHeight="1">
      <c r="A314" s="1136" t="s">
        <v>1659</v>
      </c>
      <c r="B314" s="1136"/>
      <c r="C314" s="1136"/>
      <c r="D314" s="1136"/>
      <c r="E314" s="1136"/>
      <c r="F314" s="1136"/>
      <c r="G314" s="1136"/>
      <c r="H314" s="1136"/>
      <c r="I314" s="1136"/>
      <c r="J314" s="25">
        <f>SUM(J312:J313)</f>
        <v>4</v>
      </c>
      <c r="K314" s="25"/>
      <c r="L314" s="25"/>
    </row>
    <row r="317" spans="1:12" ht="27">
      <c r="A317" s="19" t="s">
        <v>43</v>
      </c>
      <c r="B317" s="19" t="s">
        <v>1459</v>
      </c>
      <c r="C317" s="20" t="s">
        <v>2</v>
      </c>
      <c r="D317" s="20" t="s">
        <v>3</v>
      </c>
      <c r="E317" s="20" t="s">
        <v>4</v>
      </c>
      <c r="F317" s="20" t="s">
        <v>5</v>
      </c>
      <c r="G317" s="20" t="s">
        <v>6</v>
      </c>
      <c r="H317" s="21" t="s">
        <v>1460</v>
      </c>
      <c r="I317" s="20" t="s">
        <v>1461</v>
      </c>
      <c r="J317" s="22" t="s">
        <v>1462</v>
      </c>
      <c r="K317" s="23" t="s">
        <v>1463</v>
      </c>
      <c r="L317" s="23" t="s">
        <v>1464</v>
      </c>
    </row>
    <row r="318" spans="1:12" ht="27" customHeight="1">
      <c r="A318" s="1136" t="s">
        <v>229</v>
      </c>
      <c r="B318" s="92" t="s">
        <v>1673</v>
      </c>
      <c r="C318" s="4" t="s">
        <v>49</v>
      </c>
      <c r="D318" s="4" t="s">
        <v>25</v>
      </c>
      <c r="E318" s="4" t="s">
        <v>1681</v>
      </c>
      <c r="F318" s="147">
        <v>3306</v>
      </c>
      <c r="G318" s="4" t="s">
        <v>1153</v>
      </c>
      <c r="H318" s="9" t="s">
        <v>1672</v>
      </c>
      <c r="I318" s="13" t="s">
        <v>168</v>
      </c>
      <c r="J318" s="4">
        <v>4</v>
      </c>
      <c r="K318" s="25" t="s">
        <v>50</v>
      </c>
      <c r="L318" s="31" t="s">
        <v>51</v>
      </c>
    </row>
    <row r="319" spans="1:12" ht="27" customHeight="1">
      <c r="A319" s="1136"/>
      <c r="B319" s="92" t="s">
        <v>1675</v>
      </c>
      <c r="C319" s="4" t="s">
        <v>1676</v>
      </c>
      <c r="D319" s="4" t="s">
        <v>1677</v>
      </c>
      <c r="E319" s="4" t="s">
        <v>1678</v>
      </c>
      <c r="F319" s="147" t="s">
        <v>1679</v>
      </c>
      <c r="G319" s="4" t="s">
        <v>1680</v>
      </c>
      <c r="H319" s="9" t="s">
        <v>1674</v>
      </c>
      <c r="I319" s="13" t="s">
        <v>168</v>
      </c>
      <c r="J319" s="4">
        <v>4</v>
      </c>
      <c r="K319" s="25" t="s">
        <v>50</v>
      </c>
      <c r="L319" s="31" t="s">
        <v>51</v>
      </c>
    </row>
    <row r="320" spans="1:12" ht="27" customHeight="1">
      <c r="A320" s="1136"/>
      <c r="B320" s="15">
        <v>45398</v>
      </c>
      <c r="C320" s="4" t="s">
        <v>49</v>
      </c>
      <c r="D320" s="4" t="s">
        <v>25</v>
      </c>
      <c r="E320" s="4" t="s">
        <v>20</v>
      </c>
      <c r="F320" s="147" t="s">
        <v>1683</v>
      </c>
      <c r="G320" s="4" t="s">
        <v>150</v>
      </c>
      <c r="H320" s="9" t="s">
        <v>1682</v>
      </c>
      <c r="I320" s="13" t="s">
        <v>168</v>
      </c>
      <c r="J320" s="4">
        <v>2</v>
      </c>
      <c r="K320" s="25" t="s">
        <v>50</v>
      </c>
      <c r="L320" s="31" t="s">
        <v>51</v>
      </c>
    </row>
    <row r="321" spans="1:13" ht="27" customHeight="1">
      <c r="A321" s="1136" t="s">
        <v>1659</v>
      </c>
      <c r="B321" s="1136"/>
      <c r="C321" s="1136"/>
      <c r="D321" s="1136"/>
      <c r="E321" s="1136"/>
      <c r="F321" s="1136"/>
      <c r="G321" s="1136"/>
      <c r="H321" s="1136"/>
      <c r="I321" s="1136"/>
      <c r="J321" s="25">
        <f>SUM(J318:J320)</f>
        <v>10</v>
      </c>
      <c r="K321" s="25"/>
      <c r="L321" s="25"/>
    </row>
    <row r="324" spans="1:13" ht="27">
      <c r="A324" s="19" t="s">
        <v>43</v>
      </c>
      <c r="B324" s="19" t="s">
        <v>1459</v>
      </c>
      <c r="C324" s="20" t="s">
        <v>2</v>
      </c>
      <c r="D324" s="20" t="s">
        <v>3</v>
      </c>
      <c r="E324" s="20" t="s">
        <v>4</v>
      </c>
      <c r="F324" s="20" t="s">
        <v>5</v>
      </c>
      <c r="G324" s="20" t="s">
        <v>6</v>
      </c>
      <c r="H324" s="21" t="s">
        <v>1460</v>
      </c>
      <c r="I324" s="20" t="s">
        <v>1461</v>
      </c>
      <c r="J324" s="22" t="s">
        <v>1462</v>
      </c>
      <c r="K324" s="23" t="s">
        <v>1463</v>
      </c>
      <c r="L324" s="23" t="s">
        <v>1464</v>
      </c>
    </row>
    <row r="325" spans="1:13" ht="27" customHeight="1">
      <c r="A325" s="1136" t="s">
        <v>229</v>
      </c>
      <c r="B325" s="15">
        <v>45397</v>
      </c>
      <c r="C325" s="3" t="s">
        <v>1684</v>
      </c>
      <c r="D325" s="4" t="s">
        <v>1685</v>
      </c>
      <c r="E325" s="3" t="s">
        <v>1686</v>
      </c>
      <c r="F325" s="3" t="s">
        <v>1687</v>
      </c>
      <c r="G325" s="3" t="s">
        <v>1688</v>
      </c>
      <c r="H325" s="5" t="s">
        <v>1689</v>
      </c>
      <c r="I325" s="13" t="s">
        <v>1690</v>
      </c>
      <c r="J325" s="4">
        <v>1</v>
      </c>
      <c r="K325" s="25" t="s">
        <v>50</v>
      </c>
      <c r="L325" s="31" t="s">
        <v>51</v>
      </c>
    </row>
    <row r="326" spans="1:13" ht="27" customHeight="1">
      <c r="A326" s="1136"/>
      <c r="B326" s="15" t="s">
        <v>1718</v>
      </c>
      <c r="C326" s="3" t="s">
        <v>1691</v>
      </c>
      <c r="D326" s="4" t="s">
        <v>1692</v>
      </c>
      <c r="E326" s="4" t="s">
        <v>1719</v>
      </c>
      <c r="F326" s="3" t="s">
        <v>1720</v>
      </c>
      <c r="G326" s="3" t="s">
        <v>1721</v>
      </c>
      <c r="H326" s="9" t="s">
        <v>1722</v>
      </c>
      <c r="I326" s="13" t="s">
        <v>1723</v>
      </c>
      <c r="J326" s="4">
        <v>1</v>
      </c>
      <c r="K326" s="25" t="s">
        <v>1703</v>
      </c>
      <c r="L326" s="31" t="s">
        <v>51</v>
      </c>
    </row>
    <row r="327" spans="1:13" ht="27" customHeight="1">
      <c r="A327" s="1136"/>
      <c r="B327" s="15">
        <v>45404</v>
      </c>
      <c r="C327" s="3" t="s">
        <v>1691</v>
      </c>
      <c r="D327" s="4" t="s">
        <v>1692</v>
      </c>
      <c r="E327" s="4" t="s">
        <v>1686</v>
      </c>
      <c r="F327" s="13" t="s">
        <v>1693</v>
      </c>
      <c r="G327" s="3" t="s">
        <v>1694</v>
      </c>
      <c r="H327" s="9" t="s">
        <v>1695</v>
      </c>
      <c r="I327" s="13"/>
      <c r="J327" s="4">
        <v>2</v>
      </c>
      <c r="K327" s="25" t="s">
        <v>50</v>
      </c>
      <c r="L327" s="31" t="s">
        <v>51</v>
      </c>
    </row>
    <row r="328" spans="1:13" ht="27" customHeight="1">
      <c r="A328" s="1136"/>
      <c r="B328" s="15">
        <v>45405</v>
      </c>
      <c r="C328" s="216" t="s">
        <v>311</v>
      </c>
      <c r="D328" s="125" t="s">
        <v>320</v>
      </c>
      <c r="E328" s="125" t="s">
        <v>409</v>
      </c>
      <c r="F328" s="193" t="s">
        <v>1412</v>
      </c>
      <c r="G328" s="125" t="s">
        <v>1413</v>
      </c>
      <c r="H328" s="193" t="s">
        <v>1580</v>
      </c>
      <c r="I328" s="125"/>
      <c r="J328" s="4">
        <v>2</v>
      </c>
      <c r="K328" s="25" t="s">
        <v>50</v>
      </c>
      <c r="L328" s="31" t="s">
        <v>51</v>
      </c>
    </row>
    <row r="329" spans="1:13" ht="27" customHeight="1">
      <c r="A329" s="1136"/>
      <c r="B329" s="15" t="s">
        <v>1696</v>
      </c>
      <c r="C329" s="3" t="s">
        <v>186</v>
      </c>
      <c r="D329" s="4" t="s">
        <v>1697</v>
      </c>
      <c r="E329" s="3" t="s">
        <v>623</v>
      </c>
      <c r="F329" s="3" t="s">
        <v>1123</v>
      </c>
      <c r="G329" s="3" t="s">
        <v>115</v>
      </c>
      <c r="H329" s="9" t="s">
        <v>1698</v>
      </c>
      <c r="I329" s="13"/>
      <c r="J329" s="4">
        <v>2</v>
      </c>
      <c r="K329" s="25" t="s">
        <v>50</v>
      </c>
      <c r="L329" s="31" t="s">
        <v>51</v>
      </c>
    </row>
    <row r="330" spans="1:13" ht="27" customHeight="1">
      <c r="A330" s="1136" t="s">
        <v>1659</v>
      </c>
      <c r="B330" s="1136"/>
      <c r="C330" s="1136"/>
      <c r="D330" s="1136"/>
      <c r="E330" s="1136"/>
      <c r="F330" s="1136"/>
      <c r="G330" s="1136"/>
      <c r="H330" s="1136"/>
      <c r="I330" s="1136"/>
      <c r="J330" s="25">
        <f>SUM(J325:J329)</f>
        <v>8</v>
      </c>
      <c r="K330" s="25"/>
      <c r="L330" s="25"/>
    </row>
    <row r="332" spans="1:13" ht="27">
      <c r="A332" s="19" t="s">
        <v>1592</v>
      </c>
      <c r="B332" s="19" t="s">
        <v>1593</v>
      </c>
      <c r="C332" s="20" t="s">
        <v>2</v>
      </c>
      <c r="D332" s="20" t="s">
        <v>3</v>
      </c>
      <c r="E332" s="20" t="s">
        <v>4</v>
      </c>
      <c r="F332" s="20" t="s">
        <v>5</v>
      </c>
      <c r="G332" s="20" t="s">
        <v>6</v>
      </c>
      <c r="H332" s="21" t="s">
        <v>1594</v>
      </c>
      <c r="I332" s="20" t="s">
        <v>8</v>
      </c>
      <c r="J332" s="22" t="s">
        <v>46</v>
      </c>
      <c r="K332" s="23" t="s">
        <v>1463</v>
      </c>
      <c r="L332" s="23" t="s">
        <v>1464</v>
      </c>
    </row>
    <row r="333" spans="1:13" ht="27" customHeight="1">
      <c r="A333" s="1205" t="s">
        <v>218</v>
      </c>
      <c r="B333" s="92" t="s">
        <v>1702</v>
      </c>
      <c r="C333" s="4" t="s">
        <v>19</v>
      </c>
      <c r="D333" s="4" t="s">
        <v>25</v>
      </c>
      <c r="E333" s="4" t="s">
        <v>1596</v>
      </c>
      <c r="F333" s="147" t="s">
        <v>1597</v>
      </c>
      <c r="G333" s="4" t="s">
        <v>1598</v>
      </c>
      <c r="H333" s="9" t="s">
        <v>1701</v>
      </c>
      <c r="I333" s="13" t="s">
        <v>1599</v>
      </c>
      <c r="J333" s="4" t="s">
        <v>1704</v>
      </c>
      <c r="K333" s="25" t="s">
        <v>1700</v>
      </c>
      <c r="L333" s="31" t="s">
        <v>51</v>
      </c>
      <c r="M333" t="s">
        <v>1601</v>
      </c>
    </row>
    <row r="334" spans="1:13" ht="27" customHeight="1">
      <c r="A334" s="1206"/>
      <c r="B334" s="92" t="s">
        <v>1602</v>
      </c>
      <c r="C334" s="4" t="s">
        <v>1603</v>
      </c>
      <c r="D334" s="4" t="s">
        <v>1604</v>
      </c>
      <c r="E334" s="4" t="s">
        <v>1596</v>
      </c>
      <c r="F334" s="147">
        <v>4266</v>
      </c>
      <c r="G334" s="4" t="s">
        <v>125</v>
      </c>
      <c r="H334" s="9" t="s">
        <v>1605</v>
      </c>
      <c r="I334" s="13" t="s">
        <v>1599</v>
      </c>
      <c r="J334" s="4">
        <v>4</v>
      </c>
      <c r="K334" s="25" t="s">
        <v>50</v>
      </c>
      <c r="L334" s="31" t="s">
        <v>51</v>
      </c>
      <c r="M334" t="s">
        <v>1606</v>
      </c>
    </row>
    <row r="335" spans="1:13" ht="27" customHeight="1">
      <c r="A335" s="1206"/>
      <c r="B335" s="92" t="s">
        <v>1607</v>
      </c>
      <c r="C335" s="4" t="s">
        <v>1603</v>
      </c>
      <c r="D335" s="4" t="s">
        <v>1604</v>
      </c>
      <c r="E335" s="4" t="s">
        <v>1596</v>
      </c>
      <c r="F335" s="147" t="s">
        <v>1608</v>
      </c>
      <c r="G335" s="4" t="s">
        <v>1609</v>
      </c>
      <c r="H335" s="9" t="s">
        <v>1610</v>
      </c>
      <c r="I335" s="13" t="s">
        <v>94</v>
      </c>
      <c r="J335" s="4">
        <v>4</v>
      </c>
      <c r="K335" s="25" t="s">
        <v>50</v>
      </c>
      <c r="L335" s="31" t="s">
        <v>51</v>
      </c>
      <c r="M335" t="s">
        <v>1611</v>
      </c>
    </row>
    <row r="336" spans="1:13" ht="27" customHeight="1">
      <c r="A336" s="1206"/>
      <c r="B336" s="92" t="s">
        <v>1612</v>
      </c>
      <c r="C336" s="4" t="s">
        <v>1603</v>
      </c>
      <c r="D336" s="4" t="s">
        <v>25</v>
      </c>
      <c r="E336" s="4" t="s">
        <v>1596</v>
      </c>
      <c r="F336" s="147" t="s">
        <v>1613</v>
      </c>
      <c r="G336" s="4" t="s">
        <v>1574</v>
      </c>
      <c r="H336" s="9" t="s">
        <v>1610</v>
      </c>
      <c r="I336" s="13" t="s">
        <v>94</v>
      </c>
      <c r="J336" s="4">
        <v>6</v>
      </c>
      <c r="K336" s="25" t="s">
        <v>50</v>
      </c>
      <c r="L336" s="31" t="s">
        <v>51</v>
      </c>
      <c r="M336" t="s">
        <v>1614</v>
      </c>
    </row>
    <row r="337" spans="1:13" ht="27" customHeight="1">
      <c r="A337" s="1206"/>
      <c r="B337" s="15">
        <v>45407</v>
      </c>
      <c r="C337" s="4" t="s">
        <v>19</v>
      </c>
      <c r="D337" s="4" t="s">
        <v>1604</v>
      </c>
      <c r="E337" s="4" t="s">
        <v>20</v>
      </c>
      <c r="F337" s="147" t="s">
        <v>1615</v>
      </c>
      <c r="G337" s="4" t="s">
        <v>1708</v>
      </c>
      <c r="H337" s="9" t="s">
        <v>1610</v>
      </c>
      <c r="I337" s="13" t="s">
        <v>1599</v>
      </c>
      <c r="J337" s="4">
        <v>2</v>
      </c>
      <c r="K337" s="25" t="s">
        <v>50</v>
      </c>
      <c r="L337" s="31" t="s">
        <v>51</v>
      </c>
      <c r="M337" t="s">
        <v>1618</v>
      </c>
    </row>
    <row r="338" spans="1:13" ht="27" customHeight="1">
      <c r="A338" s="1136" t="s">
        <v>1659</v>
      </c>
      <c r="B338" s="1136"/>
      <c r="C338" s="1136"/>
      <c r="D338" s="1136"/>
      <c r="E338" s="1136"/>
      <c r="F338" s="1136"/>
      <c r="G338" s="1136"/>
      <c r="H338" s="1136"/>
      <c r="I338" s="1136"/>
      <c r="J338" s="25">
        <v>25</v>
      </c>
      <c r="K338" s="25"/>
      <c r="L338" s="25"/>
    </row>
    <row r="342" spans="1:13" ht="27">
      <c r="A342" s="19" t="s">
        <v>43</v>
      </c>
      <c r="B342" s="19" t="s">
        <v>44</v>
      </c>
      <c r="C342" s="20" t="s">
        <v>2</v>
      </c>
      <c r="D342" s="20" t="s">
        <v>3</v>
      </c>
      <c r="E342" s="20" t="s">
        <v>4</v>
      </c>
      <c r="F342" s="20" t="s">
        <v>5</v>
      </c>
      <c r="G342" s="20" t="s">
        <v>6</v>
      </c>
      <c r="H342" s="21" t="s">
        <v>45</v>
      </c>
      <c r="I342" s="20" t="s">
        <v>16</v>
      </c>
      <c r="J342" s="22" t="s">
        <v>46</v>
      </c>
      <c r="K342" s="23" t="s">
        <v>47</v>
      </c>
      <c r="L342" s="23" t="s">
        <v>48</v>
      </c>
    </row>
    <row r="343" spans="1:13">
      <c r="A343" s="1202" t="s">
        <v>1521</v>
      </c>
      <c r="B343" s="128" t="s">
        <v>1531</v>
      </c>
      <c r="C343" s="1021" t="s">
        <v>306</v>
      </c>
      <c r="D343" s="1021" t="s">
        <v>322</v>
      </c>
      <c r="E343" s="1003" t="s">
        <v>307</v>
      </c>
      <c r="F343" s="1201">
        <v>4266</v>
      </c>
      <c r="G343" s="1021" t="s">
        <v>640</v>
      </c>
      <c r="H343" s="1201" t="s">
        <v>1533</v>
      </c>
      <c r="I343" s="1021" t="s">
        <v>1534</v>
      </c>
      <c r="J343" s="1003">
        <v>2</v>
      </c>
      <c r="K343" s="1199" t="s">
        <v>50</v>
      </c>
      <c r="L343" s="1199" t="s">
        <v>51</v>
      </c>
    </row>
    <row r="344" spans="1:13">
      <c r="A344" s="1203"/>
      <c r="B344" s="129" t="s">
        <v>1532</v>
      </c>
      <c r="C344" s="1004"/>
      <c r="D344" s="1004"/>
      <c r="E344" s="1004"/>
      <c r="F344" s="1009"/>
      <c r="G344" s="1004"/>
      <c r="H344" s="1009"/>
      <c r="I344" s="1004"/>
      <c r="J344" s="1004"/>
      <c r="K344" s="1200"/>
      <c r="L344" s="1200"/>
    </row>
    <row r="345" spans="1:13">
      <c r="A345" s="1203"/>
      <c r="B345" s="128" t="s">
        <v>1536</v>
      </c>
      <c r="C345" s="1003" t="s">
        <v>306</v>
      </c>
      <c r="D345" s="1003" t="s">
        <v>322</v>
      </c>
      <c r="E345" s="1003" t="s">
        <v>307</v>
      </c>
      <c r="F345" s="1008">
        <v>3306</v>
      </c>
      <c r="G345" s="1003" t="s">
        <v>1153</v>
      </c>
      <c r="H345" s="1008" t="s">
        <v>1538</v>
      </c>
      <c r="I345" s="1003" t="s">
        <v>1534</v>
      </c>
      <c r="J345" s="1003">
        <v>2</v>
      </c>
      <c r="K345" s="1199" t="s">
        <v>50</v>
      </c>
      <c r="L345" s="1199" t="s">
        <v>51</v>
      </c>
    </row>
    <row r="346" spans="1:13">
      <c r="A346" s="1204"/>
      <c r="B346" s="129" t="s">
        <v>1537</v>
      </c>
      <c r="C346" s="1004"/>
      <c r="D346" s="1004"/>
      <c r="E346" s="1004"/>
      <c r="F346" s="1009"/>
      <c r="G346" s="1004"/>
      <c r="H346" s="1009"/>
      <c r="I346" s="1004"/>
      <c r="J346" s="1004"/>
      <c r="K346" s="1200"/>
      <c r="L346" s="1200"/>
    </row>
    <row r="347" spans="1:13">
      <c r="A347" s="1194" t="s">
        <v>53</v>
      </c>
      <c r="B347" s="1195"/>
      <c r="C347" s="1195"/>
      <c r="D347" s="1195"/>
      <c r="E347" s="1195"/>
      <c r="F347" s="1195"/>
      <c r="G347" s="1195"/>
      <c r="H347" s="1195"/>
      <c r="I347" s="1196"/>
      <c r="J347" s="25">
        <v>4</v>
      </c>
      <c r="K347" s="26"/>
      <c r="L347" s="25"/>
    </row>
    <row r="349" spans="1:13">
      <c r="A349" s="19" t="s">
        <v>43</v>
      </c>
      <c r="B349" s="19" t="s">
        <v>44</v>
      </c>
      <c r="C349" s="20" t="s">
        <v>2</v>
      </c>
      <c r="D349" s="20" t="s">
        <v>3</v>
      </c>
      <c r="E349" s="20" t="s">
        <v>1724</v>
      </c>
      <c r="F349" s="20" t="s">
        <v>5</v>
      </c>
      <c r="G349" s="20" t="s">
        <v>6</v>
      </c>
      <c r="H349" s="21" t="s">
        <v>45</v>
      </c>
      <c r="I349" s="20" t="s">
        <v>8</v>
      </c>
      <c r="J349" s="22" t="s">
        <v>46</v>
      </c>
      <c r="K349" s="23" t="s">
        <v>47</v>
      </c>
      <c r="L349" s="23" t="s">
        <v>48</v>
      </c>
    </row>
    <row r="350" spans="1:13">
      <c r="A350" s="978" t="s">
        <v>739</v>
      </c>
      <c r="B350" s="35">
        <v>45385</v>
      </c>
      <c r="C350" s="3" t="s">
        <v>1072</v>
      </c>
      <c r="D350" s="4" t="s">
        <v>25</v>
      </c>
      <c r="E350" s="3" t="s">
        <v>1069</v>
      </c>
      <c r="F350" s="3" t="s">
        <v>1710</v>
      </c>
      <c r="G350" s="3" t="s">
        <v>1709</v>
      </c>
      <c r="H350" s="9" t="s">
        <v>1712</v>
      </c>
      <c r="I350" s="13" t="s">
        <v>1076</v>
      </c>
      <c r="J350" s="4">
        <v>1</v>
      </c>
      <c r="K350" s="25" t="s">
        <v>1008</v>
      </c>
      <c r="L350" s="31" t="s">
        <v>51</v>
      </c>
    </row>
    <row r="351" spans="1:13">
      <c r="A351" s="979"/>
      <c r="B351" s="35">
        <v>45390</v>
      </c>
      <c r="C351" s="3" t="s">
        <v>1072</v>
      </c>
      <c r="D351" s="4" t="s">
        <v>25</v>
      </c>
      <c r="E351" s="3" t="s">
        <v>1069</v>
      </c>
      <c r="F351" s="3">
        <v>4267</v>
      </c>
      <c r="G351" s="3" t="s">
        <v>1711</v>
      </c>
      <c r="H351" s="9" t="s">
        <v>1713</v>
      </c>
      <c r="I351" s="13" t="s">
        <v>1076</v>
      </c>
      <c r="J351" s="4">
        <v>1</v>
      </c>
      <c r="K351" s="25" t="s">
        <v>1008</v>
      </c>
      <c r="L351" s="31" t="s">
        <v>51</v>
      </c>
    </row>
    <row r="352" spans="1:13">
      <c r="A352" s="979"/>
      <c r="B352" s="35">
        <v>45390</v>
      </c>
      <c r="C352" s="3" t="s">
        <v>1072</v>
      </c>
      <c r="D352" s="4" t="s">
        <v>25</v>
      </c>
      <c r="E352" s="3" t="s">
        <v>1069</v>
      </c>
      <c r="F352" s="3" t="s">
        <v>1717</v>
      </c>
      <c r="G352" s="3" t="s">
        <v>1711</v>
      </c>
      <c r="H352" s="9" t="s">
        <v>1713</v>
      </c>
      <c r="I352" s="13" t="s">
        <v>1076</v>
      </c>
      <c r="J352" s="4">
        <v>1</v>
      </c>
      <c r="K352" s="25" t="s">
        <v>1008</v>
      </c>
      <c r="L352" s="31" t="s">
        <v>51</v>
      </c>
    </row>
    <row r="353" spans="1:12">
      <c r="A353" s="979"/>
      <c r="B353" s="35">
        <v>45393</v>
      </c>
      <c r="C353" s="3" t="s">
        <v>1072</v>
      </c>
      <c r="D353" s="4" t="s">
        <v>25</v>
      </c>
      <c r="E353" s="3" t="s">
        <v>1069</v>
      </c>
      <c r="F353" s="3" t="s">
        <v>1710</v>
      </c>
      <c r="G353" s="3" t="s">
        <v>1709</v>
      </c>
      <c r="H353" s="9" t="s">
        <v>1713</v>
      </c>
      <c r="I353" s="13" t="s">
        <v>1076</v>
      </c>
      <c r="J353" s="4">
        <v>2</v>
      </c>
      <c r="K353" s="25" t="s">
        <v>1008</v>
      </c>
      <c r="L353" s="31" t="s">
        <v>51</v>
      </c>
    </row>
    <row r="354" spans="1:12">
      <c r="A354" s="979"/>
      <c r="B354" s="35">
        <v>45397</v>
      </c>
      <c r="C354" s="3" t="s">
        <v>1072</v>
      </c>
      <c r="D354" s="4" t="s">
        <v>25</v>
      </c>
      <c r="E354" s="3" t="s">
        <v>1070</v>
      </c>
      <c r="F354" s="3" t="s">
        <v>1714</v>
      </c>
      <c r="G354" s="3" t="s">
        <v>264</v>
      </c>
      <c r="H354" s="9" t="s">
        <v>1712</v>
      </c>
      <c r="I354" s="13" t="s">
        <v>1076</v>
      </c>
      <c r="J354" s="4">
        <v>1</v>
      </c>
      <c r="K354" s="25" t="s">
        <v>1008</v>
      </c>
      <c r="L354" s="31" t="s">
        <v>51</v>
      </c>
    </row>
    <row r="355" spans="1:12">
      <c r="A355" s="979"/>
      <c r="B355" s="35">
        <v>45407</v>
      </c>
      <c r="C355" s="3" t="s">
        <v>1072</v>
      </c>
      <c r="D355" s="4" t="s">
        <v>25</v>
      </c>
      <c r="E355" s="3" t="s">
        <v>1068</v>
      </c>
      <c r="F355" s="3">
        <v>3307</v>
      </c>
      <c r="G355" s="3" t="s">
        <v>811</v>
      </c>
      <c r="H355" s="9" t="s">
        <v>1715</v>
      </c>
      <c r="I355" s="13" t="s">
        <v>1317</v>
      </c>
      <c r="J355" s="4">
        <v>2</v>
      </c>
      <c r="K355" s="25" t="s">
        <v>1008</v>
      </c>
      <c r="L355" s="31" t="s">
        <v>51</v>
      </c>
    </row>
    <row r="356" spans="1:12">
      <c r="A356" s="979"/>
      <c r="B356" s="35">
        <v>45408</v>
      </c>
      <c r="C356" s="3" t="s">
        <v>1072</v>
      </c>
      <c r="D356" s="4" t="s">
        <v>25</v>
      </c>
      <c r="E356" s="3" t="s">
        <v>1068</v>
      </c>
      <c r="F356" s="3">
        <v>3307</v>
      </c>
      <c r="G356" s="3" t="s">
        <v>811</v>
      </c>
      <c r="H356" s="9" t="s">
        <v>1715</v>
      </c>
      <c r="I356" s="13" t="s">
        <v>1716</v>
      </c>
      <c r="J356" s="4">
        <v>2</v>
      </c>
      <c r="K356" s="25" t="s">
        <v>1008</v>
      </c>
      <c r="L356" s="31" t="s">
        <v>51</v>
      </c>
    </row>
    <row r="357" spans="1:12">
      <c r="A357" s="953" t="s">
        <v>53</v>
      </c>
      <c r="B357" s="953"/>
      <c r="C357" s="953"/>
      <c r="D357" s="953"/>
      <c r="E357" s="953"/>
      <c r="F357" s="953"/>
      <c r="G357" s="953"/>
      <c r="H357" s="953"/>
      <c r="I357" s="953"/>
      <c r="J357" s="25">
        <f>SUM(J350:J356)</f>
        <v>10</v>
      </c>
      <c r="K357" s="25"/>
      <c r="L357" s="25"/>
    </row>
    <row r="359" spans="1:12" ht="27">
      <c r="A359" s="19" t="s">
        <v>1433</v>
      </c>
      <c r="B359" s="19" t="s">
        <v>1434</v>
      </c>
      <c r="C359" s="20" t="s">
        <v>2</v>
      </c>
      <c r="D359" s="20" t="s">
        <v>3</v>
      </c>
      <c r="E359" s="20" t="s">
        <v>4</v>
      </c>
      <c r="F359" s="20" t="s">
        <v>5</v>
      </c>
      <c r="G359" s="20" t="s">
        <v>6</v>
      </c>
      <c r="H359" s="21" t="s">
        <v>1435</v>
      </c>
      <c r="I359" s="20" t="s">
        <v>1436</v>
      </c>
      <c r="J359" s="22" t="s">
        <v>1437</v>
      </c>
      <c r="K359" s="23" t="s">
        <v>1438</v>
      </c>
      <c r="L359" s="23" t="s">
        <v>1439</v>
      </c>
    </row>
    <row r="360" spans="1:12">
      <c r="A360" s="31" t="s">
        <v>1440</v>
      </c>
      <c r="B360" s="15">
        <v>45394</v>
      </c>
      <c r="C360" s="3" t="s">
        <v>21</v>
      </c>
      <c r="D360" s="4" t="s">
        <v>14</v>
      </c>
      <c r="E360" s="3" t="s">
        <v>1383</v>
      </c>
      <c r="F360" s="3" t="s">
        <v>619</v>
      </c>
      <c r="G360" s="3" t="s">
        <v>115</v>
      </c>
      <c r="H360" s="9" t="s">
        <v>481</v>
      </c>
      <c r="I360" s="13" t="s">
        <v>90</v>
      </c>
      <c r="J360" s="4">
        <v>1</v>
      </c>
      <c r="K360" s="45" t="s">
        <v>50</v>
      </c>
      <c r="L360" s="44" t="s">
        <v>1443</v>
      </c>
    </row>
    <row r="361" spans="1:12">
      <c r="A361" s="1136" t="s">
        <v>1458</v>
      </c>
      <c r="B361" s="1136"/>
      <c r="C361" s="1136"/>
      <c r="D361" s="1136"/>
      <c r="E361" s="1136"/>
      <c r="F361" s="1136"/>
      <c r="G361" s="1136"/>
      <c r="H361" s="1136"/>
      <c r="I361" s="1136"/>
      <c r="J361" s="25">
        <f>SUM(J360:J360)</f>
        <v>1</v>
      </c>
      <c r="K361" s="25"/>
      <c r="L361" s="25"/>
    </row>
    <row r="363" spans="1:12" ht="20.100000000000001" customHeight="1">
      <c r="A363" s="19" t="s">
        <v>43</v>
      </c>
      <c r="B363" s="19" t="s">
        <v>1459</v>
      </c>
      <c r="C363" s="20" t="s">
        <v>2</v>
      </c>
      <c r="D363" s="20" t="s">
        <v>3</v>
      </c>
      <c r="E363" s="225" t="s">
        <v>4</v>
      </c>
      <c r="F363" s="20" t="s">
        <v>5</v>
      </c>
      <c r="G363" s="20" t="s">
        <v>6</v>
      </c>
      <c r="H363" s="21" t="s">
        <v>1460</v>
      </c>
      <c r="I363" s="20" t="s">
        <v>1461</v>
      </c>
      <c r="J363" s="22" t="s">
        <v>1462</v>
      </c>
      <c r="K363" s="23" t="s">
        <v>1463</v>
      </c>
      <c r="L363" s="23" t="s">
        <v>1464</v>
      </c>
    </row>
    <row r="364" spans="1:12" ht="20.100000000000001" customHeight="1">
      <c r="A364" s="1198" t="s">
        <v>1743</v>
      </c>
      <c r="B364" s="15">
        <v>45378</v>
      </c>
      <c r="C364" s="4" t="s">
        <v>1725</v>
      </c>
      <c r="D364" s="4" t="s">
        <v>1726</v>
      </c>
      <c r="E364" s="4" t="s">
        <v>211</v>
      </c>
      <c r="F364" s="4" t="s">
        <v>802</v>
      </c>
      <c r="G364" s="3" t="s">
        <v>264</v>
      </c>
      <c r="H364" s="9" t="s">
        <v>1742</v>
      </c>
      <c r="I364" s="13"/>
      <c r="J364" s="4">
        <v>2</v>
      </c>
      <c r="K364" s="25" t="s">
        <v>50</v>
      </c>
      <c r="L364" s="31" t="s">
        <v>51</v>
      </c>
    </row>
    <row r="365" spans="1:12" ht="20.100000000000001" customHeight="1">
      <c r="A365" s="1136"/>
      <c r="B365" s="15">
        <v>45386</v>
      </c>
      <c r="C365" s="4" t="s">
        <v>186</v>
      </c>
      <c r="D365" s="4" t="s">
        <v>1727</v>
      </c>
      <c r="E365" s="4" t="s">
        <v>1728</v>
      </c>
      <c r="F365" s="4" t="s">
        <v>802</v>
      </c>
      <c r="G365" s="3" t="s">
        <v>1729</v>
      </c>
      <c r="H365" s="9" t="s">
        <v>1730</v>
      </c>
      <c r="I365" s="13"/>
      <c r="J365" s="4">
        <v>2</v>
      </c>
      <c r="K365" s="25" t="s">
        <v>50</v>
      </c>
      <c r="L365" s="31" t="s">
        <v>51</v>
      </c>
    </row>
    <row r="366" spans="1:12" ht="20.100000000000001" customHeight="1">
      <c r="A366" s="1136"/>
      <c r="B366" s="15">
        <v>45393</v>
      </c>
      <c r="C366" s="4" t="s">
        <v>1725</v>
      </c>
      <c r="D366" s="4" t="s">
        <v>14</v>
      </c>
      <c r="E366" s="4" t="s">
        <v>1728</v>
      </c>
      <c r="F366" s="4" t="s">
        <v>1731</v>
      </c>
      <c r="G366" s="3" t="s">
        <v>264</v>
      </c>
      <c r="H366" s="9" t="s">
        <v>1732</v>
      </c>
      <c r="I366" s="13"/>
      <c r="J366" s="4">
        <v>2</v>
      </c>
      <c r="K366" s="25" t="s">
        <v>50</v>
      </c>
      <c r="L366" s="31" t="s">
        <v>51</v>
      </c>
    </row>
    <row r="367" spans="1:12" ht="20.100000000000001" customHeight="1">
      <c r="A367" s="1136"/>
      <c r="B367" s="15">
        <v>45399</v>
      </c>
      <c r="C367" s="4" t="s">
        <v>1725</v>
      </c>
      <c r="D367" s="4" t="s">
        <v>14</v>
      </c>
      <c r="E367" s="4" t="s">
        <v>1733</v>
      </c>
      <c r="F367" s="4" t="s">
        <v>802</v>
      </c>
      <c r="G367" s="3" t="s">
        <v>264</v>
      </c>
      <c r="H367" s="5" t="s">
        <v>1747</v>
      </c>
      <c r="I367" s="13"/>
      <c r="J367" s="4">
        <v>3</v>
      </c>
      <c r="K367" s="25" t="s">
        <v>50</v>
      </c>
      <c r="L367" s="31" t="s">
        <v>51</v>
      </c>
    </row>
    <row r="368" spans="1:12" ht="20.100000000000001" customHeight="1">
      <c r="A368" s="1136"/>
      <c r="B368" s="15">
        <v>45406</v>
      </c>
      <c r="C368" s="3" t="s">
        <v>1684</v>
      </c>
      <c r="D368" s="4" t="s">
        <v>1706</v>
      </c>
      <c r="E368" s="4" t="s">
        <v>1734</v>
      </c>
      <c r="F368" s="147" t="s">
        <v>1735</v>
      </c>
      <c r="G368" s="4" t="s">
        <v>1736</v>
      </c>
      <c r="H368" s="9" t="s">
        <v>1737</v>
      </c>
      <c r="I368" s="13"/>
      <c r="J368" s="4">
        <v>2</v>
      </c>
      <c r="K368" s="25" t="s">
        <v>50</v>
      </c>
      <c r="L368" s="31" t="s">
        <v>51</v>
      </c>
    </row>
    <row r="369" spans="1:12" ht="20.100000000000001" customHeight="1">
      <c r="A369" s="1136"/>
      <c r="B369" s="15" t="s">
        <v>1696</v>
      </c>
      <c r="C369" s="3" t="s">
        <v>1738</v>
      </c>
      <c r="D369" s="4" t="s">
        <v>14</v>
      </c>
      <c r="E369" s="4" t="s">
        <v>211</v>
      </c>
      <c r="F369" s="147" t="s">
        <v>1739</v>
      </c>
      <c r="G369" s="4" t="s">
        <v>1740</v>
      </c>
      <c r="H369" s="9" t="s">
        <v>1741</v>
      </c>
      <c r="I369" s="13"/>
      <c r="J369" s="4">
        <v>2</v>
      </c>
      <c r="K369" s="25" t="s">
        <v>50</v>
      </c>
      <c r="L369" s="31" t="s">
        <v>51</v>
      </c>
    </row>
    <row r="370" spans="1:12" ht="20.100000000000001" customHeight="1">
      <c r="A370" s="1136" t="s">
        <v>1659</v>
      </c>
      <c r="B370" s="1136"/>
      <c r="C370" s="1136"/>
      <c r="D370" s="1136"/>
      <c r="E370" s="1136"/>
      <c r="F370" s="1136"/>
      <c r="G370" s="1136"/>
      <c r="H370" s="1136"/>
      <c r="I370" s="1136"/>
      <c r="J370" s="25">
        <f>SUM(J364:J369)</f>
        <v>13</v>
      </c>
      <c r="K370" s="25"/>
      <c r="L370" s="25"/>
    </row>
    <row r="372" spans="1:12" ht="27">
      <c r="A372" s="19" t="s">
        <v>1592</v>
      </c>
      <c r="B372" s="19" t="s">
        <v>1593</v>
      </c>
      <c r="C372" s="20" t="s">
        <v>2</v>
      </c>
      <c r="D372" s="20" t="s">
        <v>3</v>
      </c>
      <c r="E372" s="20" t="s">
        <v>4</v>
      </c>
      <c r="F372" s="20" t="s">
        <v>5</v>
      </c>
      <c r="G372" s="20" t="s">
        <v>6</v>
      </c>
      <c r="H372" s="21" t="s">
        <v>1460</v>
      </c>
      <c r="I372" s="20" t="s">
        <v>8</v>
      </c>
      <c r="J372" s="22" t="s">
        <v>46</v>
      </c>
      <c r="K372" s="22" t="s">
        <v>46</v>
      </c>
      <c r="L372" s="23" t="s">
        <v>47</v>
      </c>
    </row>
    <row r="373" spans="1:12" ht="40.5">
      <c r="A373" s="1205" t="s">
        <v>218</v>
      </c>
      <c r="B373" s="92" t="s">
        <v>1702</v>
      </c>
      <c r="C373" s="4" t="s">
        <v>19</v>
      </c>
      <c r="D373" s="4" t="s">
        <v>25</v>
      </c>
      <c r="E373" s="4" t="s">
        <v>251</v>
      </c>
      <c r="F373" s="147" t="s">
        <v>1399</v>
      </c>
      <c r="G373" s="4" t="s">
        <v>1328</v>
      </c>
      <c r="H373" s="9" t="s">
        <v>1784</v>
      </c>
      <c r="I373" s="13" t="s">
        <v>292</v>
      </c>
      <c r="J373" s="4" t="s">
        <v>1785</v>
      </c>
      <c r="K373" s="4">
        <v>9</v>
      </c>
      <c r="L373" s="25" t="s">
        <v>1783</v>
      </c>
    </row>
    <row r="374" spans="1:12" ht="27">
      <c r="A374" s="1206"/>
      <c r="B374" s="92" t="s">
        <v>1510</v>
      </c>
      <c r="C374" s="4" t="s">
        <v>19</v>
      </c>
      <c r="D374" s="4" t="s">
        <v>25</v>
      </c>
      <c r="E374" s="4" t="s">
        <v>251</v>
      </c>
      <c r="F374" s="147">
        <v>4266</v>
      </c>
      <c r="G374" s="4" t="s">
        <v>125</v>
      </c>
      <c r="H374" s="9" t="s">
        <v>1605</v>
      </c>
      <c r="I374" s="13" t="s">
        <v>292</v>
      </c>
      <c r="J374" s="4" t="s">
        <v>1746</v>
      </c>
      <c r="K374" s="4">
        <v>4</v>
      </c>
      <c r="L374" s="25" t="s">
        <v>52</v>
      </c>
    </row>
    <row r="375" spans="1:12" ht="27">
      <c r="A375" s="1206"/>
      <c r="B375" s="92" t="s">
        <v>1527</v>
      </c>
      <c r="C375" s="4" t="s">
        <v>19</v>
      </c>
      <c r="D375" s="4" t="s">
        <v>25</v>
      </c>
      <c r="E375" s="4" t="s">
        <v>251</v>
      </c>
      <c r="F375" s="147" t="s">
        <v>1504</v>
      </c>
      <c r="G375" s="4" t="s">
        <v>18</v>
      </c>
      <c r="H375" s="9" t="s">
        <v>592</v>
      </c>
      <c r="I375" s="13" t="s">
        <v>94</v>
      </c>
      <c r="J375" s="4" t="s">
        <v>1746</v>
      </c>
      <c r="K375" s="4">
        <v>4</v>
      </c>
      <c r="L375" s="25" t="s">
        <v>52</v>
      </c>
    </row>
    <row r="376" spans="1:12" ht="27">
      <c r="A376" s="1206"/>
      <c r="B376" s="92" t="s">
        <v>1612</v>
      </c>
      <c r="C376" s="4" t="s">
        <v>19</v>
      </c>
      <c r="D376" s="4" t="s">
        <v>25</v>
      </c>
      <c r="E376" s="4" t="s">
        <v>251</v>
      </c>
      <c r="F376" s="147" t="s">
        <v>1323</v>
      </c>
      <c r="G376" s="4" t="s">
        <v>1574</v>
      </c>
      <c r="H376" s="9" t="s">
        <v>592</v>
      </c>
      <c r="I376" s="13" t="s">
        <v>94</v>
      </c>
      <c r="J376" s="4" t="s">
        <v>1571</v>
      </c>
      <c r="K376" s="4">
        <v>6</v>
      </c>
      <c r="L376" s="25" t="s">
        <v>50</v>
      </c>
    </row>
    <row r="377" spans="1:12" ht="27">
      <c r="A377" s="1206"/>
      <c r="B377" s="15">
        <v>45407</v>
      </c>
      <c r="C377" s="4" t="s">
        <v>19</v>
      </c>
      <c r="D377" s="4" t="s">
        <v>25</v>
      </c>
      <c r="E377" s="4" t="s">
        <v>20</v>
      </c>
      <c r="F377" s="147" t="s">
        <v>1586</v>
      </c>
      <c r="G377" s="4" t="s">
        <v>1708</v>
      </c>
      <c r="H377" s="9" t="s">
        <v>592</v>
      </c>
      <c r="I377" s="13" t="s">
        <v>292</v>
      </c>
      <c r="J377" s="4" t="s">
        <v>1587</v>
      </c>
      <c r="K377" s="4">
        <v>2</v>
      </c>
      <c r="L377" s="25" t="s">
        <v>50</v>
      </c>
    </row>
    <row r="378" spans="1:12">
      <c r="A378" s="953" t="s">
        <v>1646</v>
      </c>
      <c r="B378" s="953"/>
      <c r="C378" s="953"/>
      <c r="D378" s="953"/>
      <c r="E378" s="953"/>
      <c r="F378" s="953"/>
      <c r="G378" s="953"/>
      <c r="H378" s="953"/>
      <c r="I378" s="953"/>
      <c r="J378" s="953"/>
      <c r="K378" s="4">
        <v>25</v>
      </c>
      <c r="L378" s="55"/>
    </row>
    <row r="381" spans="1:12">
      <c r="B381" s="1222" t="s">
        <v>1</v>
      </c>
      <c r="C381" s="1222" t="s">
        <v>2</v>
      </c>
      <c r="D381" s="1222" t="s">
        <v>3</v>
      </c>
      <c r="E381" s="36" t="s">
        <v>54</v>
      </c>
      <c r="F381" s="1222" t="s">
        <v>5</v>
      </c>
      <c r="G381" s="1222" t="s">
        <v>6</v>
      </c>
      <c r="H381" s="1222" t="s">
        <v>7</v>
      </c>
      <c r="I381" s="1222" t="s">
        <v>55</v>
      </c>
      <c r="J381" s="1222" t="s">
        <v>9</v>
      </c>
      <c r="K381" s="1224" t="s">
        <v>56</v>
      </c>
      <c r="L381" s="1222" t="s">
        <v>57</v>
      </c>
    </row>
    <row r="382" spans="1:12">
      <c r="B382" s="1223"/>
      <c r="C382" s="1223"/>
      <c r="D382" s="1223"/>
      <c r="E382" s="37" t="s">
        <v>59</v>
      </c>
      <c r="F382" s="1223"/>
      <c r="G382" s="1223"/>
      <c r="H382" s="1223"/>
      <c r="I382" s="1223"/>
      <c r="J382" s="1223"/>
      <c r="K382" s="1225"/>
      <c r="L382" s="1223"/>
    </row>
    <row r="383" spans="1:12" ht="27">
      <c r="B383" s="92" t="s">
        <v>1880</v>
      </c>
      <c r="C383" s="125" t="s">
        <v>306</v>
      </c>
      <c r="D383" s="125" t="s">
        <v>322</v>
      </c>
      <c r="E383" s="125" t="s">
        <v>307</v>
      </c>
      <c r="F383" s="193" t="s">
        <v>1881</v>
      </c>
      <c r="G383" s="125" t="s">
        <v>150</v>
      </c>
      <c r="H383" s="193" t="s">
        <v>1882</v>
      </c>
      <c r="I383" s="125" t="s">
        <v>1883</v>
      </c>
      <c r="J383" s="183" t="s">
        <v>1745</v>
      </c>
      <c r="K383" s="125" t="s">
        <v>324</v>
      </c>
      <c r="L383" s="96">
        <v>1000000</v>
      </c>
    </row>
    <row r="384" spans="1:12" ht="27">
      <c r="B384" s="92" t="s">
        <v>1884</v>
      </c>
      <c r="C384" s="4" t="s">
        <v>19</v>
      </c>
      <c r="D384" s="4" t="s">
        <v>1885</v>
      </c>
      <c r="E384" s="4" t="s">
        <v>1886</v>
      </c>
      <c r="F384" s="193" t="s">
        <v>1379</v>
      </c>
      <c r="G384" s="125" t="s">
        <v>115</v>
      </c>
      <c r="H384" s="193" t="s">
        <v>1834</v>
      </c>
      <c r="I384" s="125" t="s">
        <v>1883</v>
      </c>
      <c r="J384" s="183" t="s">
        <v>1587</v>
      </c>
      <c r="K384" s="57" t="s">
        <v>210</v>
      </c>
      <c r="L384" s="96">
        <v>500000</v>
      </c>
    </row>
    <row r="385" spans="1:12" ht="27">
      <c r="B385" s="122" t="s">
        <v>1849</v>
      </c>
      <c r="C385" s="4" t="s">
        <v>1887</v>
      </c>
      <c r="D385" s="4" t="s">
        <v>151</v>
      </c>
      <c r="E385" s="4" t="s">
        <v>123</v>
      </c>
      <c r="F385" s="203" t="s">
        <v>1847</v>
      </c>
      <c r="G385" s="202" t="s">
        <v>1888</v>
      </c>
      <c r="H385" s="203" t="s">
        <v>1889</v>
      </c>
      <c r="I385" s="202" t="s">
        <v>608</v>
      </c>
      <c r="J385" s="183" t="s">
        <v>1745</v>
      </c>
      <c r="K385" s="57" t="s">
        <v>210</v>
      </c>
      <c r="L385" s="96">
        <v>1000000</v>
      </c>
    </row>
    <row r="386" spans="1:12" ht="27">
      <c r="B386" s="92" t="s">
        <v>1861</v>
      </c>
      <c r="C386" s="125" t="s">
        <v>306</v>
      </c>
      <c r="D386" s="125" t="s">
        <v>322</v>
      </c>
      <c r="E386" s="125" t="s">
        <v>307</v>
      </c>
      <c r="F386" s="193" t="s">
        <v>1890</v>
      </c>
      <c r="G386" s="125" t="s">
        <v>1891</v>
      </c>
      <c r="H386" s="193" t="s">
        <v>1859</v>
      </c>
      <c r="I386" s="125" t="s">
        <v>608</v>
      </c>
      <c r="J386" s="4" t="s">
        <v>1745</v>
      </c>
      <c r="K386" s="125" t="s">
        <v>324</v>
      </c>
      <c r="L386" s="96">
        <v>1000000</v>
      </c>
    </row>
    <row r="387" spans="1:12">
      <c r="B387" s="92"/>
      <c r="C387" s="125"/>
      <c r="D387" s="125"/>
      <c r="E387" s="125"/>
      <c r="F387" s="193"/>
      <c r="G387" s="125"/>
      <c r="H387" s="193"/>
      <c r="I387" s="125"/>
      <c r="J387" s="4"/>
      <c r="K387" s="125" t="s">
        <v>324</v>
      </c>
      <c r="L387" s="96">
        <f>SUM(L383:L386)</f>
        <v>3500000</v>
      </c>
    </row>
    <row r="390" spans="1:12">
      <c r="A390" t="s">
        <v>1902</v>
      </c>
    </row>
    <row r="392" spans="1:12" ht="27">
      <c r="A392" s="19" t="s">
        <v>43</v>
      </c>
      <c r="B392" s="19" t="s">
        <v>44</v>
      </c>
      <c r="C392" s="20" t="s">
        <v>2</v>
      </c>
      <c r="D392" s="20" t="s">
        <v>3</v>
      </c>
      <c r="E392" s="20" t="s">
        <v>4</v>
      </c>
      <c r="F392" s="20" t="s">
        <v>5</v>
      </c>
      <c r="G392" s="20" t="s">
        <v>6</v>
      </c>
      <c r="H392" s="21" t="s">
        <v>45</v>
      </c>
      <c r="I392" s="20" t="s">
        <v>8</v>
      </c>
      <c r="J392" s="22" t="s">
        <v>46</v>
      </c>
      <c r="K392" s="23" t="s">
        <v>47</v>
      </c>
      <c r="L392" s="23" t="s">
        <v>48</v>
      </c>
    </row>
    <row r="393" spans="1:12" ht="27">
      <c r="A393" s="155" t="s">
        <v>1115</v>
      </c>
      <c r="B393" s="64" t="s">
        <v>1661</v>
      </c>
      <c r="C393" s="64" t="s">
        <v>311</v>
      </c>
      <c r="D393" s="129" t="s">
        <v>320</v>
      </c>
      <c r="E393" s="64" t="s">
        <v>1425</v>
      </c>
      <c r="F393" s="64" t="s">
        <v>661</v>
      </c>
      <c r="G393" s="64" t="s">
        <v>662</v>
      </c>
      <c r="H393" s="152" t="s">
        <v>674</v>
      </c>
      <c r="I393" s="129" t="s">
        <v>638</v>
      </c>
      <c r="J393" s="4">
        <v>1</v>
      </c>
      <c r="K393" s="25" t="s">
        <v>50</v>
      </c>
      <c r="L393" s="31" t="s">
        <v>51</v>
      </c>
    </row>
    <row r="394" spans="1:12">
      <c r="A394" s="1136" t="s">
        <v>53</v>
      </c>
      <c r="B394" s="1136"/>
      <c r="C394" s="1136"/>
      <c r="D394" s="1136"/>
      <c r="E394" s="1136"/>
      <c r="F394" s="1136"/>
      <c r="G394" s="1136"/>
      <c r="H394" s="1136"/>
      <c r="I394" s="1136"/>
      <c r="J394" s="25">
        <v>1</v>
      </c>
      <c r="K394" s="25"/>
      <c r="L394" s="25"/>
    </row>
    <row r="396" spans="1:12" ht="27" customHeight="1">
      <c r="A396" s="19" t="s">
        <v>1984</v>
      </c>
      <c r="B396" s="19" t="s">
        <v>1985</v>
      </c>
      <c r="C396" s="20" t="s">
        <v>2</v>
      </c>
      <c r="D396" s="20" t="s">
        <v>3</v>
      </c>
      <c r="E396" s="20" t="s">
        <v>1986</v>
      </c>
      <c r="F396" s="20" t="s">
        <v>5</v>
      </c>
      <c r="G396" s="20" t="s">
        <v>6</v>
      </c>
      <c r="H396" s="21" t="s">
        <v>45</v>
      </c>
      <c r="I396" s="20" t="s">
        <v>8</v>
      </c>
      <c r="J396" s="22" t="s">
        <v>46</v>
      </c>
      <c r="K396" s="23" t="s">
        <v>1987</v>
      </c>
      <c r="L396" s="23" t="s">
        <v>1988</v>
      </c>
    </row>
    <row r="397" spans="1:12" ht="27" customHeight="1">
      <c r="A397" s="1205" t="s">
        <v>218</v>
      </c>
      <c r="B397" s="92" t="s">
        <v>1989</v>
      </c>
      <c r="C397" s="4" t="s">
        <v>306</v>
      </c>
      <c r="D397" s="4" t="s">
        <v>322</v>
      </c>
      <c r="E397" s="4" t="s">
        <v>307</v>
      </c>
      <c r="F397" s="147" t="s">
        <v>1756</v>
      </c>
      <c r="G397" s="4" t="s">
        <v>347</v>
      </c>
      <c r="H397" s="9" t="s">
        <v>1990</v>
      </c>
      <c r="I397" s="13" t="s">
        <v>349</v>
      </c>
      <c r="J397" s="4">
        <v>4</v>
      </c>
      <c r="K397" s="214" t="s">
        <v>631</v>
      </c>
      <c r="L397" s="31" t="s">
        <v>51</v>
      </c>
    </row>
    <row r="398" spans="1:12" ht="27" customHeight="1">
      <c r="A398" s="1206"/>
      <c r="B398" s="92" t="s">
        <v>1991</v>
      </c>
      <c r="C398" s="4" t="s">
        <v>306</v>
      </c>
      <c r="D398" s="4" t="s">
        <v>322</v>
      </c>
      <c r="E398" s="4" t="s">
        <v>307</v>
      </c>
      <c r="F398" s="147" t="s">
        <v>1407</v>
      </c>
      <c r="G398" s="4" t="s">
        <v>662</v>
      </c>
      <c r="H398" s="9" t="s">
        <v>1990</v>
      </c>
      <c r="I398" s="13" t="s">
        <v>349</v>
      </c>
      <c r="J398" s="4">
        <v>2</v>
      </c>
      <c r="K398" s="214" t="s">
        <v>2094</v>
      </c>
      <c r="L398" s="31" t="s">
        <v>51</v>
      </c>
    </row>
    <row r="399" spans="1:12" ht="27" customHeight="1">
      <c r="A399" s="1206"/>
      <c r="B399" s="122" t="s">
        <v>1992</v>
      </c>
      <c r="C399" s="4" t="s">
        <v>306</v>
      </c>
      <c r="D399" s="4" t="s">
        <v>322</v>
      </c>
      <c r="E399" s="4" t="s">
        <v>307</v>
      </c>
      <c r="F399" s="147" t="s">
        <v>1913</v>
      </c>
      <c r="G399" s="4" t="s">
        <v>1993</v>
      </c>
      <c r="H399" s="9" t="s">
        <v>1990</v>
      </c>
      <c r="I399" s="13" t="s">
        <v>349</v>
      </c>
      <c r="J399" s="4">
        <v>4</v>
      </c>
      <c r="K399" s="214" t="s">
        <v>631</v>
      </c>
      <c r="L399" s="31" t="s">
        <v>51</v>
      </c>
    </row>
    <row r="400" spans="1:12" ht="27" customHeight="1">
      <c r="A400" s="1206"/>
      <c r="B400" s="92" t="s">
        <v>1994</v>
      </c>
      <c r="C400" s="4" t="s">
        <v>306</v>
      </c>
      <c r="D400" s="4" t="s">
        <v>322</v>
      </c>
      <c r="E400" s="4" t="s">
        <v>307</v>
      </c>
      <c r="F400" s="147" t="s">
        <v>1995</v>
      </c>
      <c r="G400" s="4" t="s">
        <v>367</v>
      </c>
      <c r="H400" s="9" t="s">
        <v>1990</v>
      </c>
      <c r="I400" s="13" t="s">
        <v>349</v>
      </c>
      <c r="J400" s="4">
        <v>4</v>
      </c>
      <c r="K400" s="214" t="s">
        <v>1996</v>
      </c>
      <c r="L400" s="31" t="s">
        <v>1997</v>
      </c>
    </row>
    <row r="401" spans="1:12" ht="27" customHeight="1">
      <c r="A401" s="1136" t="s">
        <v>53</v>
      </c>
      <c r="B401" s="1136"/>
      <c r="C401" s="1136"/>
      <c r="D401" s="1136"/>
      <c r="E401" s="1136"/>
      <c r="F401" s="1136"/>
      <c r="G401" s="1136"/>
      <c r="H401" s="1136"/>
      <c r="I401" s="1136"/>
      <c r="J401" s="25">
        <v>14</v>
      </c>
      <c r="K401" s="25"/>
      <c r="L401" s="25"/>
    </row>
    <row r="402" spans="1:12" ht="20.100000000000001" customHeight="1"/>
    <row r="403" spans="1:12" ht="20.100000000000001" customHeight="1"/>
    <row r="404" spans="1:12" ht="27" customHeight="1">
      <c r="A404" s="19" t="s">
        <v>1998</v>
      </c>
      <c r="B404" s="19" t="s">
        <v>1999</v>
      </c>
      <c r="C404" s="20" t="s">
        <v>2</v>
      </c>
      <c r="D404" s="20" t="s">
        <v>3</v>
      </c>
      <c r="E404" s="20" t="s">
        <v>4</v>
      </c>
      <c r="F404" s="20" t="s">
        <v>5</v>
      </c>
      <c r="G404" s="20" t="s">
        <v>6</v>
      </c>
      <c r="H404" s="21" t="s">
        <v>2000</v>
      </c>
      <c r="I404" s="20" t="s">
        <v>8</v>
      </c>
      <c r="J404" s="22" t="s">
        <v>46</v>
      </c>
      <c r="K404" s="23" t="s">
        <v>47</v>
      </c>
      <c r="L404" s="23" t="s">
        <v>48</v>
      </c>
    </row>
    <row r="405" spans="1:12" ht="13.5" customHeight="1">
      <c r="A405" s="1188" t="s">
        <v>229</v>
      </c>
      <c r="B405" s="1197" t="s">
        <v>1805</v>
      </c>
      <c r="C405" s="1197" t="s">
        <v>700</v>
      </c>
      <c r="D405" s="1226" t="s">
        <v>675</v>
      </c>
      <c r="E405" s="1197" t="s">
        <v>1806</v>
      </c>
      <c r="F405" s="1197" t="s">
        <v>1807</v>
      </c>
      <c r="G405" s="1197" t="s">
        <v>662</v>
      </c>
      <c r="H405" s="1227" t="s">
        <v>1808</v>
      </c>
      <c r="I405" s="1226"/>
      <c r="J405" s="1227">
        <v>1</v>
      </c>
      <c r="K405" s="1199" t="s">
        <v>631</v>
      </c>
      <c r="L405" s="1118" t="s">
        <v>51</v>
      </c>
    </row>
    <row r="406" spans="1:12" ht="13.5" customHeight="1">
      <c r="A406" s="1188"/>
      <c r="B406" s="1197"/>
      <c r="C406" s="1197"/>
      <c r="D406" s="1226"/>
      <c r="E406" s="1197"/>
      <c r="F406" s="1197"/>
      <c r="G406" s="1197"/>
      <c r="H406" s="1227"/>
      <c r="I406" s="1226"/>
      <c r="J406" s="1227"/>
      <c r="K406" s="1200"/>
      <c r="L406" s="1120"/>
    </row>
    <row r="407" spans="1:12" ht="27" customHeight="1">
      <c r="A407" s="1188"/>
      <c r="B407" s="88" t="s">
        <v>1774</v>
      </c>
      <c r="C407" s="88" t="s">
        <v>311</v>
      </c>
      <c r="D407" s="249" t="s">
        <v>320</v>
      </c>
      <c r="E407" s="249" t="s">
        <v>409</v>
      </c>
      <c r="F407" s="250" t="s">
        <v>1412</v>
      </c>
      <c r="G407" s="249" t="s">
        <v>347</v>
      </c>
      <c r="H407" s="250" t="s">
        <v>1580</v>
      </c>
      <c r="I407" s="249"/>
      <c r="J407" s="249">
        <v>2</v>
      </c>
      <c r="K407" s="25" t="s">
        <v>1996</v>
      </c>
      <c r="L407" s="372" t="s">
        <v>1997</v>
      </c>
    </row>
    <row r="408" spans="1:12" ht="27" customHeight="1">
      <c r="A408" s="1188"/>
      <c r="B408" s="251">
        <v>45434</v>
      </c>
      <c r="C408" s="44" t="s">
        <v>138</v>
      </c>
      <c r="D408" s="45" t="s">
        <v>14</v>
      </c>
      <c r="E408" s="45" t="s">
        <v>2001</v>
      </c>
      <c r="F408" s="44" t="s">
        <v>2002</v>
      </c>
      <c r="G408" s="44" t="s">
        <v>40</v>
      </c>
      <c r="H408" s="46" t="s">
        <v>2003</v>
      </c>
      <c r="I408" s="47" t="s">
        <v>2004</v>
      </c>
      <c r="J408" s="45">
        <v>1</v>
      </c>
      <c r="K408" s="25" t="s">
        <v>631</v>
      </c>
      <c r="L408" s="372" t="s">
        <v>51</v>
      </c>
    </row>
    <row r="409" spans="1:12" ht="27" customHeight="1">
      <c r="A409" s="1188" t="s">
        <v>1646</v>
      </c>
      <c r="B409" s="1188"/>
      <c r="C409" s="1188"/>
      <c r="D409" s="1188"/>
      <c r="E409" s="1188"/>
      <c r="F409" s="1188"/>
      <c r="G409" s="1188"/>
      <c r="H409" s="1188"/>
      <c r="I409" s="1188"/>
      <c r="J409" s="25">
        <v>4</v>
      </c>
      <c r="K409" s="25"/>
      <c r="L409" s="25"/>
    </row>
    <row r="410" spans="1:12" ht="20.100000000000001" customHeight="1"/>
    <row r="411" spans="1:12" ht="20.100000000000001" customHeight="1">
      <c r="A411" s="19" t="s">
        <v>1998</v>
      </c>
      <c r="B411" s="19" t="s">
        <v>2005</v>
      </c>
      <c r="C411" s="20" t="s">
        <v>2</v>
      </c>
      <c r="D411" s="20" t="s">
        <v>3</v>
      </c>
      <c r="E411" s="225" t="s">
        <v>4</v>
      </c>
      <c r="F411" s="20" t="s">
        <v>5</v>
      </c>
      <c r="G411" s="20" t="s">
        <v>6</v>
      </c>
      <c r="H411" s="21" t="s">
        <v>45</v>
      </c>
      <c r="I411" s="20" t="s">
        <v>2006</v>
      </c>
      <c r="J411" s="22" t="s">
        <v>2007</v>
      </c>
      <c r="K411" s="23" t="s">
        <v>47</v>
      </c>
      <c r="L411" s="23" t="s">
        <v>48</v>
      </c>
    </row>
    <row r="412" spans="1:12" ht="20.100000000000001" customHeight="1">
      <c r="A412" s="1188" t="s">
        <v>2008</v>
      </c>
      <c r="B412" s="1228" t="s">
        <v>2009</v>
      </c>
      <c r="C412" s="1199" t="s">
        <v>21</v>
      </c>
      <c r="D412" s="1016" t="s">
        <v>14</v>
      </c>
      <c r="E412" s="1199" t="s">
        <v>78</v>
      </c>
      <c r="F412" s="1197" t="s">
        <v>2010</v>
      </c>
      <c r="G412" s="1197" t="s">
        <v>40</v>
      </c>
      <c r="H412" s="1227" t="s">
        <v>614</v>
      </c>
      <c r="I412" s="1226"/>
      <c r="J412" s="1227">
        <v>1</v>
      </c>
      <c r="K412" s="1199" t="s">
        <v>2011</v>
      </c>
      <c r="L412" s="1118" t="s">
        <v>1997</v>
      </c>
    </row>
    <row r="413" spans="1:12" ht="20.100000000000001" customHeight="1">
      <c r="A413" s="1188"/>
      <c r="B413" s="1197"/>
      <c r="C413" s="1200"/>
      <c r="D413" s="1017"/>
      <c r="E413" s="1200"/>
      <c r="F413" s="1197"/>
      <c r="G413" s="1197"/>
      <c r="H413" s="1227"/>
      <c r="I413" s="1226"/>
      <c r="J413" s="1227"/>
      <c r="K413" s="1200"/>
      <c r="L413" s="1120"/>
    </row>
    <row r="414" spans="1:12" ht="20.100000000000001" customHeight="1">
      <c r="A414" s="1188" t="s">
        <v>1646</v>
      </c>
      <c r="B414" s="1188"/>
      <c r="C414" s="1188"/>
      <c r="D414" s="1188"/>
      <c r="E414" s="1188"/>
      <c r="F414" s="1188"/>
      <c r="G414" s="1188"/>
      <c r="H414" s="1188"/>
      <c r="I414" s="1188"/>
      <c r="J414" s="25">
        <v>1</v>
      </c>
      <c r="K414" s="25"/>
      <c r="L414" s="25"/>
    </row>
    <row r="415" spans="1:12" ht="20.100000000000001" customHeight="1"/>
    <row r="416" spans="1:12" ht="27" customHeight="1">
      <c r="A416" s="19" t="s">
        <v>1998</v>
      </c>
      <c r="B416" s="19" t="s">
        <v>1999</v>
      </c>
      <c r="C416" s="20" t="s">
        <v>2</v>
      </c>
      <c r="D416" s="20" t="s">
        <v>3</v>
      </c>
      <c r="E416" s="20" t="s">
        <v>2012</v>
      </c>
      <c r="F416" s="20" t="s">
        <v>5</v>
      </c>
      <c r="G416" s="20" t="s">
        <v>6</v>
      </c>
      <c r="H416" s="21" t="s">
        <v>45</v>
      </c>
      <c r="I416" s="20" t="s">
        <v>2006</v>
      </c>
      <c r="J416" s="22" t="s">
        <v>2007</v>
      </c>
      <c r="K416" s="23" t="s">
        <v>47</v>
      </c>
      <c r="L416" s="23" t="s">
        <v>48</v>
      </c>
    </row>
    <row r="417" spans="1:12" ht="27" customHeight="1">
      <c r="A417" s="1118" t="s">
        <v>229</v>
      </c>
      <c r="B417" s="54">
        <v>45406</v>
      </c>
      <c r="C417" s="94" t="s">
        <v>306</v>
      </c>
      <c r="D417" s="94" t="s">
        <v>322</v>
      </c>
      <c r="E417" s="94" t="s">
        <v>307</v>
      </c>
      <c r="F417" s="39">
        <v>3306</v>
      </c>
      <c r="G417" s="94" t="s">
        <v>1153</v>
      </c>
      <c r="H417" s="39" t="s">
        <v>2013</v>
      </c>
      <c r="I417" s="94" t="s">
        <v>664</v>
      </c>
      <c r="J417" s="94">
        <v>2</v>
      </c>
      <c r="K417" s="25" t="s">
        <v>631</v>
      </c>
      <c r="L417" s="372" t="s">
        <v>51</v>
      </c>
    </row>
    <row r="418" spans="1:12" ht="13.5" customHeight="1">
      <c r="A418" s="1119"/>
      <c r="B418" s="78" t="s">
        <v>1748</v>
      </c>
      <c r="C418" s="1226" t="s">
        <v>306</v>
      </c>
      <c r="D418" s="1226" t="s">
        <v>322</v>
      </c>
      <c r="E418" s="1226" t="s">
        <v>307</v>
      </c>
      <c r="F418" s="1227">
        <v>3306</v>
      </c>
      <c r="G418" s="1226" t="s">
        <v>1153</v>
      </c>
      <c r="H418" s="1227" t="s">
        <v>1749</v>
      </c>
      <c r="I418" s="1226" t="s">
        <v>664</v>
      </c>
      <c r="J418" s="1226">
        <v>4</v>
      </c>
      <c r="K418" s="1199" t="s">
        <v>631</v>
      </c>
      <c r="L418" s="1118" t="s">
        <v>51</v>
      </c>
    </row>
    <row r="419" spans="1:12" ht="13.5" customHeight="1">
      <c r="A419" s="1119"/>
      <c r="B419" s="79" t="s">
        <v>1751</v>
      </c>
      <c r="C419" s="1226"/>
      <c r="D419" s="1226"/>
      <c r="E419" s="1226"/>
      <c r="F419" s="1227"/>
      <c r="G419" s="1226"/>
      <c r="H419" s="1227"/>
      <c r="I419" s="1226"/>
      <c r="J419" s="1226"/>
      <c r="K419" s="1200"/>
      <c r="L419" s="1120"/>
    </row>
    <row r="420" spans="1:12" ht="13.5" customHeight="1">
      <c r="A420" s="1119"/>
      <c r="B420" s="78" t="s">
        <v>1800</v>
      </c>
      <c r="C420" s="1226" t="s">
        <v>306</v>
      </c>
      <c r="D420" s="1226" t="s">
        <v>322</v>
      </c>
      <c r="E420" s="1226" t="s">
        <v>307</v>
      </c>
      <c r="F420" s="1227" t="s">
        <v>1801</v>
      </c>
      <c r="G420" s="1226" t="s">
        <v>1802</v>
      </c>
      <c r="H420" s="1227" t="s">
        <v>1803</v>
      </c>
      <c r="I420" s="1226" t="s">
        <v>664</v>
      </c>
      <c r="J420" s="1226">
        <v>5</v>
      </c>
      <c r="K420" s="1199" t="s">
        <v>631</v>
      </c>
      <c r="L420" s="1118" t="s">
        <v>51</v>
      </c>
    </row>
    <row r="421" spans="1:12" ht="13.5" customHeight="1">
      <c r="A421" s="1119"/>
      <c r="B421" s="79" t="s">
        <v>1795</v>
      </c>
      <c r="C421" s="1226"/>
      <c r="D421" s="1226"/>
      <c r="E421" s="1226"/>
      <c r="F421" s="1227"/>
      <c r="G421" s="1226"/>
      <c r="H421" s="1227"/>
      <c r="I421" s="1226"/>
      <c r="J421" s="1226"/>
      <c r="K421" s="1200"/>
      <c r="L421" s="1120"/>
    </row>
    <row r="422" spans="1:12" ht="27" customHeight="1">
      <c r="A422" s="1120"/>
      <c r="B422" s="251" t="s">
        <v>2014</v>
      </c>
      <c r="C422" s="94" t="s">
        <v>306</v>
      </c>
      <c r="D422" s="94" t="s">
        <v>322</v>
      </c>
      <c r="E422" s="94" t="s">
        <v>307</v>
      </c>
      <c r="F422" s="39">
        <v>3306</v>
      </c>
      <c r="G422" s="94" t="s">
        <v>1019</v>
      </c>
      <c r="H422" s="39" t="s">
        <v>2015</v>
      </c>
      <c r="I422" s="94" t="s">
        <v>168</v>
      </c>
      <c r="J422" s="45">
        <v>4</v>
      </c>
      <c r="K422" s="25" t="s">
        <v>1996</v>
      </c>
      <c r="L422" s="372" t="s">
        <v>51</v>
      </c>
    </row>
    <row r="423" spans="1:12" ht="27" customHeight="1">
      <c r="A423" s="1188" t="s">
        <v>1646</v>
      </c>
      <c r="B423" s="1188"/>
      <c r="C423" s="1188"/>
      <c r="D423" s="1188"/>
      <c r="E423" s="1188"/>
      <c r="F423" s="1188"/>
      <c r="G423" s="1188"/>
      <c r="H423" s="1188"/>
      <c r="I423" s="1188"/>
      <c r="J423" s="25">
        <v>15</v>
      </c>
      <c r="K423" s="25"/>
      <c r="L423" s="25"/>
    </row>
    <row r="424" spans="1:12" ht="20.100000000000001" customHeight="1"/>
    <row r="425" spans="1:12" ht="20.100000000000001" customHeight="1"/>
    <row r="426" spans="1:12" ht="20.100000000000001" customHeight="1">
      <c r="A426" s="19" t="s">
        <v>1998</v>
      </c>
      <c r="B426" s="19" t="s">
        <v>1999</v>
      </c>
      <c r="C426" s="20" t="s">
        <v>2</v>
      </c>
      <c r="D426" s="20" t="s">
        <v>3</v>
      </c>
      <c r="E426" s="20" t="s">
        <v>1724</v>
      </c>
      <c r="F426" s="20" t="s">
        <v>5</v>
      </c>
      <c r="G426" s="20" t="s">
        <v>6</v>
      </c>
      <c r="H426" s="21" t="s">
        <v>45</v>
      </c>
      <c r="I426" s="20" t="s">
        <v>2006</v>
      </c>
      <c r="J426" s="22" t="s">
        <v>2007</v>
      </c>
      <c r="K426" s="23" t="s">
        <v>47</v>
      </c>
      <c r="L426" s="23" t="s">
        <v>48</v>
      </c>
    </row>
    <row r="427" spans="1:12" ht="20.100000000000001" customHeight="1">
      <c r="A427" s="1140" t="s">
        <v>2008</v>
      </c>
      <c r="B427" s="92">
        <v>45418</v>
      </c>
      <c r="C427" s="4" t="s">
        <v>19</v>
      </c>
      <c r="D427" s="4" t="s">
        <v>25</v>
      </c>
      <c r="E427" s="4" t="s">
        <v>20</v>
      </c>
      <c r="F427" s="147">
        <v>3306</v>
      </c>
      <c r="G427" s="4" t="s">
        <v>1153</v>
      </c>
      <c r="H427" s="9" t="s">
        <v>2016</v>
      </c>
      <c r="I427" s="13" t="s">
        <v>2017</v>
      </c>
      <c r="J427" s="4">
        <v>2</v>
      </c>
      <c r="K427" s="25" t="s">
        <v>2018</v>
      </c>
      <c r="L427" s="31" t="s">
        <v>51</v>
      </c>
    </row>
    <row r="428" spans="1:12" ht="20.100000000000001" customHeight="1">
      <c r="A428" s="1141"/>
      <c r="B428" s="92">
        <v>45420</v>
      </c>
      <c r="C428" s="4" t="s">
        <v>19</v>
      </c>
      <c r="D428" s="4" t="s">
        <v>2019</v>
      </c>
      <c r="E428" s="4" t="s">
        <v>2020</v>
      </c>
      <c r="F428" s="147">
        <v>3306</v>
      </c>
      <c r="G428" s="4" t="s">
        <v>1153</v>
      </c>
      <c r="H428" s="9" t="s">
        <v>2021</v>
      </c>
      <c r="I428" s="13" t="s">
        <v>2017</v>
      </c>
      <c r="J428" s="4">
        <v>2</v>
      </c>
      <c r="K428" s="25" t="s">
        <v>2022</v>
      </c>
      <c r="L428" s="31" t="s">
        <v>51</v>
      </c>
    </row>
    <row r="429" spans="1:12" ht="20.100000000000001" customHeight="1">
      <c r="A429" s="1141"/>
      <c r="B429" s="15">
        <v>45425</v>
      </c>
      <c r="C429" s="4" t="s">
        <v>19</v>
      </c>
      <c r="D429" s="4" t="s">
        <v>25</v>
      </c>
      <c r="E429" s="4" t="s">
        <v>20</v>
      </c>
      <c r="F429" s="147">
        <v>3306</v>
      </c>
      <c r="G429" s="4" t="s">
        <v>1153</v>
      </c>
      <c r="H429" s="9" t="s">
        <v>2016</v>
      </c>
      <c r="I429" s="13" t="s">
        <v>2017</v>
      </c>
      <c r="J429" s="4">
        <v>2</v>
      </c>
      <c r="K429" s="25" t="s">
        <v>2018</v>
      </c>
      <c r="L429" s="31" t="s">
        <v>1997</v>
      </c>
    </row>
    <row r="430" spans="1:12" ht="20.100000000000001" customHeight="1">
      <c r="A430" s="1141"/>
      <c r="B430" s="92">
        <v>45428</v>
      </c>
      <c r="C430" s="4" t="s">
        <v>19</v>
      </c>
      <c r="D430" s="4" t="s">
        <v>2019</v>
      </c>
      <c r="E430" s="4" t="s">
        <v>20</v>
      </c>
      <c r="F430" s="147">
        <v>3306</v>
      </c>
      <c r="G430" s="4" t="s">
        <v>1153</v>
      </c>
      <c r="H430" s="9" t="s">
        <v>2023</v>
      </c>
      <c r="I430" s="13" t="s">
        <v>168</v>
      </c>
      <c r="J430" s="4">
        <v>2</v>
      </c>
      <c r="K430" s="25" t="s">
        <v>2022</v>
      </c>
      <c r="L430" s="31" t="s">
        <v>51</v>
      </c>
    </row>
    <row r="431" spans="1:12" ht="20.100000000000001" customHeight="1">
      <c r="A431" s="1136" t="s">
        <v>1646</v>
      </c>
      <c r="B431" s="1136"/>
      <c r="C431" s="1136"/>
      <c r="D431" s="1136"/>
      <c r="E431" s="1136"/>
      <c r="F431" s="1136"/>
      <c r="G431" s="1136"/>
      <c r="H431" s="1136"/>
      <c r="I431" s="1136"/>
      <c r="J431" s="25">
        <f>SUM(J427:J430)</f>
        <v>8</v>
      </c>
      <c r="K431" s="25"/>
      <c r="L431" s="25"/>
    </row>
    <row r="432" spans="1:12" ht="20.100000000000001" customHeight="1">
      <c r="A432" s="19" t="s">
        <v>1998</v>
      </c>
      <c r="B432" s="19" t="s">
        <v>2005</v>
      </c>
      <c r="C432" s="20" t="s">
        <v>2</v>
      </c>
      <c r="D432" s="20" t="s">
        <v>3</v>
      </c>
      <c r="E432" s="20" t="s">
        <v>1724</v>
      </c>
      <c r="F432" s="20" t="s">
        <v>5</v>
      </c>
      <c r="G432" s="20" t="s">
        <v>6</v>
      </c>
      <c r="H432" s="21" t="s">
        <v>2000</v>
      </c>
      <c r="I432" s="20" t="s">
        <v>2006</v>
      </c>
      <c r="J432" s="22" t="s">
        <v>46</v>
      </c>
      <c r="K432" s="23" t="s">
        <v>1987</v>
      </c>
      <c r="L432" s="23" t="s">
        <v>48</v>
      </c>
    </row>
    <row r="433" spans="1:12" ht="20.100000000000001" customHeight="1">
      <c r="A433" s="1141" t="s">
        <v>2008</v>
      </c>
      <c r="B433" s="92">
        <v>45422</v>
      </c>
      <c r="C433" s="4" t="s">
        <v>19</v>
      </c>
      <c r="D433" s="4" t="s">
        <v>25</v>
      </c>
      <c r="E433" s="4" t="s">
        <v>20</v>
      </c>
      <c r="F433" s="147" t="s">
        <v>2010</v>
      </c>
      <c r="G433" s="4" t="s">
        <v>40</v>
      </c>
      <c r="H433" s="9" t="s">
        <v>2024</v>
      </c>
      <c r="I433" s="13" t="s">
        <v>2017</v>
      </c>
      <c r="J433" s="4">
        <v>5</v>
      </c>
      <c r="K433" s="25" t="s">
        <v>2018</v>
      </c>
      <c r="L433" s="31" t="s">
        <v>51</v>
      </c>
    </row>
    <row r="434" spans="1:12" ht="20.100000000000001" customHeight="1">
      <c r="A434" s="1142"/>
      <c r="B434" s="15">
        <v>45423</v>
      </c>
      <c r="C434" s="4" t="s">
        <v>19</v>
      </c>
      <c r="D434" s="4" t="s">
        <v>25</v>
      </c>
      <c r="E434" s="4" t="s">
        <v>20</v>
      </c>
      <c r="F434" s="147" t="s">
        <v>1645</v>
      </c>
      <c r="G434" s="4" t="s">
        <v>2025</v>
      </c>
      <c r="H434" s="9" t="s">
        <v>2024</v>
      </c>
      <c r="I434" s="13" t="s">
        <v>2017</v>
      </c>
      <c r="J434" s="4">
        <v>5</v>
      </c>
      <c r="K434" s="25" t="s">
        <v>2022</v>
      </c>
      <c r="L434" s="31" t="s">
        <v>51</v>
      </c>
    </row>
    <row r="435" spans="1:12" ht="20.100000000000001" customHeight="1">
      <c r="A435" s="1136" t="s">
        <v>1646</v>
      </c>
      <c r="B435" s="1136"/>
      <c r="C435" s="1136"/>
      <c r="D435" s="1136"/>
      <c r="E435" s="1136"/>
      <c r="F435" s="1136"/>
      <c r="G435" s="1136"/>
      <c r="H435" s="1136"/>
      <c r="I435" s="1136"/>
      <c r="J435" s="25">
        <f>SUM(J433:J434)</f>
        <v>10</v>
      </c>
      <c r="K435" s="25"/>
      <c r="L435" s="25"/>
    </row>
    <row r="436" spans="1:12" ht="20.100000000000001" customHeight="1"/>
    <row r="437" spans="1:12" ht="20.100000000000001" customHeight="1">
      <c r="A437" s="19" t="s">
        <v>1998</v>
      </c>
      <c r="B437" s="19" t="s">
        <v>2026</v>
      </c>
      <c r="C437" s="20" t="s">
        <v>2</v>
      </c>
      <c r="D437" s="20" t="s">
        <v>3</v>
      </c>
      <c r="E437" s="20" t="s">
        <v>4</v>
      </c>
      <c r="F437" s="20" t="s">
        <v>5</v>
      </c>
      <c r="G437" s="20" t="s">
        <v>6</v>
      </c>
      <c r="H437" s="21" t="s">
        <v>45</v>
      </c>
      <c r="I437" s="20" t="s">
        <v>2006</v>
      </c>
      <c r="J437" s="22" t="s">
        <v>2007</v>
      </c>
      <c r="K437" s="23" t="s">
        <v>1987</v>
      </c>
      <c r="L437" s="23" t="s">
        <v>1988</v>
      </c>
    </row>
    <row r="438" spans="1:12" ht="13.5" customHeight="1">
      <c r="A438" s="981" t="s">
        <v>2027</v>
      </c>
      <c r="B438" s="252" t="s">
        <v>1760</v>
      </c>
      <c r="C438" s="1074" t="s">
        <v>306</v>
      </c>
      <c r="D438" s="1074" t="s">
        <v>322</v>
      </c>
      <c r="E438" s="1074" t="s">
        <v>307</v>
      </c>
      <c r="F438" s="1229" t="s">
        <v>1761</v>
      </c>
      <c r="G438" s="1074" t="s">
        <v>329</v>
      </c>
      <c r="H438" s="1211" t="s">
        <v>1762</v>
      </c>
      <c r="I438" s="1022" t="s">
        <v>664</v>
      </c>
      <c r="J438" s="1231">
        <v>2</v>
      </c>
      <c r="K438" s="1199" t="s">
        <v>1996</v>
      </c>
      <c r="L438" s="1199" t="s">
        <v>51</v>
      </c>
    </row>
    <row r="439" spans="1:12" ht="13.5" customHeight="1">
      <c r="A439" s="982"/>
      <c r="B439" s="253" t="s">
        <v>2028</v>
      </c>
      <c r="C439" s="1075"/>
      <c r="D439" s="1075"/>
      <c r="E439" s="1075"/>
      <c r="F439" s="1230"/>
      <c r="G439" s="1075"/>
      <c r="H439" s="1213"/>
      <c r="I439" s="1023"/>
      <c r="J439" s="1232"/>
      <c r="K439" s="1200"/>
      <c r="L439" s="1200"/>
    </row>
    <row r="440" spans="1:12" ht="13.5" customHeight="1">
      <c r="A440" s="982"/>
      <c r="B440" s="254" t="s">
        <v>1794</v>
      </c>
      <c r="C440" s="957" t="s">
        <v>306</v>
      </c>
      <c r="D440" s="957" t="s">
        <v>322</v>
      </c>
      <c r="E440" s="957" t="s">
        <v>307</v>
      </c>
      <c r="F440" s="955" t="s">
        <v>1796</v>
      </c>
      <c r="G440" s="957" t="s">
        <v>1797</v>
      </c>
      <c r="H440" s="955" t="s">
        <v>1792</v>
      </c>
      <c r="I440" s="957" t="s">
        <v>664</v>
      </c>
      <c r="J440" s="1003">
        <v>4</v>
      </c>
      <c r="K440" s="1199" t="s">
        <v>631</v>
      </c>
      <c r="L440" s="1199" t="s">
        <v>1997</v>
      </c>
    </row>
    <row r="441" spans="1:12" ht="13.5" customHeight="1">
      <c r="A441" s="982"/>
      <c r="B441" s="255" t="s">
        <v>1795</v>
      </c>
      <c r="C441" s="957"/>
      <c r="D441" s="957"/>
      <c r="E441" s="957"/>
      <c r="F441" s="955"/>
      <c r="G441" s="957"/>
      <c r="H441" s="955"/>
      <c r="I441" s="957"/>
      <c r="J441" s="1004"/>
      <c r="K441" s="1200"/>
      <c r="L441" s="1200"/>
    </row>
    <row r="442" spans="1:12" ht="20.100000000000001" customHeight="1">
      <c r="A442" s="982"/>
      <c r="B442" s="256" t="s">
        <v>2029</v>
      </c>
      <c r="C442" s="125" t="s">
        <v>306</v>
      </c>
      <c r="D442" s="125" t="s">
        <v>322</v>
      </c>
      <c r="E442" s="125" t="s">
        <v>307</v>
      </c>
      <c r="F442" s="193" t="s">
        <v>2030</v>
      </c>
      <c r="G442" s="125" t="s">
        <v>361</v>
      </c>
      <c r="H442" s="193" t="s">
        <v>2031</v>
      </c>
      <c r="I442" s="125" t="s">
        <v>664</v>
      </c>
      <c r="J442" s="4">
        <v>1</v>
      </c>
      <c r="K442" s="25" t="s">
        <v>1996</v>
      </c>
      <c r="L442" s="25" t="s">
        <v>1997</v>
      </c>
    </row>
    <row r="443" spans="1:12" ht="20.100000000000001" customHeight="1">
      <c r="A443" s="982"/>
      <c r="B443" s="256" t="s">
        <v>2032</v>
      </c>
      <c r="C443" s="125" t="s">
        <v>306</v>
      </c>
      <c r="D443" s="125" t="s">
        <v>322</v>
      </c>
      <c r="E443" s="125" t="s">
        <v>307</v>
      </c>
      <c r="F443" s="193">
        <v>3306</v>
      </c>
      <c r="G443" s="125" t="s">
        <v>2033</v>
      </c>
      <c r="H443" s="193" t="s">
        <v>2034</v>
      </c>
      <c r="I443" s="125" t="s">
        <v>664</v>
      </c>
      <c r="J443" s="4">
        <v>1</v>
      </c>
      <c r="K443" s="25" t="s">
        <v>631</v>
      </c>
      <c r="L443" s="25" t="s">
        <v>1997</v>
      </c>
    </row>
    <row r="444" spans="1:12" ht="20.100000000000001" customHeight="1">
      <c r="A444" s="982"/>
      <c r="B444" s="256" t="s">
        <v>2035</v>
      </c>
      <c r="C444" s="4" t="s">
        <v>2036</v>
      </c>
      <c r="D444" s="4" t="s">
        <v>2019</v>
      </c>
      <c r="E444" s="4" t="s">
        <v>20</v>
      </c>
      <c r="F444" s="193" t="s">
        <v>2030</v>
      </c>
      <c r="G444" s="125" t="s">
        <v>264</v>
      </c>
      <c r="H444" s="193" t="s">
        <v>1248</v>
      </c>
      <c r="I444" s="125" t="s">
        <v>664</v>
      </c>
      <c r="J444" s="4">
        <v>2</v>
      </c>
      <c r="K444" s="25" t="s">
        <v>1996</v>
      </c>
      <c r="L444" s="25" t="s">
        <v>1997</v>
      </c>
    </row>
    <row r="445" spans="1:12" ht="20.100000000000001" customHeight="1">
      <c r="A445" s="982"/>
      <c r="B445" s="252" t="s">
        <v>2037</v>
      </c>
      <c r="C445" s="202" t="s">
        <v>306</v>
      </c>
      <c r="D445" s="202" t="s">
        <v>322</v>
      </c>
      <c r="E445" s="202" t="s">
        <v>307</v>
      </c>
      <c r="F445" s="203" t="s">
        <v>1504</v>
      </c>
      <c r="G445" s="202" t="s">
        <v>264</v>
      </c>
      <c r="H445" s="203" t="s">
        <v>2038</v>
      </c>
      <c r="I445" s="202" t="s">
        <v>2017</v>
      </c>
      <c r="J445" s="4">
        <v>2</v>
      </c>
      <c r="K445" s="25" t="s">
        <v>631</v>
      </c>
      <c r="L445" s="25" t="s">
        <v>1997</v>
      </c>
    </row>
    <row r="446" spans="1:12" ht="20.100000000000001" customHeight="1">
      <c r="A446" s="982"/>
      <c r="B446" s="252">
        <v>45434</v>
      </c>
      <c r="C446" s="202" t="s">
        <v>306</v>
      </c>
      <c r="D446" s="202" t="s">
        <v>322</v>
      </c>
      <c r="E446" s="202" t="s">
        <v>307</v>
      </c>
      <c r="F446" s="203" t="s">
        <v>2030</v>
      </c>
      <c r="G446" s="202" t="s">
        <v>361</v>
      </c>
      <c r="H446" s="203" t="s">
        <v>2039</v>
      </c>
      <c r="I446" s="202" t="s">
        <v>2017</v>
      </c>
      <c r="J446" s="4">
        <v>1</v>
      </c>
      <c r="K446" s="25" t="s">
        <v>1996</v>
      </c>
      <c r="L446" s="25" t="s">
        <v>1997</v>
      </c>
    </row>
    <row r="447" spans="1:12" ht="20.100000000000001" customHeight="1">
      <c r="A447" s="982"/>
      <c r="B447" s="252" t="s">
        <v>2040</v>
      </c>
      <c r="C447" s="202" t="s">
        <v>306</v>
      </c>
      <c r="D447" s="202" t="s">
        <v>322</v>
      </c>
      <c r="E447" s="202" t="s">
        <v>307</v>
      </c>
      <c r="F447" s="203">
        <v>3306</v>
      </c>
      <c r="G447" s="202" t="s">
        <v>1019</v>
      </c>
      <c r="H447" s="203" t="s">
        <v>2041</v>
      </c>
      <c r="I447" s="202" t="s">
        <v>2017</v>
      </c>
      <c r="J447" s="4">
        <v>2</v>
      </c>
      <c r="K447" s="25" t="s">
        <v>1996</v>
      </c>
      <c r="L447" s="25" t="s">
        <v>51</v>
      </c>
    </row>
    <row r="448" spans="1:12" ht="20.100000000000001" customHeight="1">
      <c r="A448" s="982"/>
      <c r="B448" s="257" t="s">
        <v>2042</v>
      </c>
      <c r="C448" s="125" t="s">
        <v>306</v>
      </c>
      <c r="D448" s="125" t="s">
        <v>322</v>
      </c>
      <c r="E448" s="125" t="s">
        <v>307</v>
      </c>
      <c r="F448" s="193" t="s">
        <v>1504</v>
      </c>
      <c r="G448" s="125" t="s">
        <v>264</v>
      </c>
      <c r="H448" s="193" t="s">
        <v>2031</v>
      </c>
      <c r="I448" s="125" t="s">
        <v>168</v>
      </c>
      <c r="J448" s="4">
        <v>2</v>
      </c>
      <c r="K448" s="25" t="s">
        <v>631</v>
      </c>
      <c r="L448" s="25" t="s">
        <v>1997</v>
      </c>
    </row>
    <row r="449" spans="1:12" ht="20.100000000000001" customHeight="1">
      <c r="A449" s="983"/>
      <c r="B449" s="256" t="s">
        <v>2043</v>
      </c>
      <c r="C449" s="125" t="s">
        <v>306</v>
      </c>
      <c r="D449" s="125" t="s">
        <v>322</v>
      </c>
      <c r="E449" s="125" t="s">
        <v>307</v>
      </c>
      <c r="F449" s="193">
        <v>3306</v>
      </c>
      <c r="G449" s="125" t="s">
        <v>1019</v>
      </c>
      <c r="H449" s="193" t="s">
        <v>2044</v>
      </c>
      <c r="I449" s="125" t="s">
        <v>168</v>
      </c>
      <c r="J449" s="4">
        <v>3</v>
      </c>
      <c r="K449" s="25" t="s">
        <v>631</v>
      </c>
      <c r="L449" s="25" t="s">
        <v>51</v>
      </c>
    </row>
    <row r="450" spans="1:12" ht="20.100000000000001" customHeight="1">
      <c r="A450" s="1194" t="s">
        <v>1646</v>
      </c>
      <c r="B450" s="1195"/>
      <c r="C450" s="1195"/>
      <c r="D450" s="1195"/>
      <c r="E450" s="1195"/>
      <c r="F450" s="1195"/>
      <c r="G450" s="1195"/>
      <c r="H450" s="1195"/>
      <c r="I450" s="1195"/>
      <c r="J450" s="55">
        <v>20</v>
      </c>
      <c r="K450" s="57"/>
      <c r="L450" s="373"/>
    </row>
    <row r="451" spans="1:12" ht="20.100000000000001" customHeight="1"/>
    <row r="452" spans="1:12" ht="20.100000000000001" customHeight="1"/>
    <row r="453" spans="1:12" ht="20.100000000000001" customHeight="1"/>
    <row r="454" spans="1:12" ht="20.100000000000001" customHeight="1"/>
    <row r="455" spans="1:12" ht="27" customHeight="1">
      <c r="A455" s="19" t="s">
        <v>1984</v>
      </c>
      <c r="B455" s="19" t="s">
        <v>1999</v>
      </c>
      <c r="C455" s="20" t="s">
        <v>2</v>
      </c>
      <c r="D455" s="20" t="s">
        <v>3</v>
      </c>
      <c r="E455" s="20" t="s">
        <v>1724</v>
      </c>
      <c r="F455" s="20" t="s">
        <v>5</v>
      </c>
      <c r="G455" s="20" t="s">
        <v>6</v>
      </c>
      <c r="H455" s="21" t="s">
        <v>2000</v>
      </c>
      <c r="I455" s="20" t="s">
        <v>2006</v>
      </c>
      <c r="J455" s="22" t="s">
        <v>46</v>
      </c>
      <c r="K455" s="23" t="s">
        <v>1987</v>
      </c>
      <c r="L455" s="23" t="s">
        <v>1988</v>
      </c>
    </row>
    <row r="456" spans="1:12" ht="27" customHeight="1">
      <c r="A456" s="978" t="s">
        <v>2045</v>
      </c>
      <c r="B456" s="35">
        <v>45420</v>
      </c>
      <c r="C456" s="3" t="s">
        <v>2046</v>
      </c>
      <c r="D456" s="4" t="s">
        <v>2019</v>
      </c>
      <c r="E456" s="3" t="s">
        <v>2047</v>
      </c>
      <c r="F456" s="3" t="s">
        <v>2048</v>
      </c>
      <c r="G456" s="3" t="s">
        <v>2049</v>
      </c>
      <c r="H456" s="9" t="s">
        <v>2050</v>
      </c>
      <c r="I456" s="13" t="s">
        <v>2051</v>
      </c>
      <c r="J456" s="4">
        <v>1</v>
      </c>
      <c r="K456" s="25" t="s">
        <v>2052</v>
      </c>
      <c r="L456" s="31" t="s">
        <v>1997</v>
      </c>
    </row>
    <row r="457" spans="1:12" ht="27" customHeight="1">
      <c r="A457" s="979"/>
      <c r="B457" s="35">
        <v>45431</v>
      </c>
      <c r="C457" s="3" t="s">
        <v>2046</v>
      </c>
      <c r="D457" s="4" t="s">
        <v>2019</v>
      </c>
      <c r="E457" s="3" t="s">
        <v>2053</v>
      </c>
      <c r="F457" s="3">
        <v>3306</v>
      </c>
      <c r="G457" s="3" t="s">
        <v>2033</v>
      </c>
      <c r="H457" s="9" t="s">
        <v>2054</v>
      </c>
      <c r="I457" s="13" t="s">
        <v>2055</v>
      </c>
      <c r="J457" s="4">
        <v>3</v>
      </c>
      <c r="K457" s="25" t="s">
        <v>2056</v>
      </c>
      <c r="L457" s="31" t="s">
        <v>1997</v>
      </c>
    </row>
    <row r="458" spans="1:12" ht="27" customHeight="1">
      <c r="A458" s="979"/>
      <c r="B458" s="35">
        <v>45432</v>
      </c>
      <c r="C458" s="3" t="s">
        <v>2046</v>
      </c>
      <c r="D458" s="4" t="s">
        <v>25</v>
      </c>
      <c r="E458" s="3" t="s">
        <v>2057</v>
      </c>
      <c r="F458" s="3">
        <v>3306</v>
      </c>
      <c r="G458" s="3" t="s">
        <v>2033</v>
      </c>
      <c r="H458" s="9" t="s">
        <v>2058</v>
      </c>
      <c r="I458" s="13" t="s">
        <v>1317</v>
      </c>
      <c r="J458" s="4">
        <v>1</v>
      </c>
      <c r="K458" s="25" t="s">
        <v>2056</v>
      </c>
      <c r="L458" s="31" t="s">
        <v>51</v>
      </c>
    </row>
    <row r="459" spans="1:12" ht="27" customHeight="1">
      <c r="A459" s="953" t="s">
        <v>2059</v>
      </c>
      <c r="B459" s="953"/>
      <c r="C459" s="953"/>
      <c r="D459" s="953"/>
      <c r="E459" s="953"/>
      <c r="F459" s="953"/>
      <c r="G459" s="953"/>
      <c r="H459" s="953"/>
      <c r="I459" s="953"/>
      <c r="J459" s="25">
        <f>SUM(J456:J458)</f>
        <v>5</v>
      </c>
      <c r="K459" s="25"/>
      <c r="L459" s="25"/>
    </row>
    <row r="460" spans="1:12" ht="20.100000000000001" customHeight="1"/>
    <row r="461" spans="1:12" ht="27" customHeight="1">
      <c r="A461" s="19" t="s">
        <v>1998</v>
      </c>
      <c r="B461" s="19" t="s">
        <v>1999</v>
      </c>
      <c r="C461" s="20" t="s">
        <v>2</v>
      </c>
      <c r="D461" s="20" t="s">
        <v>3</v>
      </c>
      <c r="E461" s="20" t="s">
        <v>4</v>
      </c>
      <c r="F461" s="20" t="s">
        <v>5</v>
      </c>
      <c r="G461" s="20" t="s">
        <v>6</v>
      </c>
      <c r="H461" s="21" t="s">
        <v>45</v>
      </c>
      <c r="I461" s="20" t="s">
        <v>8</v>
      </c>
      <c r="J461" s="22" t="s">
        <v>46</v>
      </c>
      <c r="K461" s="23" t="s">
        <v>47</v>
      </c>
      <c r="L461" s="23" t="s">
        <v>48</v>
      </c>
    </row>
    <row r="462" spans="1:12" ht="27" customHeight="1">
      <c r="A462" s="1140" t="s">
        <v>1007</v>
      </c>
      <c r="B462" s="54" t="s">
        <v>2060</v>
      </c>
      <c r="C462" s="44" t="s">
        <v>138</v>
      </c>
      <c r="D462" s="45" t="s">
        <v>14</v>
      </c>
      <c r="E462" s="45" t="s">
        <v>107</v>
      </c>
      <c r="F462" s="44" t="s">
        <v>270</v>
      </c>
      <c r="G462" s="44" t="s">
        <v>2061</v>
      </c>
      <c r="H462" s="38" t="s">
        <v>2062</v>
      </c>
      <c r="I462" s="47" t="s">
        <v>90</v>
      </c>
      <c r="J462" s="38">
        <v>1</v>
      </c>
      <c r="K462" s="25" t="s">
        <v>631</v>
      </c>
      <c r="L462" s="25" t="s">
        <v>51</v>
      </c>
    </row>
    <row r="463" spans="1:12" ht="13.5" customHeight="1">
      <c r="A463" s="1141"/>
      <c r="B463" s="1233" t="s">
        <v>1767</v>
      </c>
      <c r="C463" s="1234" t="s">
        <v>311</v>
      </c>
      <c r="D463" s="1234" t="s">
        <v>320</v>
      </c>
      <c r="E463" s="1234" t="s">
        <v>709</v>
      </c>
      <c r="F463" s="1234" t="s">
        <v>1768</v>
      </c>
      <c r="G463" s="1233" t="s">
        <v>1769</v>
      </c>
      <c r="H463" s="258" t="s">
        <v>1770</v>
      </c>
      <c r="I463" s="1234"/>
      <c r="J463" s="1234">
        <v>1</v>
      </c>
      <c r="K463" s="1016" t="s">
        <v>631</v>
      </c>
      <c r="L463" s="1046" t="s">
        <v>51</v>
      </c>
    </row>
    <row r="464" spans="1:12" ht="13.5" customHeight="1">
      <c r="A464" s="1141"/>
      <c r="B464" s="1233"/>
      <c r="C464" s="1234"/>
      <c r="D464" s="1234"/>
      <c r="E464" s="1234"/>
      <c r="F464" s="1234"/>
      <c r="G464" s="1233"/>
      <c r="H464" s="259" t="s">
        <v>1773</v>
      </c>
      <c r="I464" s="1234"/>
      <c r="J464" s="1234"/>
      <c r="K464" s="1017"/>
      <c r="L464" s="1047"/>
    </row>
    <row r="465" spans="1:12" ht="13.5" customHeight="1">
      <c r="A465" s="1141"/>
      <c r="B465" s="1235" t="s">
        <v>1813</v>
      </c>
      <c r="C465" s="1197" t="s">
        <v>700</v>
      </c>
      <c r="D465" s="1226" t="s">
        <v>320</v>
      </c>
      <c r="E465" s="1226" t="s">
        <v>337</v>
      </c>
      <c r="F465" s="1197" t="s">
        <v>353</v>
      </c>
      <c r="G465" s="1197" t="s">
        <v>1814</v>
      </c>
      <c r="H465" s="1227" t="s">
        <v>1815</v>
      </c>
      <c r="I465" s="1226" t="s">
        <v>638</v>
      </c>
      <c r="J465" s="1227">
        <v>2</v>
      </c>
      <c r="K465" s="1199" t="s">
        <v>631</v>
      </c>
      <c r="L465" s="1199" t="s">
        <v>51</v>
      </c>
    </row>
    <row r="466" spans="1:12" ht="13.5" customHeight="1">
      <c r="A466" s="1141"/>
      <c r="B466" s="1235"/>
      <c r="C466" s="1197"/>
      <c r="D466" s="1226"/>
      <c r="E466" s="1226"/>
      <c r="F466" s="1197"/>
      <c r="G466" s="1197"/>
      <c r="H466" s="1227"/>
      <c r="I466" s="1226"/>
      <c r="J466" s="1227"/>
      <c r="K466" s="1200"/>
      <c r="L466" s="1200"/>
    </row>
    <row r="467" spans="1:12" ht="27" customHeight="1">
      <c r="A467" s="1141"/>
      <c r="B467" s="25" t="s">
        <v>1819</v>
      </c>
      <c r="C467" s="25" t="s">
        <v>700</v>
      </c>
      <c r="D467" s="45" t="s">
        <v>320</v>
      </c>
      <c r="E467" s="45" t="s">
        <v>337</v>
      </c>
      <c r="F467" s="25" t="s">
        <v>353</v>
      </c>
      <c r="G467" s="25" t="s">
        <v>1814</v>
      </c>
      <c r="H467" s="260" t="s">
        <v>1815</v>
      </c>
      <c r="I467" s="45" t="s">
        <v>638</v>
      </c>
      <c r="J467" s="260">
        <v>1</v>
      </c>
      <c r="K467" s="25" t="s">
        <v>631</v>
      </c>
      <c r="L467" s="25" t="s">
        <v>51</v>
      </c>
    </row>
    <row r="468" spans="1:12" ht="13.5" customHeight="1">
      <c r="A468" s="1141"/>
      <c r="B468" s="1197" t="s">
        <v>1820</v>
      </c>
      <c r="C468" s="1197" t="s">
        <v>700</v>
      </c>
      <c r="D468" s="1226" t="s">
        <v>320</v>
      </c>
      <c r="E468" s="1226" t="s">
        <v>709</v>
      </c>
      <c r="F468" s="1226" t="s">
        <v>1768</v>
      </c>
      <c r="G468" s="1197" t="s">
        <v>1821</v>
      </c>
      <c r="H468" s="261" t="s">
        <v>1822</v>
      </c>
      <c r="I468" s="1226" t="s">
        <v>638</v>
      </c>
      <c r="J468" s="1226">
        <v>2</v>
      </c>
      <c r="K468" s="1199" t="s">
        <v>631</v>
      </c>
      <c r="L468" s="1199" t="s">
        <v>51</v>
      </c>
    </row>
    <row r="469" spans="1:12" ht="13.5" customHeight="1">
      <c r="A469" s="1141"/>
      <c r="B469" s="1197"/>
      <c r="C469" s="1197"/>
      <c r="D469" s="1226"/>
      <c r="E469" s="1226"/>
      <c r="F469" s="1226"/>
      <c r="G469" s="1197"/>
      <c r="H469" s="262" t="s">
        <v>1823</v>
      </c>
      <c r="I469" s="1226"/>
      <c r="J469" s="1226"/>
      <c r="K469" s="1200"/>
      <c r="L469" s="1200"/>
    </row>
    <row r="470" spans="1:12" ht="27" customHeight="1">
      <c r="A470" s="1141"/>
      <c r="B470" s="92" t="s">
        <v>2063</v>
      </c>
      <c r="C470" s="3" t="s">
        <v>2064</v>
      </c>
      <c r="D470" s="4" t="s">
        <v>17</v>
      </c>
      <c r="E470" s="4" t="s">
        <v>2065</v>
      </c>
      <c r="F470" s="16" t="s">
        <v>2066</v>
      </c>
      <c r="G470" s="3" t="s">
        <v>28</v>
      </c>
      <c r="H470" s="9" t="s">
        <v>2067</v>
      </c>
      <c r="I470" s="45" t="s">
        <v>638</v>
      </c>
      <c r="J470" s="260">
        <v>2</v>
      </c>
      <c r="K470" s="25" t="s">
        <v>631</v>
      </c>
      <c r="L470" s="25" t="s">
        <v>51</v>
      </c>
    </row>
    <row r="471" spans="1:12" ht="27" customHeight="1">
      <c r="A471" s="1142"/>
      <c r="B471" s="251">
        <v>45437</v>
      </c>
      <c r="C471" s="65" t="s">
        <v>138</v>
      </c>
      <c r="D471" s="78" t="s">
        <v>14</v>
      </c>
      <c r="E471" s="78" t="s">
        <v>107</v>
      </c>
      <c r="F471" s="65" t="s">
        <v>270</v>
      </c>
      <c r="G471" s="65" t="s">
        <v>1391</v>
      </c>
      <c r="H471" s="46" t="s">
        <v>2062</v>
      </c>
      <c r="I471" s="50" t="s">
        <v>2068</v>
      </c>
      <c r="J471" s="46">
        <v>2</v>
      </c>
      <c r="K471" s="25" t="s">
        <v>631</v>
      </c>
      <c r="L471" s="25" t="s">
        <v>51</v>
      </c>
    </row>
    <row r="472" spans="1:12" ht="27" customHeight="1">
      <c r="A472" s="1136" t="s">
        <v>53</v>
      </c>
      <c r="B472" s="1136"/>
      <c r="C472" s="1136"/>
      <c r="D472" s="1136"/>
      <c r="E472" s="1136"/>
      <c r="F472" s="1136"/>
      <c r="G472" s="1136"/>
      <c r="H472" s="1136"/>
      <c r="I472" s="1136"/>
      <c r="J472" s="25">
        <v>11</v>
      </c>
      <c r="K472" s="25"/>
      <c r="L472" s="25"/>
    </row>
    <row r="473" spans="1:12" ht="20.100000000000001" customHeight="1"/>
    <row r="474" spans="1:12" ht="20.100000000000001" customHeight="1"/>
    <row r="475" spans="1:12" ht="27" customHeight="1">
      <c r="A475" s="19" t="s">
        <v>1998</v>
      </c>
      <c r="B475" s="19" t="s">
        <v>1999</v>
      </c>
      <c r="C475" s="20" t="s">
        <v>2</v>
      </c>
      <c r="D475" s="20" t="s">
        <v>3</v>
      </c>
      <c r="E475" s="20" t="s">
        <v>4</v>
      </c>
      <c r="F475" s="20" t="s">
        <v>5</v>
      </c>
      <c r="G475" s="20" t="s">
        <v>6</v>
      </c>
      <c r="H475" s="21" t="s">
        <v>45</v>
      </c>
      <c r="I475" s="20" t="s">
        <v>8</v>
      </c>
      <c r="J475" s="22" t="s">
        <v>46</v>
      </c>
      <c r="K475" s="23" t="s">
        <v>47</v>
      </c>
      <c r="L475" s="23" t="s">
        <v>48</v>
      </c>
    </row>
    <row r="476" spans="1:12" ht="13.5" customHeight="1">
      <c r="A476" s="1136" t="s">
        <v>228</v>
      </c>
      <c r="B476" s="1233" t="s">
        <v>1767</v>
      </c>
      <c r="C476" s="1234" t="s">
        <v>311</v>
      </c>
      <c r="D476" s="1234" t="s">
        <v>320</v>
      </c>
      <c r="E476" s="1234" t="s">
        <v>709</v>
      </c>
      <c r="F476" s="1234" t="s">
        <v>1768</v>
      </c>
      <c r="G476" s="1233" t="s">
        <v>1769</v>
      </c>
      <c r="H476" s="258" t="s">
        <v>1770</v>
      </c>
      <c r="I476" s="1234"/>
      <c r="J476" s="1234">
        <v>1</v>
      </c>
      <c r="K476" s="1016" t="s">
        <v>631</v>
      </c>
      <c r="L476" s="1046" t="s">
        <v>51</v>
      </c>
    </row>
    <row r="477" spans="1:12" ht="13.5" customHeight="1">
      <c r="A477" s="1136"/>
      <c r="B477" s="1233"/>
      <c r="C477" s="1234"/>
      <c r="D477" s="1234"/>
      <c r="E477" s="1234"/>
      <c r="F477" s="1234"/>
      <c r="G477" s="1233"/>
      <c r="H477" s="259" t="s">
        <v>1773</v>
      </c>
      <c r="I477" s="1234"/>
      <c r="J477" s="1234"/>
      <c r="K477" s="1017"/>
      <c r="L477" s="1047"/>
    </row>
    <row r="478" spans="1:12" ht="27" customHeight="1">
      <c r="A478" s="1136"/>
      <c r="B478" s="92">
        <v>45437</v>
      </c>
      <c r="C478" s="3" t="s">
        <v>21</v>
      </c>
      <c r="D478" s="4" t="s">
        <v>14</v>
      </c>
      <c r="E478" s="4" t="s">
        <v>107</v>
      </c>
      <c r="F478" s="3" t="s">
        <v>108</v>
      </c>
      <c r="G478" s="3" t="s">
        <v>376</v>
      </c>
      <c r="H478" s="9" t="s">
        <v>2069</v>
      </c>
      <c r="I478" s="13"/>
      <c r="J478" s="9">
        <v>2</v>
      </c>
      <c r="K478" s="25" t="s">
        <v>631</v>
      </c>
      <c r="L478" s="25" t="s">
        <v>51</v>
      </c>
    </row>
    <row r="479" spans="1:12" ht="27" customHeight="1">
      <c r="A479" s="1136" t="s">
        <v>1646</v>
      </c>
      <c r="B479" s="1136"/>
      <c r="C479" s="1136"/>
      <c r="D479" s="1136"/>
      <c r="E479" s="1136"/>
      <c r="F479" s="1136"/>
      <c r="G479" s="1136"/>
      <c r="H479" s="1136"/>
      <c r="I479" s="1136"/>
      <c r="J479" s="25">
        <f>SUM(J476:J478)</f>
        <v>3</v>
      </c>
      <c r="K479" s="25"/>
      <c r="L479" s="25"/>
    </row>
    <row r="480" spans="1:12" ht="20.100000000000001" customHeight="1"/>
    <row r="481" spans="1:12" ht="20.100000000000001" customHeight="1">
      <c r="A481" s="19" t="s">
        <v>1998</v>
      </c>
      <c r="B481" s="19" t="s">
        <v>1999</v>
      </c>
      <c r="C481" s="20" t="s">
        <v>2</v>
      </c>
      <c r="D481" s="20" t="s">
        <v>3</v>
      </c>
      <c r="E481" s="20" t="s">
        <v>4</v>
      </c>
      <c r="F481" s="20" t="s">
        <v>5</v>
      </c>
      <c r="G481" s="20" t="s">
        <v>6</v>
      </c>
      <c r="H481" s="21" t="s">
        <v>45</v>
      </c>
      <c r="I481" s="20" t="s">
        <v>8</v>
      </c>
      <c r="J481" s="22" t="s">
        <v>46</v>
      </c>
      <c r="K481" s="23" t="s">
        <v>47</v>
      </c>
      <c r="L481" s="23" t="s">
        <v>48</v>
      </c>
    </row>
    <row r="482" spans="1:12" ht="20.100000000000001" customHeight="1">
      <c r="A482" s="1199" t="s">
        <v>228</v>
      </c>
      <c r="B482" s="92" t="s">
        <v>2070</v>
      </c>
      <c r="C482" s="3" t="s">
        <v>306</v>
      </c>
      <c r="D482" s="4" t="s">
        <v>322</v>
      </c>
      <c r="E482" s="4" t="s">
        <v>307</v>
      </c>
      <c r="F482" s="4">
        <v>3306</v>
      </c>
      <c r="G482" s="4" t="s">
        <v>1153</v>
      </c>
      <c r="H482" s="9" t="s">
        <v>2071</v>
      </c>
      <c r="I482" s="13" t="s">
        <v>664</v>
      </c>
      <c r="J482" s="4">
        <v>1</v>
      </c>
      <c r="K482" s="25" t="s">
        <v>631</v>
      </c>
      <c r="L482" s="25" t="s">
        <v>51</v>
      </c>
    </row>
    <row r="483" spans="1:12" ht="20.100000000000001" customHeight="1">
      <c r="A483" s="1209"/>
      <c r="B483" s="92">
        <v>45413</v>
      </c>
      <c r="C483" s="3" t="s">
        <v>19</v>
      </c>
      <c r="D483" s="4" t="s">
        <v>25</v>
      </c>
      <c r="E483" s="4" t="s">
        <v>20</v>
      </c>
      <c r="F483" s="4" t="s">
        <v>1645</v>
      </c>
      <c r="G483" s="4" t="s">
        <v>40</v>
      </c>
      <c r="H483" s="9" t="s">
        <v>1962</v>
      </c>
      <c r="I483" s="13" t="s">
        <v>168</v>
      </c>
      <c r="J483" s="4">
        <v>1</v>
      </c>
      <c r="K483" s="25" t="s">
        <v>2072</v>
      </c>
      <c r="L483" s="25" t="s">
        <v>51</v>
      </c>
    </row>
    <row r="484" spans="1:12" ht="20.100000000000001" customHeight="1">
      <c r="A484" s="1209"/>
      <c r="B484" s="15">
        <v>45414</v>
      </c>
      <c r="C484" s="3" t="s">
        <v>19</v>
      </c>
      <c r="D484" s="4" t="s">
        <v>25</v>
      </c>
      <c r="E484" s="4" t="s">
        <v>20</v>
      </c>
      <c r="F484" s="4" t="s">
        <v>1529</v>
      </c>
      <c r="G484" s="3" t="s">
        <v>40</v>
      </c>
      <c r="H484" s="9" t="s">
        <v>2073</v>
      </c>
      <c r="I484" s="13" t="s">
        <v>168</v>
      </c>
      <c r="J484" s="4">
        <v>1</v>
      </c>
      <c r="K484" s="25" t="s">
        <v>2074</v>
      </c>
      <c r="L484" s="25" t="s">
        <v>51</v>
      </c>
    </row>
    <row r="485" spans="1:12" ht="20.100000000000001" customHeight="1">
      <c r="A485" s="1209"/>
      <c r="B485" s="15">
        <v>45416</v>
      </c>
      <c r="C485" s="3" t="s">
        <v>19</v>
      </c>
      <c r="D485" s="4" t="s">
        <v>25</v>
      </c>
      <c r="E485" s="4" t="s">
        <v>20</v>
      </c>
      <c r="F485" s="4" t="s">
        <v>1645</v>
      </c>
      <c r="G485" s="4" t="s">
        <v>40</v>
      </c>
      <c r="H485" s="9" t="s">
        <v>2075</v>
      </c>
      <c r="I485" s="13" t="s">
        <v>168</v>
      </c>
      <c r="J485" s="4">
        <v>1</v>
      </c>
      <c r="K485" s="25" t="s">
        <v>2076</v>
      </c>
      <c r="L485" s="25" t="s">
        <v>51</v>
      </c>
    </row>
    <row r="486" spans="1:12" ht="20.100000000000001" customHeight="1">
      <c r="A486" s="1200"/>
      <c r="B486" s="15">
        <v>45441</v>
      </c>
      <c r="C486" s="110" t="s">
        <v>306</v>
      </c>
      <c r="D486" s="110" t="s">
        <v>322</v>
      </c>
      <c r="E486" s="4" t="s">
        <v>307</v>
      </c>
      <c r="F486" s="4" t="s">
        <v>1995</v>
      </c>
      <c r="G486" s="4" t="s">
        <v>1047</v>
      </c>
      <c r="H486" s="9" t="s">
        <v>1762</v>
      </c>
      <c r="I486" s="13" t="s">
        <v>664</v>
      </c>
      <c r="J486" s="4">
        <v>1</v>
      </c>
      <c r="K486" s="25" t="s">
        <v>631</v>
      </c>
      <c r="L486" s="25" t="s">
        <v>51</v>
      </c>
    </row>
    <row r="487" spans="1:12" ht="20.100000000000001" customHeight="1">
      <c r="A487" s="1194" t="s">
        <v>53</v>
      </c>
      <c r="B487" s="1195"/>
      <c r="C487" s="1195"/>
      <c r="D487" s="1195"/>
      <c r="E487" s="1195"/>
      <c r="F487" s="1195"/>
      <c r="G487" s="1195"/>
      <c r="H487" s="1195"/>
      <c r="I487" s="1196"/>
      <c r="J487" s="25">
        <v>5</v>
      </c>
      <c r="K487" s="26"/>
      <c r="L487" s="55"/>
    </row>
    <row r="490" spans="1:12">
      <c r="A490" t="s">
        <v>2093</v>
      </c>
    </row>
    <row r="492" spans="1:12">
      <c r="A492" s="19" t="s">
        <v>2176</v>
      </c>
      <c r="B492" s="19" t="s">
        <v>2177</v>
      </c>
      <c r="C492" s="20" t="s">
        <v>2</v>
      </c>
      <c r="D492" s="20" t="s">
        <v>3</v>
      </c>
      <c r="E492" s="20" t="s">
        <v>2178</v>
      </c>
      <c r="F492" s="20" t="s">
        <v>5</v>
      </c>
      <c r="G492" s="20" t="s">
        <v>6</v>
      </c>
      <c r="H492" s="21" t="s">
        <v>2179</v>
      </c>
      <c r="I492" s="20" t="s">
        <v>8</v>
      </c>
      <c r="J492" s="22" t="s">
        <v>2180</v>
      </c>
      <c r="K492" s="23" t="s">
        <v>47</v>
      </c>
    </row>
    <row r="493" spans="1:12" ht="24.95" customHeight="1">
      <c r="A493" s="1183" t="s">
        <v>218</v>
      </c>
      <c r="B493" s="243" t="s">
        <v>1912</v>
      </c>
      <c r="C493" s="243" t="s">
        <v>306</v>
      </c>
      <c r="D493" s="243" t="s">
        <v>322</v>
      </c>
      <c r="E493" s="243" t="s">
        <v>307</v>
      </c>
      <c r="F493" s="275" t="s">
        <v>1913</v>
      </c>
      <c r="G493" s="243" t="s">
        <v>1914</v>
      </c>
      <c r="H493" s="275" t="s">
        <v>1915</v>
      </c>
      <c r="I493" s="243" t="s">
        <v>349</v>
      </c>
      <c r="J493" s="243">
        <v>2</v>
      </c>
      <c r="K493" s="25" t="s">
        <v>2181</v>
      </c>
      <c r="L493" s="222">
        <v>23</v>
      </c>
    </row>
    <row r="494" spans="1:12" ht="12.6" customHeight="1">
      <c r="A494" s="1184"/>
      <c r="B494" s="1236" t="s">
        <v>2182</v>
      </c>
      <c r="C494" s="1236" t="s">
        <v>306</v>
      </c>
      <c r="D494" s="1236" t="s">
        <v>322</v>
      </c>
      <c r="E494" s="1236" t="s">
        <v>307</v>
      </c>
      <c r="F494" s="1237" t="s">
        <v>1919</v>
      </c>
      <c r="G494" s="1236" t="s">
        <v>662</v>
      </c>
      <c r="H494" s="1237" t="s">
        <v>1920</v>
      </c>
      <c r="I494" s="1236" t="s">
        <v>349</v>
      </c>
      <c r="J494" s="1236">
        <v>2</v>
      </c>
      <c r="K494" s="1197" t="s">
        <v>50</v>
      </c>
      <c r="L494" s="222">
        <v>23</v>
      </c>
    </row>
    <row r="495" spans="1:12" ht="12.6" customHeight="1">
      <c r="A495" s="1184"/>
      <c r="B495" s="1236"/>
      <c r="C495" s="1236"/>
      <c r="D495" s="1236"/>
      <c r="E495" s="1236"/>
      <c r="F495" s="1237"/>
      <c r="G495" s="1236"/>
      <c r="H495" s="1237"/>
      <c r="I495" s="1236"/>
      <c r="J495" s="1236"/>
      <c r="K495" s="1197"/>
    </row>
    <row r="496" spans="1:12" ht="24.95" customHeight="1">
      <c r="A496" s="1184"/>
      <c r="B496" s="92" t="s">
        <v>2183</v>
      </c>
      <c r="C496" s="125" t="s">
        <v>306</v>
      </c>
      <c r="D496" s="125" t="s">
        <v>322</v>
      </c>
      <c r="E496" s="125" t="s">
        <v>307</v>
      </c>
      <c r="F496" s="193" t="s">
        <v>2184</v>
      </c>
      <c r="G496" s="125" t="s">
        <v>2185</v>
      </c>
      <c r="H496" s="193" t="s">
        <v>2186</v>
      </c>
      <c r="I496" s="125" t="s">
        <v>94</v>
      </c>
      <c r="J496" s="4">
        <v>6</v>
      </c>
      <c r="K496" s="25" t="s">
        <v>2187</v>
      </c>
      <c r="L496" s="222">
        <v>24</v>
      </c>
    </row>
    <row r="497" spans="1:12" ht="24.95" customHeight="1">
      <c r="A497" s="1184"/>
      <c r="B497" s="92" t="s">
        <v>2188</v>
      </c>
      <c r="C497" s="125" t="s">
        <v>306</v>
      </c>
      <c r="D497" s="125" t="s">
        <v>322</v>
      </c>
      <c r="E497" s="125" t="s">
        <v>307</v>
      </c>
      <c r="F497" s="193" t="s">
        <v>1683</v>
      </c>
      <c r="G497" s="125" t="s">
        <v>106</v>
      </c>
      <c r="H497" s="193" t="s">
        <v>2189</v>
      </c>
      <c r="I497" s="125" t="s">
        <v>2190</v>
      </c>
      <c r="J497" s="4">
        <v>4</v>
      </c>
      <c r="K497" s="25" t="s">
        <v>2181</v>
      </c>
      <c r="L497" s="222">
        <v>25</v>
      </c>
    </row>
    <row r="498" spans="1:12" ht="24.95" customHeight="1">
      <c r="A498" s="1184"/>
      <c r="B498" s="92" t="s">
        <v>2191</v>
      </c>
      <c r="C498" s="125" t="s">
        <v>306</v>
      </c>
      <c r="D498" s="125" t="s">
        <v>322</v>
      </c>
      <c r="E498" s="125" t="s">
        <v>307</v>
      </c>
      <c r="F498" s="193" t="s">
        <v>2192</v>
      </c>
      <c r="G498" s="125" t="s">
        <v>2193</v>
      </c>
      <c r="H498" s="193" t="s">
        <v>2194</v>
      </c>
      <c r="I498" s="125" t="s">
        <v>94</v>
      </c>
      <c r="J498" s="4">
        <v>2</v>
      </c>
      <c r="K498" s="25" t="s">
        <v>50</v>
      </c>
      <c r="L498" s="222">
        <v>26</v>
      </c>
    </row>
    <row r="499" spans="1:12" ht="24.95" customHeight="1">
      <c r="A499" s="1184"/>
      <c r="B499" s="92">
        <v>45472</v>
      </c>
      <c r="C499" s="125" t="s">
        <v>306</v>
      </c>
      <c r="D499" s="125" t="s">
        <v>322</v>
      </c>
      <c r="E499" s="125" t="s">
        <v>307</v>
      </c>
      <c r="F499" s="193">
        <v>3306</v>
      </c>
      <c r="G499" s="125" t="s">
        <v>2195</v>
      </c>
      <c r="H499" s="193" t="s">
        <v>2196</v>
      </c>
      <c r="I499" s="125" t="s">
        <v>94</v>
      </c>
      <c r="J499" s="4">
        <v>4</v>
      </c>
      <c r="K499" s="25" t="s">
        <v>50</v>
      </c>
      <c r="L499" s="222">
        <v>26</v>
      </c>
    </row>
    <row r="500" spans="1:12">
      <c r="A500" s="1136" t="s">
        <v>53</v>
      </c>
      <c r="B500" s="1136"/>
      <c r="C500" s="1136"/>
      <c r="D500" s="1136"/>
      <c r="E500" s="1136"/>
      <c r="F500" s="1136"/>
      <c r="G500" s="1136"/>
      <c r="H500" s="1136"/>
      <c r="I500" s="1136"/>
      <c r="J500" s="25">
        <v>20</v>
      </c>
      <c r="K500" s="26"/>
    </row>
    <row r="503" spans="1:12">
      <c r="A503" t="s">
        <v>2197</v>
      </c>
    </row>
    <row r="505" spans="1:12" ht="27">
      <c r="A505" s="19" t="s">
        <v>2176</v>
      </c>
      <c r="B505" s="19" t="s">
        <v>2198</v>
      </c>
      <c r="C505" s="20" t="s">
        <v>2</v>
      </c>
      <c r="D505" s="20" t="s">
        <v>3</v>
      </c>
      <c r="E505" s="20" t="s">
        <v>4</v>
      </c>
      <c r="F505" s="20" t="s">
        <v>5</v>
      </c>
      <c r="G505" s="20" t="s">
        <v>6</v>
      </c>
      <c r="H505" s="21" t="s">
        <v>2179</v>
      </c>
      <c r="I505" s="20" t="s">
        <v>8</v>
      </c>
      <c r="J505" s="22" t="s">
        <v>2199</v>
      </c>
      <c r="K505" s="23" t="s">
        <v>47</v>
      </c>
    </row>
    <row r="506" spans="1:12" ht="27">
      <c r="A506" s="953" t="s">
        <v>2200</v>
      </c>
      <c r="B506" s="92">
        <v>45439</v>
      </c>
      <c r="C506" s="3" t="s">
        <v>2201</v>
      </c>
      <c r="D506" s="4" t="s">
        <v>2202</v>
      </c>
      <c r="E506" s="4" t="s">
        <v>225</v>
      </c>
      <c r="F506" s="4" t="s">
        <v>2203</v>
      </c>
      <c r="G506" s="3" t="s">
        <v>264</v>
      </c>
      <c r="H506" s="9" t="s">
        <v>2204</v>
      </c>
      <c r="I506" s="13"/>
      <c r="J506" s="4">
        <v>2</v>
      </c>
      <c r="K506" s="25" t="s">
        <v>50</v>
      </c>
      <c r="L506" s="222">
        <v>22</v>
      </c>
    </row>
    <row r="507" spans="1:12" ht="27">
      <c r="A507" s="953"/>
      <c r="B507" s="15">
        <v>45442</v>
      </c>
      <c r="C507" s="3" t="s">
        <v>2205</v>
      </c>
      <c r="D507" s="4" t="s">
        <v>70</v>
      </c>
      <c r="E507" s="3" t="s">
        <v>2206</v>
      </c>
      <c r="F507" s="3" t="s">
        <v>2207</v>
      </c>
      <c r="G507" s="3" t="s">
        <v>2208</v>
      </c>
      <c r="H507" s="9" t="s">
        <v>2209</v>
      </c>
      <c r="I507" s="13" t="s">
        <v>90</v>
      </c>
      <c r="J507" s="4">
        <v>1</v>
      </c>
      <c r="K507" s="25" t="s">
        <v>50</v>
      </c>
      <c r="L507" s="222">
        <v>22</v>
      </c>
    </row>
    <row r="508" spans="1:12" ht="27">
      <c r="A508" s="953"/>
      <c r="B508" s="15">
        <v>45458</v>
      </c>
      <c r="C508" s="3" t="s">
        <v>96</v>
      </c>
      <c r="D508" s="4" t="s">
        <v>70</v>
      </c>
      <c r="E508" s="3" t="s">
        <v>107</v>
      </c>
      <c r="F508" s="3" t="s">
        <v>108</v>
      </c>
      <c r="G508" s="3" t="s">
        <v>2210</v>
      </c>
      <c r="H508" s="9" t="s">
        <v>2211</v>
      </c>
      <c r="I508" s="13" t="s">
        <v>90</v>
      </c>
      <c r="J508" s="4">
        <v>1</v>
      </c>
      <c r="K508" s="25" t="s">
        <v>50</v>
      </c>
      <c r="L508" s="222">
        <v>24</v>
      </c>
    </row>
    <row r="509" spans="1:12" ht="40.5">
      <c r="A509" s="953"/>
      <c r="B509" s="15">
        <v>45457</v>
      </c>
      <c r="C509" s="3" t="s">
        <v>96</v>
      </c>
      <c r="D509" s="4" t="s">
        <v>2212</v>
      </c>
      <c r="E509" s="3" t="s">
        <v>2206</v>
      </c>
      <c r="F509" s="3" t="s">
        <v>942</v>
      </c>
      <c r="G509" s="3" t="s">
        <v>102</v>
      </c>
      <c r="H509" s="9" t="s">
        <v>2213</v>
      </c>
      <c r="I509" s="13" t="s">
        <v>90</v>
      </c>
      <c r="J509" s="4">
        <v>1</v>
      </c>
      <c r="K509" s="25" t="s">
        <v>2181</v>
      </c>
      <c r="L509" s="222">
        <v>24</v>
      </c>
    </row>
    <row r="510" spans="1:12" ht="27">
      <c r="A510" s="953"/>
      <c r="B510" s="92">
        <v>45469</v>
      </c>
      <c r="C510" s="3" t="s">
        <v>2201</v>
      </c>
      <c r="D510" s="4" t="s">
        <v>70</v>
      </c>
      <c r="E510" s="3" t="s">
        <v>2214</v>
      </c>
      <c r="F510" s="3" t="s">
        <v>2203</v>
      </c>
      <c r="G510" s="3" t="s">
        <v>2215</v>
      </c>
      <c r="H510" s="9" t="s">
        <v>2216</v>
      </c>
      <c r="I510" s="13" t="s">
        <v>90</v>
      </c>
      <c r="J510" s="9">
        <v>1</v>
      </c>
      <c r="K510" s="25" t="s">
        <v>50</v>
      </c>
      <c r="L510" s="222">
        <v>26</v>
      </c>
    </row>
    <row r="511" spans="1:12">
      <c r="A511" s="1136" t="s">
        <v>2217</v>
      </c>
      <c r="B511" s="1136"/>
      <c r="C511" s="1136"/>
      <c r="D511" s="1136"/>
      <c r="E511" s="1136"/>
      <c r="F511" s="1136"/>
      <c r="G511" s="1136"/>
      <c r="H511" s="1136"/>
      <c r="I511" s="1136"/>
      <c r="J511" s="25">
        <v>6</v>
      </c>
      <c r="K511" s="26"/>
    </row>
    <row r="514" spans="1:12">
      <c r="A514" s="19" t="s">
        <v>2218</v>
      </c>
      <c r="B514" s="19" t="s">
        <v>2219</v>
      </c>
      <c r="C514" s="20" t="s">
        <v>2</v>
      </c>
      <c r="D514" s="20" t="s">
        <v>3</v>
      </c>
      <c r="E514" s="20" t="s">
        <v>2220</v>
      </c>
      <c r="F514" s="20" t="s">
        <v>5</v>
      </c>
      <c r="G514" s="20" t="s">
        <v>6</v>
      </c>
      <c r="H514" s="21" t="s">
        <v>2221</v>
      </c>
      <c r="I514" s="20" t="s">
        <v>2222</v>
      </c>
      <c r="J514" s="22" t="s">
        <v>2180</v>
      </c>
      <c r="K514" s="23" t="s">
        <v>2223</v>
      </c>
    </row>
    <row r="515" spans="1:12">
      <c r="A515" s="953" t="s">
        <v>2224</v>
      </c>
      <c r="B515" s="15">
        <v>45443</v>
      </c>
      <c r="C515" s="3" t="s">
        <v>2225</v>
      </c>
      <c r="D515" s="4" t="s">
        <v>2226</v>
      </c>
      <c r="E515" s="3" t="s">
        <v>2227</v>
      </c>
      <c r="F515" s="3">
        <v>3307</v>
      </c>
      <c r="G515" s="3" t="s">
        <v>2195</v>
      </c>
      <c r="H515" s="9" t="s">
        <v>2228</v>
      </c>
      <c r="I515" s="13" t="s">
        <v>2229</v>
      </c>
      <c r="J515" s="4">
        <v>2</v>
      </c>
      <c r="K515" s="25" t="s">
        <v>2230</v>
      </c>
    </row>
    <row r="516" spans="1:12">
      <c r="A516" s="953"/>
      <c r="B516" s="15">
        <v>45444</v>
      </c>
      <c r="C516" s="3" t="s">
        <v>2225</v>
      </c>
      <c r="D516" s="4" t="s">
        <v>2226</v>
      </c>
      <c r="E516" s="3" t="s">
        <v>2227</v>
      </c>
      <c r="F516" s="3">
        <v>3307</v>
      </c>
      <c r="G516" s="3" t="s">
        <v>2195</v>
      </c>
      <c r="H516" s="9" t="s">
        <v>2228</v>
      </c>
      <c r="I516" s="13" t="s">
        <v>2229</v>
      </c>
      <c r="J516" s="4">
        <v>2</v>
      </c>
      <c r="K516" s="25" t="s">
        <v>2230</v>
      </c>
    </row>
    <row r="517" spans="1:12">
      <c r="A517" s="953"/>
      <c r="B517" s="15">
        <v>45446</v>
      </c>
      <c r="C517" s="3" t="s">
        <v>2225</v>
      </c>
      <c r="D517" s="4" t="s">
        <v>2226</v>
      </c>
      <c r="E517" s="3" t="s">
        <v>2227</v>
      </c>
      <c r="F517" s="3">
        <v>3307</v>
      </c>
      <c r="G517" s="3" t="s">
        <v>2195</v>
      </c>
      <c r="H517" s="9" t="s">
        <v>2228</v>
      </c>
      <c r="I517" s="13" t="s">
        <v>2229</v>
      </c>
      <c r="J517" s="4">
        <v>1</v>
      </c>
      <c r="K517" s="25" t="s">
        <v>2230</v>
      </c>
    </row>
    <row r="518" spans="1:12">
      <c r="A518" s="953"/>
      <c r="B518" s="15">
        <v>45453</v>
      </c>
      <c r="C518" s="3" t="s">
        <v>2225</v>
      </c>
      <c r="D518" s="4" t="s">
        <v>2226</v>
      </c>
      <c r="E518" s="3" t="s">
        <v>2227</v>
      </c>
      <c r="F518" s="3">
        <v>3307</v>
      </c>
      <c r="G518" s="3" t="s">
        <v>2195</v>
      </c>
      <c r="H518" s="9" t="s">
        <v>2231</v>
      </c>
      <c r="I518" s="13" t="s">
        <v>2229</v>
      </c>
      <c r="J518" s="4">
        <v>2</v>
      </c>
      <c r="K518" s="25" t="s">
        <v>2230</v>
      </c>
    </row>
    <row r="519" spans="1:12">
      <c r="A519" s="953"/>
      <c r="B519" s="15">
        <v>45454</v>
      </c>
      <c r="C519" s="3" t="s">
        <v>2225</v>
      </c>
      <c r="D519" s="4" t="s">
        <v>2226</v>
      </c>
      <c r="E519" s="3" t="s">
        <v>2227</v>
      </c>
      <c r="F519" s="3">
        <v>3307</v>
      </c>
      <c r="G519" s="3" t="s">
        <v>2195</v>
      </c>
      <c r="H519" s="9" t="s">
        <v>2231</v>
      </c>
      <c r="I519" s="13" t="s">
        <v>2229</v>
      </c>
      <c r="J519" s="4">
        <v>2</v>
      </c>
      <c r="K519" s="25" t="s">
        <v>2230</v>
      </c>
    </row>
    <row r="520" spans="1:12">
      <c r="A520" s="953"/>
      <c r="B520" s="15">
        <v>45455</v>
      </c>
      <c r="C520" s="3" t="s">
        <v>2225</v>
      </c>
      <c r="D520" s="4" t="s">
        <v>2226</v>
      </c>
      <c r="E520" s="3" t="s">
        <v>2227</v>
      </c>
      <c r="F520" s="3">
        <v>3307</v>
      </c>
      <c r="G520" s="3" t="s">
        <v>2195</v>
      </c>
      <c r="H520" s="9" t="s">
        <v>2231</v>
      </c>
      <c r="I520" s="13" t="s">
        <v>2229</v>
      </c>
      <c r="J520" s="4">
        <v>1</v>
      </c>
      <c r="K520" s="25" t="s">
        <v>2230</v>
      </c>
    </row>
    <row r="521" spans="1:12">
      <c r="A521" s="953"/>
      <c r="B521" s="15">
        <v>45468</v>
      </c>
      <c r="C521" s="3" t="s">
        <v>2225</v>
      </c>
      <c r="D521" s="4" t="s">
        <v>2226</v>
      </c>
      <c r="E521" s="3" t="s">
        <v>2227</v>
      </c>
      <c r="F521" s="3">
        <v>3307</v>
      </c>
      <c r="G521" s="3" t="s">
        <v>2195</v>
      </c>
      <c r="H521" s="9" t="s">
        <v>2232</v>
      </c>
      <c r="I521" s="13" t="s">
        <v>2229</v>
      </c>
      <c r="J521" s="4">
        <v>2</v>
      </c>
      <c r="K521" s="25" t="s">
        <v>2230</v>
      </c>
    </row>
    <row r="522" spans="1:12">
      <c r="A522" s="953" t="s">
        <v>2233</v>
      </c>
      <c r="B522" s="953"/>
      <c r="C522" s="953"/>
      <c r="D522" s="953"/>
      <c r="E522" s="953"/>
      <c r="F522" s="953"/>
      <c r="G522" s="953"/>
      <c r="H522" s="953"/>
      <c r="I522" s="953"/>
      <c r="J522" s="25">
        <v>12</v>
      </c>
      <c r="K522" s="25"/>
    </row>
    <row r="526" spans="1:12" ht="27">
      <c r="A526" s="19" t="s">
        <v>2218</v>
      </c>
      <c r="B526" s="19" t="s">
        <v>2219</v>
      </c>
      <c r="C526" s="20" t="s">
        <v>2</v>
      </c>
      <c r="D526" s="20" t="s">
        <v>3</v>
      </c>
      <c r="E526" s="20" t="s">
        <v>4</v>
      </c>
      <c r="F526" s="20" t="s">
        <v>5</v>
      </c>
      <c r="G526" s="20" t="s">
        <v>6</v>
      </c>
      <c r="H526" s="21" t="s">
        <v>2221</v>
      </c>
      <c r="I526" s="20" t="s">
        <v>2222</v>
      </c>
      <c r="J526" s="22" t="s">
        <v>2180</v>
      </c>
      <c r="K526" s="23" t="s">
        <v>2223</v>
      </c>
      <c r="L526" s="23" t="s">
        <v>2234</v>
      </c>
    </row>
    <row r="527" spans="1:12" ht="27">
      <c r="A527" s="193" t="s">
        <v>2235</v>
      </c>
      <c r="B527" s="54">
        <v>45447</v>
      </c>
      <c r="C527" s="110" t="s">
        <v>311</v>
      </c>
      <c r="D527" s="148" t="s">
        <v>320</v>
      </c>
      <c r="E527" s="110" t="s">
        <v>2236</v>
      </c>
      <c r="F527" s="110" t="s">
        <v>2207</v>
      </c>
      <c r="G527" s="110" t="s">
        <v>662</v>
      </c>
      <c r="H527" s="149" t="s">
        <v>674</v>
      </c>
      <c r="I527" s="148"/>
      <c r="J527" s="4">
        <v>1</v>
      </c>
      <c r="K527" s="25" t="s">
        <v>2181</v>
      </c>
      <c r="L527" s="31" t="s">
        <v>2237</v>
      </c>
    </row>
    <row r="528" spans="1:12">
      <c r="A528" s="1136" t="s">
        <v>2238</v>
      </c>
      <c r="B528" s="1136"/>
      <c r="C528" s="1136"/>
      <c r="D528" s="1136"/>
      <c r="E528" s="1136"/>
      <c r="F528" s="1136"/>
      <c r="G528" s="1136"/>
      <c r="H528" s="1136"/>
      <c r="I528" s="1136"/>
      <c r="J528" s="25">
        <v>1</v>
      </c>
      <c r="K528" s="25"/>
      <c r="L528" s="25"/>
    </row>
    <row r="531" spans="1:12" ht="27">
      <c r="A531" s="19" t="s">
        <v>2218</v>
      </c>
      <c r="B531" s="19" t="s">
        <v>2219</v>
      </c>
      <c r="C531" s="20" t="s">
        <v>2</v>
      </c>
      <c r="D531" s="20" t="s">
        <v>3</v>
      </c>
      <c r="E531" s="20" t="s">
        <v>4</v>
      </c>
      <c r="F531" s="20" t="s">
        <v>5</v>
      </c>
      <c r="G531" s="20" t="s">
        <v>6</v>
      </c>
      <c r="H531" s="21" t="s">
        <v>2221</v>
      </c>
      <c r="I531" s="20" t="s">
        <v>2222</v>
      </c>
      <c r="J531" s="22" t="s">
        <v>2180</v>
      </c>
      <c r="K531" s="23" t="s">
        <v>2223</v>
      </c>
    </row>
    <row r="532" spans="1:12">
      <c r="A532" s="953" t="s">
        <v>2239</v>
      </c>
      <c r="B532" s="92">
        <v>45439</v>
      </c>
      <c r="C532" s="245" t="s">
        <v>311</v>
      </c>
      <c r="D532" s="243" t="s">
        <v>320</v>
      </c>
      <c r="E532" s="245" t="s">
        <v>337</v>
      </c>
      <c r="F532" s="245" t="s">
        <v>353</v>
      </c>
      <c r="G532" s="245" t="s">
        <v>1936</v>
      </c>
      <c r="H532" s="275" t="s">
        <v>1937</v>
      </c>
      <c r="I532" s="243" t="s">
        <v>638</v>
      </c>
      <c r="J532" s="4">
        <v>1</v>
      </c>
      <c r="K532" s="25" t="s">
        <v>2181</v>
      </c>
      <c r="L532" s="222">
        <v>23</v>
      </c>
    </row>
    <row r="533" spans="1:12" ht="40.5">
      <c r="A533" s="953"/>
      <c r="B533" s="92">
        <v>45461</v>
      </c>
      <c r="C533" s="3" t="s">
        <v>2201</v>
      </c>
      <c r="D533" s="4" t="s">
        <v>2240</v>
      </c>
      <c r="E533" s="3" t="s">
        <v>2241</v>
      </c>
      <c r="F533" s="3" t="s">
        <v>2242</v>
      </c>
      <c r="G533" s="3" t="s">
        <v>2243</v>
      </c>
      <c r="H533" s="9" t="s">
        <v>2244</v>
      </c>
      <c r="I533" s="13" t="s">
        <v>2245</v>
      </c>
      <c r="J533" s="4">
        <v>2</v>
      </c>
      <c r="K533" s="25" t="s">
        <v>2181</v>
      </c>
      <c r="L533" s="222">
        <v>25</v>
      </c>
    </row>
    <row r="534" spans="1:12" ht="27">
      <c r="A534" s="953"/>
      <c r="B534" s="92">
        <v>45472</v>
      </c>
      <c r="C534" s="4" t="s">
        <v>2201</v>
      </c>
      <c r="D534" s="4" t="s">
        <v>2202</v>
      </c>
      <c r="E534" s="4" t="s">
        <v>2246</v>
      </c>
      <c r="F534" s="4" t="s">
        <v>2247</v>
      </c>
      <c r="G534" s="9" t="s">
        <v>2248</v>
      </c>
      <c r="H534" s="9" t="s">
        <v>2249</v>
      </c>
      <c r="I534" s="13" t="s">
        <v>2250</v>
      </c>
      <c r="J534" s="4">
        <v>1</v>
      </c>
      <c r="K534" s="25" t="s">
        <v>2181</v>
      </c>
      <c r="L534" s="222">
        <v>26</v>
      </c>
    </row>
    <row r="535" spans="1:12">
      <c r="A535" s="1136" t="s">
        <v>2233</v>
      </c>
      <c r="B535" s="1136"/>
      <c r="C535" s="1136"/>
      <c r="D535" s="1136"/>
      <c r="E535" s="1136"/>
      <c r="F535" s="1136"/>
      <c r="G535" s="1136"/>
      <c r="H535" s="1136"/>
      <c r="I535" s="1136"/>
      <c r="J535" s="25">
        <v>4</v>
      </c>
      <c r="K535" s="26"/>
    </row>
    <row r="538" spans="1:12" ht="27">
      <c r="A538" s="19" t="s">
        <v>2218</v>
      </c>
      <c r="B538" s="19" t="s">
        <v>2219</v>
      </c>
      <c r="C538" s="20" t="s">
        <v>2</v>
      </c>
      <c r="D538" s="20" t="s">
        <v>3</v>
      </c>
      <c r="E538" s="20" t="s">
        <v>4</v>
      </c>
      <c r="F538" s="20" t="s">
        <v>5</v>
      </c>
      <c r="G538" s="20" t="s">
        <v>6</v>
      </c>
      <c r="H538" s="21" t="s">
        <v>2221</v>
      </c>
      <c r="I538" s="20" t="s">
        <v>2222</v>
      </c>
      <c r="J538" s="22" t="s">
        <v>2180</v>
      </c>
      <c r="K538" s="23" t="s">
        <v>2223</v>
      </c>
      <c r="L538" s="23" t="s">
        <v>2234</v>
      </c>
    </row>
    <row r="539" spans="1:12" ht="27">
      <c r="A539" s="56" t="s">
        <v>2239</v>
      </c>
      <c r="B539" s="92">
        <v>45468</v>
      </c>
      <c r="C539" s="3" t="s">
        <v>306</v>
      </c>
      <c r="D539" s="4" t="s">
        <v>322</v>
      </c>
      <c r="E539" s="4" t="s">
        <v>307</v>
      </c>
      <c r="F539" s="4" t="s">
        <v>2251</v>
      </c>
      <c r="G539" s="4" t="s">
        <v>2252</v>
      </c>
      <c r="H539" s="9" t="s">
        <v>2253</v>
      </c>
      <c r="I539" s="13" t="s">
        <v>664</v>
      </c>
      <c r="J539" s="4">
        <v>2</v>
      </c>
      <c r="K539" s="25" t="s">
        <v>2254</v>
      </c>
      <c r="L539" s="25" t="s">
        <v>2237</v>
      </c>
    </row>
    <row r="540" spans="1:12">
      <c r="A540" s="1194" t="s">
        <v>2238</v>
      </c>
      <c r="B540" s="1195"/>
      <c r="C540" s="1195"/>
      <c r="D540" s="1195"/>
      <c r="E540" s="1195"/>
      <c r="F540" s="1195"/>
      <c r="G540" s="1195"/>
      <c r="H540" s="1195"/>
      <c r="I540" s="1196"/>
      <c r="J540" s="25">
        <v>2</v>
      </c>
      <c r="K540" s="26"/>
      <c r="L540" s="55"/>
    </row>
    <row r="543" spans="1:12" ht="27">
      <c r="A543" s="19" t="s">
        <v>2218</v>
      </c>
      <c r="B543" s="19" t="s">
        <v>2219</v>
      </c>
      <c r="C543" s="20" t="s">
        <v>2</v>
      </c>
      <c r="D543" s="20" t="s">
        <v>3</v>
      </c>
      <c r="E543" s="20" t="s">
        <v>4</v>
      </c>
      <c r="F543" s="20" t="s">
        <v>5</v>
      </c>
      <c r="G543" s="20" t="s">
        <v>6</v>
      </c>
      <c r="H543" s="21" t="s">
        <v>2221</v>
      </c>
      <c r="I543" s="20" t="s">
        <v>2222</v>
      </c>
      <c r="J543" s="22" t="s">
        <v>2180</v>
      </c>
      <c r="K543" s="23" t="s">
        <v>2223</v>
      </c>
      <c r="L543" s="23" t="s">
        <v>2234</v>
      </c>
    </row>
    <row r="544" spans="1:12" ht="27">
      <c r="A544" s="1136" t="s">
        <v>2255</v>
      </c>
      <c r="B544" s="276">
        <v>45440</v>
      </c>
      <c r="C544" s="136" t="s">
        <v>2201</v>
      </c>
      <c r="D544" s="125" t="s">
        <v>2240</v>
      </c>
      <c r="E544" s="125" t="s">
        <v>2256</v>
      </c>
      <c r="F544" s="136" t="s">
        <v>2257</v>
      </c>
      <c r="G544" s="136" t="s">
        <v>2243</v>
      </c>
      <c r="H544" s="193" t="s">
        <v>2258</v>
      </c>
      <c r="I544" s="277" t="s">
        <v>2259</v>
      </c>
      <c r="J544" s="125">
        <v>2</v>
      </c>
      <c r="K544" s="216" t="s">
        <v>2181</v>
      </c>
      <c r="L544" s="31" t="s">
        <v>2237</v>
      </c>
    </row>
    <row r="545" spans="1:12">
      <c r="A545" s="1136"/>
      <c r="B545" s="216" t="s">
        <v>1912</v>
      </c>
      <c r="C545" s="216" t="s">
        <v>311</v>
      </c>
      <c r="D545" s="125" t="s">
        <v>320</v>
      </c>
      <c r="E545" s="216" t="s">
        <v>690</v>
      </c>
      <c r="F545" s="216" t="s">
        <v>1930</v>
      </c>
      <c r="G545" s="216" t="s">
        <v>662</v>
      </c>
      <c r="H545" s="278" t="s">
        <v>2260</v>
      </c>
      <c r="I545" s="125"/>
      <c r="J545" s="125">
        <v>1</v>
      </c>
      <c r="K545" s="216" t="s">
        <v>2181</v>
      </c>
      <c r="L545" s="31" t="s">
        <v>2237</v>
      </c>
    </row>
    <row r="546" spans="1:12">
      <c r="A546" s="1188" t="s">
        <v>2233</v>
      </c>
      <c r="B546" s="1188"/>
      <c r="C546" s="1188"/>
      <c r="D546" s="1188"/>
      <c r="E546" s="1188"/>
      <c r="F546" s="1188"/>
      <c r="G546" s="1188"/>
      <c r="H546" s="1188"/>
      <c r="I546" s="1188"/>
      <c r="J546" s="25">
        <v>3</v>
      </c>
      <c r="K546" s="25"/>
      <c r="L546" s="25"/>
    </row>
    <row r="548" spans="1:12">
      <c r="A548" s="19" t="s">
        <v>2218</v>
      </c>
      <c r="B548" s="19" t="s">
        <v>2219</v>
      </c>
      <c r="C548" s="20" t="s">
        <v>2</v>
      </c>
      <c r="D548" s="20" t="s">
        <v>3</v>
      </c>
      <c r="E548" s="20" t="s">
        <v>2261</v>
      </c>
      <c r="F548" s="20" t="s">
        <v>5</v>
      </c>
      <c r="G548" s="20" t="s">
        <v>6</v>
      </c>
      <c r="H548" s="21" t="s">
        <v>2221</v>
      </c>
      <c r="I548" s="20" t="s">
        <v>2222</v>
      </c>
      <c r="J548" s="22" t="s">
        <v>2180</v>
      </c>
      <c r="K548" s="23" t="s">
        <v>2223</v>
      </c>
      <c r="L548" s="23" t="s">
        <v>2234</v>
      </c>
    </row>
    <row r="549" spans="1:12">
      <c r="A549" s="274" t="s">
        <v>2255</v>
      </c>
      <c r="B549" s="92">
        <v>45439</v>
      </c>
      <c r="C549" s="125" t="s">
        <v>306</v>
      </c>
      <c r="D549" s="125" t="s">
        <v>322</v>
      </c>
      <c r="E549" s="125" t="s">
        <v>307</v>
      </c>
      <c r="F549" s="193" t="s">
        <v>2262</v>
      </c>
      <c r="G549" s="125" t="s">
        <v>2185</v>
      </c>
      <c r="H549" s="193" t="s">
        <v>2263</v>
      </c>
      <c r="I549" s="125" t="s">
        <v>2264</v>
      </c>
      <c r="J549" s="4">
        <v>2</v>
      </c>
      <c r="K549" s="279" t="s">
        <v>2181</v>
      </c>
      <c r="L549" s="31" t="s">
        <v>2237</v>
      </c>
    </row>
    <row r="550" spans="1:12">
      <c r="A550" s="1136" t="s">
        <v>2233</v>
      </c>
      <c r="B550" s="1136"/>
      <c r="C550" s="1136"/>
      <c r="D550" s="1136"/>
      <c r="E550" s="1136"/>
      <c r="F550" s="1136"/>
      <c r="G550" s="1136"/>
      <c r="H550" s="1136"/>
      <c r="I550" s="1136"/>
      <c r="J550" s="25">
        <v>2</v>
      </c>
      <c r="K550" s="25"/>
      <c r="L550" s="25"/>
    </row>
    <row r="553" spans="1:12" ht="27">
      <c r="A553" s="280" t="s">
        <v>2218</v>
      </c>
      <c r="B553" s="280" t="s">
        <v>2265</v>
      </c>
      <c r="C553" s="281" t="s">
        <v>2</v>
      </c>
      <c r="D553" s="281" t="s">
        <v>3</v>
      </c>
      <c r="E553" s="281" t="s">
        <v>4</v>
      </c>
      <c r="F553" s="281" t="s">
        <v>5</v>
      </c>
      <c r="G553" s="281" t="s">
        <v>6</v>
      </c>
      <c r="H553" s="282" t="s">
        <v>2221</v>
      </c>
      <c r="I553" s="281" t="s">
        <v>2222</v>
      </c>
      <c r="J553" s="283" t="s">
        <v>2180</v>
      </c>
      <c r="K553" s="284" t="s">
        <v>2223</v>
      </c>
      <c r="L553" s="284" t="s">
        <v>2234</v>
      </c>
    </row>
    <row r="554" spans="1:12" ht="27">
      <c r="A554" s="1182" t="s">
        <v>2266</v>
      </c>
      <c r="B554" s="125" t="s">
        <v>2267</v>
      </c>
      <c r="C554" s="125" t="s">
        <v>306</v>
      </c>
      <c r="D554" s="125" t="s">
        <v>322</v>
      </c>
      <c r="E554" s="125" t="s">
        <v>307</v>
      </c>
      <c r="F554" s="278" t="s">
        <v>1418</v>
      </c>
      <c r="G554" s="125" t="s">
        <v>1911</v>
      </c>
      <c r="H554" s="278" t="s">
        <v>1154</v>
      </c>
      <c r="I554" s="125" t="s">
        <v>664</v>
      </c>
      <c r="J554" s="125">
        <v>2</v>
      </c>
      <c r="K554" s="216" t="s">
        <v>2181</v>
      </c>
      <c r="L554" s="216" t="s">
        <v>2237</v>
      </c>
    </row>
    <row r="555" spans="1:12" ht="27">
      <c r="A555" s="1182"/>
      <c r="B555" s="125" t="s">
        <v>2182</v>
      </c>
      <c r="C555" s="125" t="s">
        <v>306</v>
      </c>
      <c r="D555" s="125" t="s">
        <v>322</v>
      </c>
      <c r="E555" s="125" t="s">
        <v>307</v>
      </c>
      <c r="F555" s="278">
        <v>4267</v>
      </c>
      <c r="G555" s="125" t="s">
        <v>640</v>
      </c>
      <c r="H555" s="278" t="s">
        <v>1154</v>
      </c>
      <c r="I555" s="125" t="s">
        <v>664</v>
      </c>
      <c r="J555" s="125">
        <v>2</v>
      </c>
      <c r="K555" s="216" t="s">
        <v>2181</v>
      </c>
      <c r="L555" s="216" t="s">
        <v>2237</v>
      </c>
    </row>
    <row r="556" spans="1:12" ht="27">
      <c r="A556" s="1182"/>
      <c r="B556" s="285" t="s">
        <v>2268</v>
      </c>
      <c r="C556" s="125" t="s">
        <v>306</v>
      </c>
      <c r="D556" s="125" t="s">
        <v>322</v>
      </c>
      <c r="E556" s="125" t="s">
        <v>307</v>
      </c>
      <c r="F556" s="193" t="s">
        <v>2192</v>
      </c>
      <c r="G556" s="125" t="s">
        <v>2269</v>
      </c>
      <c r="H556" s="193" t="s">
        <v>2270</v>
      </c>
      <c r="I556" s="125" t="s">
        <v>220</v>
      </c>
      <c r="J556" s="125">
        <v>2</v>
      </c>
      <c r="K556" s="216" t="s">
        <v>2181</v>
      </c>
      <c r="L556" s="216" t="s">
        <v>2237</v>
      </c>
    </row>
    <row r="557" spans="1:12" ht="27">
      <c r="A557" s="1182"/>
      <c r="B557" s="285" t="s">
        <v>2271</v>
      </c>
      <c r="C557" s="125" t="s">
        <v>306</v>
      </c>
      <c r="D557" s="125" t="s">
        <v>322</v>
      </c>
      <c r="E557" s="125" t="s">
        <v>307</v>
      </c>
      <c r="F557" s="193">
        <v>4267</v>
      </c>
      <c r="G557" s="125" t="s">
        <v>2272</v>
      </c>
      <c r="H557" s="193" t="s">
        <v>2270</v>
      </c>
      <c r="I557" s="125" t="s">
        <v>2264</v>
      </c>
      <c r="J557" s="125">
        <v>2</v>
      </c>
      <c r="K557" s="216" t="s">
        <v>2181</v>
      </c>
      <c r="L557" s="216" t="s">
        <v>2237</v>
      </c>
    </row>
    <row r="558" spans="1:12">
      <c r="A558" s="1182"/>
      <c r="B558" s="285" t="s">
        <v>2273</v>
      </c>
      <c r="C558" s="125" t="s">
        <v>306</v>
      </c>
      <c r="D558" s="125" t="s">
        <v>322</v>
      </c>
      <c r="E558" s="125" t="s">
        <v>307</v>
      </c>
      <c r="F558" s="193">
        <v>3306</v>
      </c>
      <c r="G558" s="125" t="s">
        <v>2195</v>
      </c>
      <c r="H558" s="193" t="s">
        <v>2274</v>
      </c>
      <c r="I558" s="125" t="s">
        <v>2264</v>
      </c>
      <c r="J558" s="125">
        <v>1</v>
      </c>
      <c r="K558" s="216" t="s">
        <v>2181</v>
      </c>
      <c r="L558" s="216" t="s">
        <v>2237</v>
      </c>
    </row>
    <row r="559" spans="1:12">
      <c r="A559" s="1182"/>
      <c r="B559" s="285" t="s">
        <v>2275</v>
      </c>
      <c r="C559" s="125" t="s">
        <v>306</v>
      </c>
      <c r="D559" s="125" t="s">
        <v>322</v>
      </c>
      <c r="E559" s="125" t="s">
        <v>307</v>
      </c>
      <c r="F559" s="193" t="s">
        <v>2192</v>
      </c>
      <c r="G559" s="125" t="s">
        <v>2269</v>
      </c>
      <c r="H559" s="193" t="s">
        <v>2276</v>
      </c>
      <c r="I559" s="125" t="s">
        <v>2264</v>
      </c>
      <c r="J559" s="125">
        <v>1</v>
      </c>
      <c r="K559" s="216" t="s">
        <v>2181</v>
      </c>
      <c r="L559" s="216" t="s">
        <v>2237</v>
      </c>
    </row>
    <row r="560" spans="1:12" ht="27">
      <c r="A560" s="1182"/>
      <c r="B560" s="285" t="s">
        <v>2277</v>
      </c>
      <c r="C560" s="125" t="s">
        <v>306</v>
      </c>
      <c r="D560" s="125" t="s">
        <v>322</v>
      </c>
      <c r="E560" s="125" t="s">
        <v>307</v>
      </c>
      <c r="F560" s="193">
        <v>3306</v>
      </c>
      <c r="G560" s="125" t="s">
        <v>2195</v>
      </c>
      <c r="H560" s="193" t="s">
        <v>2278</v>
      </c>
      <c r="I560" s="125" t="s">
        <v>2264</v>
      </c>
      <c r="J560" s="125">
        <v>2</v>
      </c>
      <c r="K560" s="216" t="s">
        <v>2181</v>
      </c>
      <c r="L560" s="216" t="s">
        <v>2237</v>
      </c>
    </row>
    <row r="561" spans="1:12" ht="27">
      <c r="A561" s="1182"/>
      <c r="B561" s="285" t="s">
        <v>2279</v>
      </c>
      <c r="C561" s="125" t="s">
        <v>306</v>
      </c>
      <c r="D561" s="125" t="s">
        <v>322</v>
      </c>
      <c r="E561" s="125" t="s">
        <v>307</v>
      </c>
      <c r="F561" s="193" t="s">
        <v>2280</v>
      </c>
      <c r="G561" s="125" t="s">
        <v>2281</v>
      </c>
      <c r="H561" s="193" t="s">
        <v>2282</v>
      </c>
      <c r="I561" s="125" t="s">
        <v>2264</v>
      </c>
      <c r="J561" s="125">
        <v>2</v>
      </c>
      <c r="K561" s="216" t="s">
        <v>2181</v>
      </c>
      <c r="L561" s="216" t="s">
        <v>2237</v>
      </c>
    </row>
    <row r="562" spans="1:12" ht="27">
      <c r="A562" s="1182"/>
      <c r="B562" s="285" t="s">
        <v>2283</v>
      </c>
      <c r="C562" s="125" t="s">
        <v>306</v>
      </c>
      <c r="D562" s="125" t="s">
        <v>322</v>
      </c>
      <c r="E562" s="125" t="s">
        <v>307</v>
      </c>
      <c r="F562" s="193" t="s">
        <v>2284</v>
      </c>
      <c r="G562" s="125" t="s">
        <v>2285</v>
      </c>
      <c r="H562" s="193" t="s">
        <v>2286</v>
      </c>
      <c r="I562" s="125" t="s">
        <v>2264</v>
      </c>
      <c r="J562" s="125">
        <v>2</v>
      </c>
      <c r="K562" s="216" t="s">
        <v>2181</v>
      </c>
      <c r="L562" s="216" t="s">
        <v>2237</v>
      </c>
    </row>
    <row r="563" spans="1:12">
      <c r="A563" s="1182"/>
      <c r="B563" s="285">
        <v>45469</v>
      </c>
      <c r="C563" s="125" t="s">
        <v>306</v>
      </c>
      <c r="D563" s="125" t="s">
        <v>322</v>
      </c>
      <c r="E563" s="125" t="s">
        <v>307</v>
      </c>
      <c r="F563" s="193">
        <v>4267</v>
      </c>
      <c r="G563" s="125" t="s">
        <v>2272</v>
      </c>
      <c r="H563" s="193" t="s">
        <v>2287</v>
      </c>
      <c r="I563" s="125" t="s">
        <v>2264</v>
      </c>
      <c r="J563" s="125">
        <v>1</v>
      </c>
      <c r="K563" s="216" t="s">
        <v>2181</v>
      </c>
      <c r="L563" s="216" t="s">
        <v>2237</v>
      </c>
    </row>
    <row r="564" spans="1:12" ht="27">
      <c r="A564" s="1182"/>
      <c r="B564" s="285" t="s">
        <v>2288</v>
      </c>
      <c r="C564" s="125" t="s">
        <v>306</v>
      </c>
      <c r="D564" s="125" t="s">
        <v>322</v>
      </c>
      <c r="E564" s="125" t="s">
        <v>307</v>
      </c>
      <c r="F564" s="193" t="s">
        <v>2289</v>
      </c>
      <c r="G564" s="125" t="s">
        <v>2290</v>
      </c>
      <c r="H564" s="193" t="s">
        <v>2282</v>
      </c>
      <c r="I564" s="125" t="s">
        <v>2264</v>
      </c>
      <c r="J564" s="125">
        <v>2</v>
      </c>
      <c r="K564" s="216" t="s">
        <v>2181</v>
      </c>
      <c r="L564" s="216" t="s">
        <v>2237</v>
      </c>
    </row>
    <row r="565" spans="1:12">
      <c r="A565" s="1136" t="s">
        <v>2233</v>
      </c>
      <c r="B565" s="1136"/>
      <c r="C565" s="1136"/>
      <c r="D565" s="1136"/>
      <c r="E565" s="1136"/>
      <c r="F565" s="1136"/>
      <c r="G565" s="1136"/>
      <c r="H565" s="1136"/>
      <c r="I565" s="1136"/>
      <c r="J565" s="31">
        <v>19</v>
      </c>
      <c r="K565" s="57"/>
      <c r="L565" s="374"/>
    </row>
    <row r="568" spans="1:12" ht="27">
      <c r="A568" s="280" t="s">
        <v>2218</v>
      </c>
      <c r="B568" s="280" t="s">
        <v>2265</v>
      </c>
      <c r="C568" s="281" t="s">
        <v>2</v>
      </c>
      <c r="D568" s="281" t="s">
        <v>3</v>
      </c>
      <c r="E568" s="281" t="s">
        <v>4</v>
      </c>
      <c r="F568" s="281" t="s">
        <v>5</v>
      </c>
      <c r="G568" s="281" t="s">
        <v>6</v>
      </c>
      <c r="H568" s="282" t="s">
        <v>2221</v>
      </c>
      <c r="I568" s="281" t="s">
        <v>2222</v>
      </c>
      <c r="J568" s="283" t="s">
        <v>2180</v>
      </c>
      <c r="K568" s="284" t="s">
        <v>2223</v>
      </c>
    </row>
    <row r="569" spans="1:12">
      <c r="B569" s="243" t="s">
        <v>1906</v>
      </c>
      <c r="C569" s="984" t="s">
        <v>306</v>
      </c>
      <c r="D569" s="984" t="s">
        <v>322</v>
      </c>
      <c r="E569" s="984" t="s">
        <v>307</v>
      </c>
      <c r="F569" s="984">
        <v>3306</v>
      </c>
      <c r="G569" s="984" t="s">
        <v>1153</v>
      </c>
      <c r="H569" s="984" t="s">
        <v>1907</v>
      </c>
      <c r="I569" s="984" t="s">
        <v>1111</v>
      </c>
      <c r="J569" s="984" t="s">
        <v>692</v>
      </c>
      <c r="K569" s="1186" t="s">
        <v>2291</v>
      </c>
    </row>
    <row r="570" spans="1:12">
      <c r="B570" s="243" t="s">
        <v>1909</v>
      </c>
      <c r="C570" s="985"/>
      <c r="D570" s="985"/>
      <c r="E570" s="985"/>
      <c r="F570" s="985"/>
      <c r="G570" s="985"/>
      <c r="H570" s="985"/>
      <c r="I570" s="985"/>
      <c r="J570" s="985"/>
      <c r="K570" s="1187"/>
    </row>
    <row r="572" spans="1:12">
      <c r="A572" t="s">
        <v>2468</v>
      </c>
    </row>
    <row r="574" spans="1:12">
      <c r="A574" s="19" t="s">
        <v>2355</v>
      </c>
      <c r="B574" s="19" t="s">
        <v>2356</v>
      </c>
      <c r="C574" s="20" t="s">
        <v>2</v>
      </c>
      <c r="D574" s="20" t="s">
        <v>3</v>
      </c>
      <c r="E574" s="20" t="s">
        <v>2357</v>
      </c>
      <c r="F574" s="20" t="s">
        <v>5</v>
      </c>
      <c r="G574" s="20" t="s">
        <v>6</v>
      </c>
      <c r="H574" s="21" t="s">
        <v>2358</v>
      </c>
      <c r="I574" s="20" t="s">
        <v>8</v>
      </c>
      <c r="J574" s="22" t="s">
        <v>2359</v>
      </c>
      <c r="K574" s="23" t="s">
        <v>2360</v>
      </c>
    </row>
    <row r="575" spans="1:12" ht="27">
      <c r="A575" s="1183" t="s">
        <v>2361</v>
      </c>
      <c r="B575" s="92" t="s">
        <v>2362</v>
      </c>
      <c r="C575" s="125" t="s">
        <v>306</v>
      </c>
      <c r="D575" s="125" t="s">
        <v>322</v>
      </c>
      <c r="E575" s="125" t="s">
        <v>307</v>
      </c>
      <c r="F575" s="193">
        <v>3306</v>
      </c>
      <c r="G575" s="125" t="s">
        <v>2363</v>
      </c>
      <c r="H575" s="193" t="s">
        <v>2364</v>
      </c>
      <c r="I575" s="125" t="s">
        <v>2365</v>
      </c>
      <c r="J575" s="4">
        <v>4</v>
      </c>
      <c r="K575" s="25" t="s">
        <v>631</v>
      </c>
      <c r="L575" s="222">
        <v>27</v>
      </c>
    </row>
    <row r="576" spans="1:12">
      <c r="A576" s="1184"/>
      <c r="B576" s="92">
        <v>45479</v>
      </c>
      <c r="C576" s="125" t="s">
        <v>306</v>
      </c>
      <c r="D576" s="125" t="s">
        <v>322</v>
      </c>
      <c r="E576" s="125" t="s">
        <v>307</v>
      </c>
      <c r="F576" s="193">
        <v>4267</v>
      </c>
      <c r="G576" s="125" t="s">
        <v>18</v>
      </c>
      <c r="H576" s="193" t="s">
        <v>2366</v>
      </c>
      <c r="I576" s="125" t="s">
        <v>2367</v>
      </c>
      <c r="J576" s="4">
        <v>2</v>
      </c>
      <c r="K576" s="25" t="s">
        <v>2368</v>
      </c>
      <c r="L576" s="222">
        <v>27</v>
      </c>
    </row>
    <row r="577" spans="1:12" ht="27">
      <c r="A577" s="1184"/>
      <c r="B577" s="92" t="s">
        <v>2369</v>
      </c>
      <c r="C577" s="125" t="s">
        <v>306</v>
      </c>
      <c r="D577" s="125" t="s">
        <v>322</v>
      </c>
      <c r="E577" s="125" t="s">
        <v>307</v>
      </c>
      <c r="F577" s="193">
        <v>3306</v>
      </c>
      <c r="G577" s="125" t="s">
        <v>2363</v>
      </c>
      <c r="H577" s="193" t="s">
        <v>2370</v>
      </c>
      <c r="I577" s="125" t="s">
        <v>292</v>
      </c>
      <c r="J577" s="4">
        <v>6</v>
      </c>
      <c r="K577" s="25" t="s">
        <v>631</v>
      </c>
      <c r="L577" s="222">
        <v>28</v>
      </c>
    </row>
    <row r="578" spans="1:12">
      <c r="A578" s="1184"/>
      <c r="B578" s="122" t="s">
        <v>2122</v>
      </c>
      <c r="C578" s="202" t="s">
        <v>306</v>
      </c>
      <c r="D578" s="202" t="s">
        <v>322</v>
      </c>
      <c r="E578" s="202" t="s">
        <v>307</v>
      </c>
      <c r="F578" s="193">
        <v>4267</v>
      </c>
      <c r="G578" s="125" t="s">
        <v>2371</v>
      </c>
      <c r="H578" s="203" t="s">
        <v>2372</v>
      </c>
      <c r="I578" s="125" t="s">
        <v>2373</v>
      </c>
      <c r="J578" s="4">
        <v>2</v>
      </c>
      <c r="K578" s="25" t="s">
        <v>2374</v>
      </c>
      <c r="L578" s="222">
        <v>29</v>
      </c>
    </row>
    <row r="579" spans="1:12">
      <c r="A579" s="1184"/>
      <c r="B579" s="122" t="s">
        <v>2122</v>
      </c>
      <c r="C579" s="202" t="s">
        <v>306</v>
      </c>
      <c r="D579" s="202" t="s">
        <v>322</v>
      </c>
      <c r="E579" s="202" t="s">
        <v>307</v>
      </c>
      <c r="F579" s="193">
        <v>3306</v>
      </c>
      <c r="G579" s="125" t="s">
        <v>2363</v>
      </c>
      <c r="H579" s="203" t="s">
        <v>2124</v>
      </c>
      <c r="I579" s="125" t="s">
        <v>292</v>
      </c>
      <c r="J579" s="4">
        <v>2</v>
      </c>
      <c r="K579" s="25" t="s">
        <v>2374</v>
      </c>
      <c r="L579" s="222">
        <v>29</v>
      </c>
    </row>
    <row r="580" spans="1:12" ht="27">
      <c r="A580" s="1184"/>
      <c r="B580" s="92" t="s">
        <v>2140</v>
      </c>
      <c r="C580" s="125" t="s">
        <v>306</v>
      </c>
      <c r="D580" s="125" t="s">
        <v>322</v>
      </c>
      <c r="E580" s="125" t="s">
        <v>307</v>
      </c>
      <c r="F580" s="193" t="s">
        <v>2375</v>
      </c>
      <c r="G580" s="125" t="s">
        <v>2376</v>
      </c>
      <c r="H580" s="203" t="s">
        <v>2377</v>
      </c>
      <c r="I580" s="202" t="s">
        <v>292</v>
      </c>
      <c r="J580" s="4">
        <v>6</v>
      </c>
      <c r="K580" s="25" t="s">
        <v>631</v>
      </c>
      <c r="L580" s="222">
        <v>30</v>
      </c>
    </row>
    <row r="581" spans="1:12">
      <c r="A581" s="1184"/>
      <c r="B581" s="92" t="s">
        <v>2378</v>
      </c>
      <c r="C581" s="125" t="s">
        <v>306</v>
      </c>
      <c r="D581" s="125" t="s">
        <v>322</v>
      </c>
      <c r="E581" s="125" t="s">
        <v>307</v>
      </c>
      <c r="F581" s="193" t="s">
        <v>2379</v>
      </c>
      <c r="G581" s="125" t="s">
        <v>2380</v>
      </c>
      <c r="H581" s="193" t="s">
        <v>2173</v>
      </c>
      <c r="I581" s="125" t="s">
        <v>2381</v>
      </c>
      <c r="J581" s="4">
        <v>2</v>
      </c>
      <c r="K581" s="25" t="s">
        <v>631</v>
      </c>
      <c r="L581" s="222">
        <v>31</v>
      </c>
    </row>
    <row r="582" spans="1:12">
      <c r="A582" s="1136" t="s">
        <v>1458</v>
      </c>
      <c r="B582" s="1136"/>
      <c r="C582" s="1136"/>
      <c r="D582" s="1136"/>
      <c r="E582" s="1136"/>
      <c r="F582" s="1136"/>
      <c r="G582" s="1136"/>
      <c r="H582" s="1136"/>
      <c r="I582" s="1136"/>
      <c r="J582" s="25">
        <v>24</v>
      </c>
      <c r="K582" s="26"/>
    </row>
    <row r="585" spans="1:12" ht="27">
      <c r="A585" s="19" t="s">
        <v>2355</v>
      </c>
      <c r="B585" s="19" t="s">
        <v>2382</v>
      </c>
      <c r="C585" s="20" t="s">
        <v>2</v>
      </c>
      <c r="D585" s="20" t="s">
        <v>3</v>
      </c>
      <c r="E585" s="20" t="s">
        <v>4</v>
      </c>
      <c r="F585" s="20" t="s">
        <v>5</v>
      </c>
      <c r="G585" s="20" t="s">
        <v>6</v>
      </c>
      <c r="H585" s="21" t="s">
        <v>45</v>
      </c>
      <c r="I585" s="20" t="s">
        <v>8</v>
      </c>
      <c r="J585" s="22" t="s">
        <v>2359</v>
      </c>
      <c r="K585" s="23" t="s">
        <v>47</v>
      </c>
    </row>
    <row r="586" spans="1:12" ht="27">
      <c r="A586" s="953" t="s">
        <v>1007</v>
      </c>
      <c r="B586" s="92">
        <v>45456</v>
      </c>
      <c r="C586" s="3" t="s">
        <v>2383</v>
      </c>
      <c r="D586" s="4" t="s">
        <v>2384</v>
      </c>
      <c r="E586" s="3" t="s">
        <v>2385</v>
      </c>
      <c r="F586" s="3" t="s">
        <v>2386</v>
      </c>
      <c r="G586" s="3" t="s">
        <v>2387</v>
      </c>
      <c r="H586" s="5" t="s">
        <v>1904</v>
      </c>
      <c r="I586" s="13" t="s">
        <v>2388</v>
      </c>
      <c r="J586" s="4">
        <v>1</v>
      </c>
      <c r="K586" s="25" t="s">
        <v>2368</v>
      </c>
      <c r="L586" s="222">
        <v>24</v>
      </c>
    </row>
    <row r="587" spans="1:12" ht="40.5">
      <c r="A587" s="953"/>
      <c r="B587" s="15">
        <v>45482</v>
      </c>
      <c r="C587" s="4" t="s">
        <v>21</v>
      </c>
      <c r="D587" s="4" t="s">
        <v>2389</v>
      </c>
      <c r="E587" s="4" t="s">
        <v>225</v>
      </c>
      <c r="F587" s="3" t="s">
        <v>2097</v>
      </c>
      <c r="G587" s="3" t="s">
        <v>2390</v>
      </c>
      <c r="H587" s="9" t="s">
        <v>2391</v>
      </c>
      <c r="I587" s="13" t="s">
        <v>2388</v>
      </c>
      <c r="J587" s="4" t="s">
        <v>2392</v>
      </c>
      <c r="K587" s="25" t="s">
        <v>2368</v>
      </c>
      <c r="L587" s="222">
        <v>28</v>
      </c>
    </row>
    <row r="588" spans="1:12">
      <c r="A588" s="1136" t="s">
        <v>2393</v>
      </c>
      <c r="B588" s="1136"/>
      <c r="C588" s="1136"/>
      <c r="D588" s="1136"/>
      <c r="E588" s="1136"/>
      <c r="F588" s="1136"/>
      <c r="G588" s="1136"/>
      <c r="H588" s="1136"/>
      <c r="I588" s="1136"/>
      <c r="J588" s="25">
        <v>3</v>
      </c>
      <c r="K588" s="26"/>
    </row>
    <row r="590" spans="1:12">
      <c r="A590" s="19" t="s">
        <v>2394</v>
      </c>
      <c r="B590" s="19" t="s">
        <v>2382</v>
      </c>
      <c r="C590" s="20" t="s">
        <v>2</v>
      </c>
      <c r="D590" s="20" t="s">
        <v>3</v>
      </c>
      <c r="E590" s="20" t="s">
        <v>2395</v>
      </c>
      <c r="F590" s="20" t="s">
        <v>5</v>
      </c>
      <c r="G590" s="20" t="s">
        <v>6</v>
      </c>
      <c r="H590" s="21" t="s">
        <v>2358</v>
      </c>
      <c r="I590" s="20" t="s">
        <v>2396</v>
      </c>
      <c r="J590" s="22" t="s">
        <v>2397</v>
      </c>
      <c r="K590" s="23" t="s">
        <v>2398</v>
      </c>
    </row>
    <row r="591" spans="1:12">
      <c r="A591" s="55" t="s">
        <v>2399</v>
      </c>
      <c r="B591" s="15">
        <v>45483</v>
      </c>
      <c r="C591" s="3" t="s">
        <v>2400</v>
      </c>
      <c r="D591" s="4" t="s">
        <v>2401</v>
      </c>
      <c r="E591" s="3" t="s">
        <v>1069</v>
      </c>
      <c r="F591" s="3" t="s">
        <v>2402</v>
      </c>
      <c r="G591" s="3" t="s">
        <v>376</v>
      </c>
      <c r="H591" s="9" t="s">
        <v>2403</v>
      </c>
      <c r="I591" s="13" t="s">
        <v>2404</v>
      </c>
      <c r="J591" s="4">
        <v>1</v>
      </c>
      <c r="K591" s="25" t="s">
        <v>2405</v>
      </c>
    </row>
    <row r="592" spans="1:12">
      <c r="A592" s="953" t="s">
        <v>2406</v>
      </c>
      <c r="B592" s="953"/>
      <c r="C592" s="953"/>
      <c r="D592" s="953"/>
      <c r="E592" s="953"/>
      <c r="F592" s="953"/>
      <c r="G592" s="953"/>
      <c r="H592" s="953"/>
      <c r="I592" s="953"/>
      <c r="J592" s="25">
        <v>1</v>
      </c>
      <c r="K592" s="25"/>
    </row>
    <row r="594" spans="1:12">
      <c r="A594" s="19" t="s">
        <v>2355</v>
      </c>
      <c r="B594" s="19" t="s">
        <v>2382</v>
      </c>
      <c r="C594" s="20" t="s">
        <v>2</v>
      </c>
      <c r="D594" s="20" t="s">
        <v>3</v>
      </c>
      <c r="E594" s="20" t="s">
        <v>2407</v>
      </c>
      <c r="F594" s="20" t="s">
        <v>5</v>
      </c>
      <c r="G594" s="20" t="s">
        <v>6</v>
      </c>
      <c r="H594" s="21" t="s">
        <v>45</v>
      </c>
      <c r="I594" s="20" t="s">
        <v>2408</v>
      </c>
      <c r="J594" s="22" t="s">
        <v>1437</v>
      </c>
      <c r="K594" s="23" t="s">
        <v>2409</v>
      </c>
    </row>
    <row r="595" spans="1:12">
      <c r="A595" s="953" t="s">
        <v>2399</v>
      </c>
      <c r="B595" s="15">
        <v>45469</v>
      </c>
      <c r="C595" s="3" t="s">
        <v>1072</v>
      </c>
      <c r="D595" s="4" t="s">
        <v>25</v>
      </c>
      <c r="E595" s="3" t="s">
        <v>2410</v>
      </c>
      <c r="F595" s="3">
        <v>3307</v>
      </c>
      <c r="G595" s="3" t="s">
        <v>2363</v>
      </c>
      <c r="H595" s="9" t="s">
        <v>2411</v>
      </c>
      <c r="I595" s="13" t="s">
        <v>1075</v>
      </c>
      <c r="J595" s="4">
        <v>1</v>
      </c>
      <c r="K595" s="25" t="s">
        <v>2412</v>
      </c>
    </row>
    <row r="596" spans="1:12">
      <c r="A596" s="953"/>
      <c r="B596" s="15">
        <v>45484</v>
      </c>
      <c r="C596" s="3" t="s">
        <v>2413</v>
      </c>
      <c r="D596" s="4" t="s">
        <v>2414</v>
      </c>
      <c r="E596" s="3" t="s">
        <v>2415</v>
      </c>
      <c r="F596" s="3">
        <v>3307</v>
      </c>
      <c r="G596" s="3" t="s">
        <v>811</v>
      </c>
      <c r="H596" s="9" t="s">
        <v>2416</v>
      </c>
      <c r="I596" s="13" t="s">
        <v>2417</v>
      </c>
      <c r="J596" s="4">
        <v>2</v>
      </c>
      <c r="K596" s="25" t="s">
        <v>2418</v>
      </c>
    </row>
    <row r="597" spans="1:12">
      <c r="A597" s="953"/>
      <c r="B597" s="15">
        <v>45485</v>
      </c>
      <c r="C597" s="3" t="s">
        <v>2419</v>
      </c>
      <c r="D597" s="4" t="s">
        <v>2414</v>
      </c>
      <c r="E597" s="3" t="s">
        <v>2415</v>
      </c>
      <c r="F597" s="3">
        <v>3307</v>
      </c>
      <c r="G597" s="3" t="s">
        <v>2420</v>
      </c>
      <c r="H597" s="9" t="s">
        <v>2421</v>
      </c>
      <c r="I597" s="13" t="s">
        <v>2417</v>
      </c>
      <c r="J597" s="4">
        <v>1</v>
      </c>
      <c r="K597" s="25" t="s">
        <v>2422</v>
      </c>
    </row>
    <row r="598" spans="1:12">
      <c r="A598" s="953"/>
      <c r="B598" s="15">
        <v>45489</v>
      </c>
      <c r="C598" s="3" t="s">
        <v>2419</v>
      </c>
      <c r="D598" s="4" t="s">
        <v>2414</v>
      </c>
      <c r="E598" s="3" t="s">
        <v>2415</v>
      </c>
      <c r="F598" s="3">
        <v>3307</v>
      </c>
      <c r="G598" s="3" t="s">
        <v>2420</v>
      </c>
      <c r="H598" s="9" t="s">
        <v>2423</v>
      </c>
      <c r="I598" s="13" t="s">
        <v>2417</v>
      </c>
      <c r="J598" s="4">
        <v>2</v>
      </c>
      <c r="K598" s="25" t="s">
        <v>2422</v>
      </c>
    </row>
    <row r="599" spans="1:12">
      <c r="A599" s="953"/>
      <c r="B599" s="15">
        <v>45490</v>
      </c>
      <c r="C599" s="3" t="s">
        <v>2419</v>
      </c>
      <c r="D599" s="4" t="s">
        <v>2414</v>
      </c>
      <c r="E599" s="3" t="s">
        <v>2415</v>
      </c>
      <c r="F599" s="3">
        <v>3307</v>
      </c>
      <c r="G599" s="3" t="s">
        <v>2420</v>
      </c>
      <c r="H599" s="9" t="s">
        <v>2423</v>
      </c>
      <c r="I599" s="13" t="s">
        <v>2417</v>
      </c>
      <c r="J599" s="4">
        <v>2</v>
      </c>
      <c r="K599" s="25" t="s">
        <v>2422</v>
      </c>
    </row>
    <row r="600" spans="1:12">
      <c r="A600" s="953"/>
      <c r="B600" s="15">
        <v>45491</v>
      </c>
      <c r="C600" s="3" t="s">
        <v>2419</v>
      </c>
      <c r="D600" s="4" t="s">
        <v>2414</v>
      </c>
      <c r="E600" s="3" t="s">
        <v>2415</v>
      </c>
      <c r="F600" s="3">
        <v>3307</v>
      </c>
      <c r="G600" s="3" t="s">
        <v>2420</v>
      </c>
      <c r="H600" s="9" t="s">
        <v>2423</v>
      </c>
      <c r="I600" s="13" t="s">
        <v>2417</v>
      </c>
      <c r="J600" s="4">
        <v>1</v>
      </c>
      <c r="K600" s="25" t="s">
        <v>2422</v>
      </c>
    </row>
    <row r="601" spans="1:12">
      <c r="A601" s="953" t="s">
        <v>2406</v>
      </c>
      <c r="B601" s="953"/>
      <c r="C601" s="953"/>
      <c r="D601" s="953"/>
      <c r="E601" s="953"/>
      <c r="F601" s="953"/>
      <c r="G601" s="953"/>
      <c r="H601" s="953"/>
      <c r="I601" s="953"/>
      <c r="J601" s="25">
        <v>9</v>
      </c>
      <c r="K601" s="25"/>
    </row>
    <row r="604" spans="1:12" ht="27">
      <c r="A604" s="19" t="s">
        <v>2394</v>
      </c>
      <c r="B604" s="19" t="s">
        <v>2424</v>
      </c>
      <c r="C604" s="20" t="s">
        <v>2</v>
      </c>
      <c r="D604" s="20" t="s">
        <v>3</v>
      </c>
      <c r="E604" s="20" t="s">
        <v>4</v>
      </c>
      <c r="F604" s="20" t="s">
        <v>5</v>
      </c>
      <c r="G604" s="20" t="s">
        <v>6</v>
      </c>
      <c r="H604" s="21" t="s">
        <v>2425</v>
      </c>
      <c r="I604" s="20" t="s">
        <v>2408</v>
      </c>
      <c r="J604" s="22" t="s">
        <v>2397</v>
      </c>
      <c r="K604" s="23" t="s">
        <v>2409</v>
      </c>
      <c r="L604" s="23" t="s">
        <v>2426</v>
      </c>
    </row>
    <row r="605" spans="1:12" ht="40.5">
      <c r="A605" s="193" t="s">
        <v>2427</v>
      </c>
      <c r="B605" s="122">
        <v>45490</v>
      </c>
      <c r="C605" s="4" t="s">
        <v>2428</v>
      </c>
      <c r="D605" s="4" t="s">
        <v>2429</v>
      </c>
      <c r="E605" s="3" t="s">
        <v>2430</v>
      </c>
      <c r="F605" s="3" t="s">
        <v>2431</v>
      </c>
      <c r="G605" s="3" t="s">
        <v>2432</v>
      </c>
      <c r="H605" s="9" t="s">
        <v>2433</v>
      </c>
      <c r="I605" s="13"/>
      <c r="J605" s="9" t="s">
        <v>2434</v>
      </c>
      <c r="K605" s="25" t="s">
        <v>2435</v>
      </c>
      <c r="L605" s="31" t="s">
        <v>2436</v>
      </c>
    </row>
    <row r="606" spans="1:12">
      <c r="A606" s="1136" t="s">
        <v>2437</v>
      </c>
      <c r="B606" s="1136"/>
      <c r="C606" s="1136"/>
      <c r="D606" s="1136"/>
      <c r="E606" s="1136"/>
      <c r="F606" s="1136"/>
      <c r="G606" s="1136"/>
      <c r="H606" s="1136"/>
      <c r="I606" s="1136"/>
      <c r="J606" s="25">
        <v>1</v>
      </c>
      <c r="K606" s="25"/>
      <c r="L606" s="25"/>
    </row>
    <row r="609" spans="1:12" ht="27">
      <c r="A609" s="19" t="s">
        <v>2394</v>
      </c>
      <c r="B609" s="19" t="s">
        <v>2424</v>
      </c>
      <c r="C609" s="20" t="s">
        <v>2</v>
      </c>
      <c r="D609" s="20" t="s">
        <v>3</v>
      </c>
      <c r="E609" s="20" t="s">
        <v>4</v>
      </c>
      <c r="F609" s="20" t="s">
        <v>5</v>
      </c>
      <c r="G609" s="20" t="s">
        <v>6</v>
      </c>
      <c r="H609" s="21" t="s">
        <v>2425</v>
      </c>
      <c r="I609" s="20" t="s">
        <v>2408</v>
      </c>
      <c r="J609" s="22" t="s">
        <v>2397</v>
      </c>
      <c r="K609" s="23" t="s">
        <v>2409</v>
      </c>
    </row>
    <row r="610" spans="1:12" ht="27">
      <c r="A610" s="953" t="s">
        <v>2438</v>
      </c>
      <c r="B610" s="92">
        <v>45477</v>
      </c>
      <c r="C610" s="4" t="s">
        <v>311</v>
      </c>
      <c r="D610" s="4" t="s">
        <v>320</v>
      </c>
      <c r="E610" s="3" t="s">
        <v>409</v>
      </c>
      <c r="F610" s="246" t="s">
        <v>1412</v>
      </c>
      <c r="G610" s="9" t="s">
        <v>2439</v>
      </c>
      <c r="H610" s="9" t="s">
        <v>1426</v>
      </c>
      <c r="I610" s="13" t="s">
        <v>638</v>
      </c>
      <c r="J610" s="4" t="s">
        <v>2440</v>
      </c>
      <c r="K610" s="25" t="s">
        <v>2374</v>
      </c>
      <c r="L610" s="222">
        <v>27</v>
      </c>
    </row>
    <row r="611" spans="1:12" ht="40.5">
      <c r="A611" s="953"/>
      <c r="B611" s="34">
        <v>45488</v>
      </c>
      <c r="C611" s="4" t="s">
        <v>2428</v>
      </c>
      <c r="D611" s="4" t="s">
        <v>2429</v>
      </c>
      <c r="E611" s="3" t="s">
        <v>2430</v>
      </c>
      <c r="F611" s="3" t="s">
        <v>2431</v>
      </c>
      <c r="G611" s="3" t="s">
        <v>2439</v>
      </c>
      <c r="H611" s="9" t="s">
        <v>2441</v>
      </c>
      <c r="I611" s="13" t="s">
        <v>2442</v>
      </c>
      <c r="J611" s="4" t="s">
        <v>2443</v>
      </c>
      <c r="K611" s="25" t="s">
        <v>2374</v>
      </c>
      <c r="L611" s="222">
        <v>29</v>
      </c>
    </row>
    <row r="612" spans="1:12">
      <c r="A612" s="953"/>
      <c r="B612" s="122">
        <v>45489</v>
      </c>
      <c r="C612" s="4" t="s">
        <v>2428</v>
      </c>
      <c r="D612" s="4" t="s">
        <v>2429</v>
      </c>
      <c r="E612" s="3" t="s">
        <v>2430</v>
      </c>
      <c r="F612" s="3" t="s">
        <v>2431</v>
      </c>
      <c r="G612" s="3" t="s">
        <v>2444</v>
      </c>
      <c r="H612" s="9" t="s">
        <v>2445</v>
      </c>
      <c r="I612" s="13" t="s">
        <v>2442</v>
      </c>
      <c r="J612" s="4" t="s">
        <v>2443</v>
      </c>
      <c r="K612" s="25" t="s">
        <v>2374</v>
      </c>
      <c r="L612" s="222">
        <v>29</v>
      </c>
    </row>
    <row r="613" spans="1:12">
      <c r="A613" s="1136" t="s">
        <v>2406</v>
      </c>
      <c r="B613" s="1136"/>
      <c r="C613" s="1136"/>
      <c r="D613" s="1136"/>
      <c r="E613" s="1136"/>
      <c r="F613" s="1136"/>
      <c r="G613" s="1136"/>
      <c r="H613" s="1136"/>
      <c r="I613" s="1136"/>
      <c r="J613" s="25">
        <v>3</v>
      </c>
      <c r="K613" s="26"/>
    </row>
    <row r="616" spans="1:12" ht="27">
      <c r="A616" s="280" t="s">
        <v>2394</v>
      </c>
      <c r="B616" s="280" t="s">
        <v>2446</v>
      </c>
      <c r="C616" s="281" t="s">
        <v>2</v>
      </c>
      <c r="D616" s="281" t="s">
        <v>3</v>
      </c>
      <c r="E616" s="281" t="s">
        <v>4</v>
      </c>
      <c r="F616" s="281" t="s">
        <v>5</v>
      </c>
      <c r="G616" s="281" t="s">
        <v>6</v>
      </c>
      <c r="H616" s="282" t="s">
        <v>2425</v>
      </c>
      <c r="I616" s="281" t="s">
        <v>2408</v>
      </c>
      <c r="J616" s="283" t="s">
        <v>2397</v>
      </c>
      <c r="K616" s="284" t="s">
        <v>2409</v>
      </c>
    </row>
    <row r="617" spans="1:12" ht="27">
      <c r="A617" s="1182" t="s">
        <v>2447</v>
      </c>
      <c r="B617" s="92" t="s">
        <v>2448</v>
      </c>
      <c r="C617" s="125" t="s">
        <v>306</v>
      </c>
      <c r="D617" s="125" t="s">
        <v>322</v>
      </c>
      <c r="E617" s="125" t="s">
        <v>307</v>
      </c>
      <c r="F617" s="193" t="s">
        <v>2449</v>
      </c>
      <c r="G617" s="125" t="s">
        <v>2450</v>
      </c>
      <c r="H617" s="193" t="s">
        <v>2451</v>
      </c>
      <c r="I617" s="125" t="s">
        <v>2452</v>
      </c>
      <c r="J617" s="4">
        <v>2</v>
      </c>
      <c r="K617" s="216" t="s">
        <v>2374</v>
      </c>
      <c r="L617" s="222">
        <v>27</v>
      </c>
    </row>
    <row r="618" spans="1:12">
      <c r="A618" s="1182"/>
      <c r="B618" s="92">
        <v>45476</v>
      </c>
      <c r="C618" s="125" t="s">
        <v>306</v>
      </c>
      <c r="D618" s="125" t="s">
        <v>322</v>
      </c>
      <c r="E618" s="125" t="s">
        <v>307</v>
      </c>
      <c r="F618" s="193">
        <v>4267</v>
      </c>
      <c r="G618" s="125" t="s">
        <v>2371</v>
      </c>
      <c r="H618" s="193" t="s">
        <v>2453</v>
      </c>
      <c r="I618" s="125" t="s">
        <v>2452</v>
      </c>
      <c r="J618" s="4">
        <v>1</v>
      </c>
      <c r="K618" s="216" t="s">
        <v>2374</v>
      </c>
      <c r="L618" s="222">
        <v>27</v>
      </c>
    </row>
    <row r="619" spans="1:12" ht="27">
      <c r="A619" s="1182"/>
      <c r="B619" s="92" t="s">
        <v>2362</v>
      </c>
      <c r="C619" s="125" t="s">
        <v>306</v>
      </c>
      <c r="D619" s="125" t="s">
        <v>322</v>
      </c>
      <c r="E619" s="125" t="s">
        <v>307</v>
      </c>
      <c r="F619" s="193" t="s">
        <v>2454</v>
      </c>
      <c r="G619" s="125" t="s">
        <v>2455</v>
      </c>
      <c r="H619" s="193" t="s">
        <v>2451</v>
      </c>
      <c r="I619" s="125" t="s">
        <v>2452</v>
      </c>
      <c r="J619" s="4">
        <v>2</v>
      </c>
      <c r="K619" s="216" t="s">
        <v>2374</v>
      </c>
      <c r="L619" s="222">
        <v>27</v>
      </c>
    </row>
    <row r="620" spans="1:12" ht="27">
      <c r="A620" s="1182"/>
      <c r="B620" s="92" t="s">
        <v>2456</v>
      </c>
      <c r="C620" s="125" t="s">
        <v>306</v>
      </c>
      <c r="D620" s="125" t="s">
        <v>322</v>
      </c>
      <c r="E620" s="125" t="s">
        <v>307</v>
      </c>
      <c r="F620" s="193" t="s">
        <v>2454</v>
      </c>
      <c r="G620" s="125" t="s">
        <v>2455</v>
      </c>
      <c r="H620" s="193" t="s">
        <v>2451</v>
      </c>
      <c r="I620" s="125" t="s">
        <v>2452</v>
      </c>
      <c r="J620" s="4">
        <v>3</v>
      </c>
      <c r="K620" s="216" t="s">
        <v>2374</v>
      </c>
      <c r="L620" s="222">
        <v>28</v>
      </c>
    </row>
    <row r="621" spans="1:12" ht="27">
      <c r="A621" s="1182"/>
      <c r="B621" s="92" t="s">
        <v>2457</v>
      </c>
      <c r="C621" s="125" t="s">
        <v>306</v>
      </c>
      <c r="D621" s="125" t="s">
        <v>322</v>
      </c>
      <c r="E621" s="125" t="s">
        <v>307</v>
      </c>
      <c r="F621" s="193" t="s">
        <v>2449</v>
      </c>
      <c r="G621" s="125" t="s">
        <v>2450</v>
      </c>
      <c r="H621" s="193" t="s">
        <v>2451</v>
      </c>
      <c r="I621" s="125" t="s">
        <v>2452</v>
      </c>
      <c r="J621" s="4">
        <v>2</v>
      </c>
      <c r="K621" s="216" t="s">
        <v>2374</v>
      </c>
      <c r="L621" s="222">
        <v>28</v>
      </c>
    </row>
    <row r="622" spans="1:12" ht="27">
      <c r="A622" s="1182"/>
      <c r="B622" s="122" t="s">
        <v>2458</v>
      </c>
      <c r="C622" s="202" t="s">
        <v>306</v>
      </c>
      <c r="D622" s="202" t="s">
        <v>322</v>
      </c>
      <c r="E622" s="202" t="s">
        <v>307</v>
      </c>
      <c r="F622" s="203" t="s">
        <v>2454</v>
      </c>
      <c r="G622" s="202" t="s">
        <v>2455</v>
      </c>
      <c r="H622" s="203" t="s">
        <v>2459</v>
      </c>
      <c r="I622" s="202" t="s">
        <v>2452</v>
      </c>
      <c r="J622" s="4">
        <v>3</v>
      </c>
      <c r="K622" s="216" t="s">
        <v>2374</v>
      </c>
      <c r="L622" s="222">
        <v>29</v>
      </c>
    </row>
    <row r="623" spans="1:12" ht="27">
      <c r="A623" s="1182"/>
      <c r="B623" s="122" t="s">
        <v>2460</v>
      </c>
      <c r="C623" s="202" t="s">
        <v>306</v>
      </c>
      <c r="D623" s="202" t="s">
        <v>322</v>
      </c>
      <c r="E623" s="202" t="s">
        <v>307</v>
      </c>
      <c r="F623" s="193" t="s">
        <v>2449</v>
      </c>
      <c r="G623" s="125" t="s">
        <v>2450</v>
      </c>
      <c r="H623" s="193" t="s">
        <v>2451</v>
      </c>
      <c r="I623" s="202" t="s">
        <v>2452</v>
      </c>
      <c r="J623" s="4">
        <v>2</v>
      </c>
      <c r="K623" s="216" t="s">
        <v>2374</v>
      </c>
      <c r="L623" s="222">
        <v>29</v>
      </c>
    </row>
    <row r="624" spans="1:12" ht="27">
      <c r="A624" s="1182"/>
      <c r="B624" s="92" t="s">
        <v>2461</v>
      </c>
      <c r="C624" s="125" t="s">
        <v>306</v>
      </c>
      <c r="D624" s="125" t="s">
        <v>322</v>
      </c>
      <c r="E624" s="125" t="s">
        <v>307</v>
      </c>
      <c r="F624" s="193" t="s">
        <v>2462</v>
      </c>
      <c r="G624" s="202" t="s">
        <v>2455</v>
      </c>
      <c r="H624" s="193" t="s">
        <v>2451</v>
      </c>
      <c r="I624" s="202" t="s">
        <v>2452</v>
      </c>
      <c r="J624" s="4">
        <v>3</v>
      </c>
      <c r="K624" s="216" t="s">
        <v>2374</v>
      </c>
      <c r="L624" s="222">
        <v>30</v>
      </c>
    </row>
    <row r="625" spans="1:12" ht="27">
      <c r="A625" s="1182"/>
      <c r="B625" s="92" t="s">
        <v>2463</v>
      </c>
      <c r="C625" s="125" t="s">
        <v>306</v>
      </c>
      <c r="D625" s="125" t="s">
        <v>322</v>
      </c>
      <c r="E625" s="125" t="s">
        <v>307</v>
      </c>
      <c r="F625" s="193" t="s">
        <v>2464</v>
      </c>
      <c r="G625" s="125" t="s">
        <v>2371</v>
      </c>
      <c r="H625" s="193" t="s">
        <v>2451</v>
      </c>
      <c r="I625" s="202" t="s">
        <v>2452</v>
      </c>
      <c r="J625" s="4">
        <v>2</v>
      </c>
      <c r="K625" s="216" t="s">
        <v>2374</v>
      </c>
      <c r="L625" s="222">
        <v>30</v>
      </c>
    </row>
    <row r="626" spans="1:12" ht="27">
      <c r="A626" s="1182"/>
      <c r="B626" s="92" t="s">
        <v>2465</v>
      </c>
      <c r="C626" s="125" t="s">
        <v>306</v>
      </c>
      <c r="D626" s="125" t="s">
        <v>322</v>
      </c>
      <c r="E626" s="125" t="s">
        <v>307</v>
      </c>
      <c r="F626" s="193" t="s">
        <v>2466</v>
      </c>
      <c r="G626" s="125" t="s">
        <v>2467</v>
      </c>
      <c r="H626" s="193" t="s">
        <v>2451</v>
      </c>
      <c r="I626" s="125" t="s">
        <v>2452</v>
      </c>
      <c r="J626" s="4">
        <v>3</v>
      </c>
      <c r="K626" s="216" t="s">
        <v>2374</v>
      </c>
      <c r="L626" s="222">
        <v>31</v>
      </c>
    </row>
    <row r="627" spans="1:12">
      <c r="A627" s="1136" t="s">
        <v>2406</v>
      </c>
      <c r="B627" s="1136"/>
      <c r="C627" s="1136"/>
      <c r="D627" s="1136"/>
      <c r="E627" s="1136"/>
      <c r="F627" s="1136"/>
      <c r="G627" s="1136"/>
      <c r="H627" s="1136"/>
      <c r="I627" s="1136"/>
      <c r="J627" s="31">
        <v>23</v>
      </c>
      <c r="K627" s="57"/>
    </row>
    <row r="632" spans="1:12" ht="22.5">
      <c r="A632" s="537" t="s">
        <v>43</v>
      </c>
      <c r="B632" s="537" t="s">
        <v>1620</v>
      </c>
      <c r="C632" s="538" t="s">
        <v>2</v>
      </c>
      <c r="D632" s="538" t="s">
        <v>3</v>
      </c>
      <c r="E632" s="538" t="s">
        <v>4</v>
      </c>
      <c r="F632" s="538" t="s">
        <v>5</v>
      </c>
      <c r="G632" s="538" t="s">
        <v>6</v>
      </c>
      <c r="H632" s="539" t="s">
        <v>45</v>
      </c>
      <c r="I632" s="538" t="s">
        <v>8</v>
      </c>
      <c r="J632" s="540" t="s">
        <v>46</v>
      </c>
      <c r="K632" s="541" t="s">
        <v>47</v>
      </c>
    </row>
    <row r="633" spans="1:12">
      <c r="A633" s="1189" t="s">
        <v>5656</v>
      </c>
      <c r="B633" s="542" t="s">
        <v>5146</v>
      </c>
      <c r="C633" s="543" t="s">
        <v>306</v>
      </c>
      <c r="D633" s="543" t="s">
        <v>322</v>
      </c>
      <c r="E633" s="543" t="s">
        <v>307</v>
      </c>
      <c r="F633" s="542" t="s">
        <v>5060</v>
      </c>
      <c r="G633" s="542" t="s">
        <v>354</v>
      </c>
      <c r="H633" s="542" t="s">
        <v>4915</v>
      </c>
      <c r="I633" s="543" t="s">
        <v>664</v>
      </c>
      <c r="J633" s="543" t="s">
        <v>3182</v>
      </c>
      <c r="K633" s="543" t="s">
        <v>5330</v>
      </c>
      <c r="L633" s="524">
        <v>1250000</v>
      </c>
    </row>
    <row r="634" spans="1:12">
      <c r="A634" s="1189"/>
      <c r="B634" s="542" t="s">
        <v>5148</v>
      </c>
      <c r="C634" s="543" t="s">
        <v>306</v>
      </c>
      <c r="D634" s="543" t="s">
        <v>322</v>
      </c>
      <c r="E634" s="543" t="s">
        <v>307</v>
      </c>
      <c r="F634" s="542" t="s">
        <v>3054</v>
      </c>
      <c r="G634" s="542" t="s">
        <v>354</v>
      </c>
      <c r="H634" s="542" t="s">
        <v>310</v>
      </c>
      <c r="I634" s="543" t="s">
        <v>664</v>
      </c>
      <c r="J634" s="543" t="s">
        <v>4943</v>
      </c>
      <c r="K634" s="543" t="s">
        <v>5331</v>
      </c>
      <c r="L634" s="524">
        <v>750000</v>
      </c>
    </row>
    <row r="635" spans="1:12">
      <c r="A635" s="1189"/>
      <c r="B635" s="542" t="s">
        <v>5149</v>
      </c>
      <c r="C635" s="543" t="s">
        <v>306</v>
      </c>
      <c r="D635" s="543" t="s">
        <v>322</v>
      </c>
      <c r="E635" s="543" t="s">
        <v>307</v>
      </c>
      <c r="F635" s="542" t="s">
        <v>4803</v>
      </c>
      <c r="G635" s="542" t="s">
        <v>662</v>
      </c>
      <c r="H635" s="542" t="s">
        <v>5339</v>
      </c>
      <c r="I635" s="543" t="s">
        <v>664</v>
      </c>
      <c r="J635" s="543" t="s">
        <v>3101</v>
      </c>
      <c r="K635" s="543" t="s">
        <v>5332</v>
      </c>
      <c r="L635" s="524">
        <v>500000</v>
      </c>
    </row>
    <row r="636" spans="1:12">
      <c r="A636" s="1189"/>
      <c r="B636" s="542" t="s">
        <v>5169</v>
      </c>
      <c r="C636" s="543" t="s">
        <v>306</v>
      </c>
      <c r="D636" s="543" t="s">
        <v>322</v>
      </c>
      <c r="E636" s="543" t="s">
        <v>307</v>
      </c>
      <c r="F636" s="542">
        <v>8263</v>
      </c>
      <c r="G636" s="542" t="s">
        <v>3175</v>
      </c>
      <c r="H636" s="542" t="s">
        <v>5338</v>
      </c>
      <c r="I636" s="543" t="s">
        <v>664</v>
      </c>
      <c r="J636" s="543" t="s">
        <v>5329</v>
      </c>
      <c r="K636" s="543" t="s">
        <v>5332</v>
      </c>
      <c r="L636" s="524">
        <v>1000000</v>
      </c>
    </row>
    <row r="637" spans="1:12">
      <c r="A637" s="1189"/>
      <c r="B637" s="542" t="s">
        <v>5166</v>
      </c>
      <c r="C637" s="543" t="s">
        <v>306</v>
      </c>
      <c r="D637" s="543" t="s">
        <v>322</v>
      </c>
      <c r="E637" s="543" t="s">
        <v>307</v>
      </c>
      <c r="F637" s="542">
        <v>594</v>
      </c>
      <c r="G637" s="542" t="s">
        <v>1047</v>
      </c>
      <c r="H637" s="542" t="s">
        <v>4915</v>
      </c>
      <c r="I637" s="543" t="s">
        <v>664</v>
      </c>
      <c r="J637" s="543" t="s">
        <v>3101</v>
      </c>
      <c r="K637" s="543" t="s">
        <v>5332</v>
      </c>
      <c r="L637" s="524">
        <v>500000</v>
      </c>
    </row>
    <row r="638" spans="1:12" ht="22.5">
      <c r="A638" s="1189"/>
      <c r="B638" s="542" t="s">
        <v>5168</v>
      </c>
      <c r="C638" s="543" t="s">
        <v>306</v>
      </c>
      <c r="D638" s="543" t="s">
        <v>322</v>
      </c>
      <c r="E638" s="543" t="s">
        <v>307</v>
      </c>
      <c r="F638" s="542" t="s">
        <v>4938</v>
      </c>
      <c r="G638" s="542" t="s">
        <v>1911</v>
      </c>
      <c r="H638" s="542" t="s">
        <v>5341</v>
      </c>
      <c r="I638" s="543" t="s">
        <v>664</v>
      </c>
      <c r="J638" s="543" t="s">
        <v>3101</v>
      </c>
      <c r="K638" s="543" t="s">
        <v>5332</v>
      </c>
      <c r="L638" s="524">
        <v>500000</v>
      </c>
    </row>
    <row r="639" spans="1:12">
      <c r="A639" s="1189"/>
      <c r="B639" s="542" t="s">
        <v>5195</v>
      </c>
      <c r="C639" s="543" t="s">
        <v>306</v>
      </c>
      <c r="D639" s="543" t="s">
        <v>322</v>
      </c>
      <c r="E639" s="543" t="s">
        <v>307</v>
      </c>
      <c r="F639" s="542" t="s">
        <v>4964</v>
      </c>
      <c r="G639" s="542" t="s">
        <v>347</v>
      </c>
      <c r="H639" s="542" t="s">
        <v>4915</v>
      </c>
      <c r="I639" s="543" t="s">
        <v>664</v>
      </c>
      <c r="J639" s="543" t="s">
        <v>3182</v>
      </c>
      <c r="K639" s="543" t="s">
        <v>52</v>
      </c>
      <c r="L639" s="524">
        <v>1250000</v>
      </c>
    </row>
    <row r="640" spans="1:12">
      <c r="A640" s="1189"/>
      <c r="B640" s="542" t="s">
        <v>5195</v>
      </c>
      <c r="C640" s="543" t="s">
        <v>306</v>
      </c>
      <c r="D640" s="543" t="s">
        <v>322</v>
      </c>
      <c r="E640" s="543" t="s">
        <v>307</v>
      </c>
      <c r="F640" s="542" t="s">
        <v>4803</v>
      </c>
      <c r="G640" s="542" t="s">
        <v>662</v>
      </c>
      <c r="H640" s="542" t="s">
        <v>5340</v>
      </c>
      <c r="I640" s="543" t="s">
        <v>664</v>
      </c>
      <c r="J640" s="543" t="s">
        <v>3182</v>
      </c>
      <c r="K640" s="543" t="s">
        <v>5333</v>
      </c>
      <c r="L640" s="524">
        <v>1250000</v>
      </c>
    </row>
    <row r="641" spans="1:12">
      <c r="A641" s="1189"/>
      <c r="B641" s="542" t="s">
        <v>5221</v>
      </c>
      <c r="C641" s="543" t="s">
        <v>306</v>
      </c>
      <c r="D641" s="543" t="s">
        <v>322</v>
      </c>
      <c r="E641" s="543" t="s">
        <v>307</v>
      </c>
      <c r="F641" s="542" t="s">
        <v>4938</v>
      </c>
      <c r="G641" s="542" t="s">
        <v>3175</v>
      </c>
      <c r="H641" s="542" t="s">
        <v>5334</v>
      </c>
      <c r="I641" s="543" t="s">
        <v>664</v>
      </c>
      <c r="J641" s="543" t="s">
        <v>3251</v>
      </c>
      <c r="K641" s="543" t="s">
        <v>52</v>
      </c>
      <c r="L641" s="526">
        <v>750000</v>
      </c>
    </row>
    <row r="642" spans="1:12">
      <c r="A642" s="1189"/>
      <c r="B642" s="542" t="s">
        <v>5221</v>
      </c>
      <c r="C642" s="543" t="s">
        <v>306</v>
      </c>
      <c r="D642" s="543" t="s">
        <v>322</v>
      </c>
      <c r="E642" s="543" t="s">
        <v>307</v>
      </c>
      <c r="F642" s="542" t="s">
        <v>4938</v>
      </c>
      <c r="G642" s="542" t="s">
        <v>3175</v>
      </c>
      <c r="H642" s="542" t="s">
        <v>5342</v>
      </c>
      <c r="I642" s="543" t="s">
        <v>664</v>
      </c>
      <c r="J642" s="543" t="s">
        <v>2838</v>
      </c>
      <c r="K642" s="543" t="s">
        <v>5332</v>
      </c>
      <c r="L642" s="526">
        <v>500000</v>
      </c>
    </row>
    <row r="643" spans="1:12">
      <c r="A643" s="1189"/>
      <c r="B643" s="542" t="s">
        <v>5221</v>
      </c>
      <c r="C643" s="543" t="s">
        <v>306</v>
      </c>
      <c r="D643" s="543" t="s">
        <v>322</v>
      </c>
      <c r="E643" s="543" t="s">
        <v>307</v>
      </c>
      <c r="F643" s="542" t="s">
        <v>5224</v>
      </c>
      <c r="G643" s="542" t="s">
        <v>3113</v>
      </c>
      <c r="H643" s="542" t="s">
        <v>4915</v>
      </c>
      <c r="I643" s="543" t="s">
        <v>664</v>
      </c>
      <c r="J643" s="543" t="s">
        <v>3182</v>
      </c>
      <c r="K643" s="543" t="s">
        <v>5331</v>
      </c>
      <c r="L643" s="526">
        <v>1250000</v>
      </c>
    </row>
    <row r="644" spans="1:12">
      <c r="A644" s="1189"/>
      <c r="B644" s="542" t="s">
        <v>5335</v>
      </c>
      <c r="C644" s="543" t="s">
        <v>311</v>
      </c>
      <c r="D644" s="543" t="s">
        <v>320</v>
      </c>
      <c r="E644" s="542" t="s">
        <v>2601</v>
      </c>
      <c r="F644" s="542" t="s">
        <v>4924</v>
      </c>
      <c r="G644" s="542" t="s">
        <v>3113</v>
      </c>
      <c r="H644" s="542" t="s">
        <v>5337</v>
      </c>
      <c r="I644" s="542" t="s">
        <v>1111</v>
      </c>
      <c r="J644" s="542" t="s">
        <v>5336</v>
      </c>
      <c r="K644" s="543" t="s">
        <v>52</v>
      </c>
      <c r="L644" s="516">
        <v>500000</v>
      </c>
    </row>
    <row r="645" spans="1:12">
      <c r="A645" s="1189"/>
      <c r="B645" s="544">
        <v>46102</v>
      </c>
      <c r="C645" s="543" t="s">
        <v>19</v>
      </c>
      <c r="D645" s="543" t="s">
        <v>25</v>
      </c>
      <c r="E645" s="543" t="s">
        <v>307</v>
      </c>
      <c r="F645" s="545">
        <v>7062</v>
      </c>
      <c r="G645" s="546" t="s">
        <v>1391</v>
      </c>
      <c r="H645" s="542" t="s">
        <v>1105</v>
      </c>
      <c r="I645" s="543" t="s">
        <v>1259</v>
      </c>
      <c r="J645" s="543" t="s">
        <v>4919</v>
      </c>
      <c r="K645" s="543" t="s">
        <v>5330</v>
      </c>
      <c r="L645" s="528">
        <v>250000</v>
      </c>
    </row>
    <row r="646" spans="1:12" ht="22.5">
      <c r="A646" s="1189"/>
      <c r="B646" s="544" t="s">
        <v>4913</v>
      </c>
      <c r="C646" s="543" t="s">
        <v>19</v>
      </c>
      <c r="D646" s="543" t="s">
        <v>25</v>
      </c>
      <c r="E646" s="543" t="s">
        <v>307</v>
      </c>
      <c r="F646" s="545" t="s">
        <v>4939</v>
      </c>
      <c r="G646" s="546" t="s">
        <v>482</v>
      </c>
      <c r="H646" s="542" t="s">
        <v>5343</v>
      </c>
      <c r="I646" s="543" t="s">
        <v>168</v>
      </c>
      <c r="J646" s="543" t="s">
        <v>5328</v>
      </c>
      <c r="K646" s="543" t="s">
        <v>5332</v>
      </c>
      <c r="L646" s="505">
        <v>2500000</v>
      </c>
    </row>
    <row r="648" spans="1:12" ht="22.5">
      <c r="A648" s="537" t="s">
        <v>43</v>
      </c>
      <c r="B648" s="537" t="s">
        <v>44</v>
      </c>
      <c r="C648" s="538" t="s">
        <v>2</v>
      </c>
      <c r="D648" s="538" t="s">
        <v>3</v>
      </c>
      <c r="E648" s="538" t="s">
        <v>4</v>
      </c>
      <c r="F648" s="538" t="s">
        <v>5</v>
      </c>
      <c r="G648" s="538" t="s">
        <v>6</v>
      </c>
      <c r="H648" s="539" t="s">
        <v>45</v>
      </c>
      <c r="I648" s="538" t="s">
        <v>8</v>
      </c>
      <c r="J648" s="540" t="s">
        <v>46</v>
      </c>
      <c r="K648" s="541" t="s">
        <v>47</v>
      </c>
    </row>
    <row r="649" spans="1:12">
      <c r="A649" s="1190" t="s">
        <v>228</v>
      </c>
      <c r="B649" s="227" t="s">
        <v>5201</v>
      </c>
      <c r="C649" s="226" t="s">
        <v>311</v>
      </c>
      <c r="D649" s="226" t="s">
        <v>320</v>
      </c>
      <c r="E649" s="227" t="s">
        <v>337</v>
      </c>
      <c r="F649" s="227" t="s">
        <v>3168</v>
      </c>
      <c r="G649" s="227" t="s">
        <v>3057</v>
      </c>
      <c r="H649" s="227" t="s">
        <v>5176</v>
      </c>
      <c r="I649" s="227" t="s">
        <v>638</v>
      </c>
      <c r="J649" s="227">
        <v>2</v>
      </c>
      <c r="K649" s="543" t="s">
        <v>5332</v>
      </c>
    </row>
    <row r="650" spans="1:12">
      <c r="A650" s="1191"/>
      <c r="B650" s="227" t="s">
        <v>5202</v>
      </c>
      <c r="C650" s="226" t="s">
        <v>311</v>
      </c>
      <c r="D650" s="226" t="s">
        <v>320</v>
      </c>
      <c r="E650" s="227" t="s">
        <v>337</v>
      </c>
      <c r="F650" s="227" t="s">
        <v>3168</v>
      </c>
      <c r="G650" s="227" t="s">
        <v>3057</v>
      </c>
      <c r="H650" s="227" t="s">
        <v>5176</v>
      </c>
      <c r="I650" s="227"/>
      <c r="J650" s="227">
        <v>2</v>
      </c>
      <c r="K650" s="543" t="s">
        <v>5332</v>
      </c>
    </row>
    <row r="651" spans="1:12">
      <c r="A651" s="1191"/>
      <c r="B651" s="547" t="s">
        <v>5228</v>
      </c>
      <c r="C651" s="228" t="s">
        <v>311</v>
      </c>
      <c r="D651" s="228" t="s">
        <v>320</v>
      </c>
      <c r="E651" s="547" t="s">
        <v>337</v>
      </c>
      <c r="F651" s="547" t="s">
        <v>3168</v>
      </c>
      <c r="G651" s="547" t="s">
        <v>3057</v>
      </c>
      <c r="H651" s="547" t="s">
        <v>5229</v>
      </c>
      <c r="I651" s="547" t="s">
        <v>702</v>
      </c>
      <c r="J651" s="547">
        <v>2</v>
      </c>
      <c r="K651" s="543" t="s">
        <v>5332</v>
      </c>
    </row>
    <row r="652" spans="1:12">
      <c r="A652" s="1191"/>
      <c r="B652" s="544">
        <v>46104</v>
      </c>
      <c r="C652" s="543" t="s">
        <v>21</v>
      </c>
      <c r="D652" s="543" t="s">
        <v>14</v>
      </c>
      <c r="E652" s="548" t="s">
        <v>1787</v>
      </c>
      <c r="F652" s="548" t="s">
        <v>2817</v>
      </c>
      <c r="G652" s="546" t="s">
        <v>23</v>
      </c>
      <c r="H652" s="545" t="s">
        <v>1385</v>
      </c>
      <c r="I652" s="548"/>
      <c r="J652" s="545">
        <v>2</v>
      </c>
      <c r="K652" s="543" t="s">
        <v>5332</v>
      </c>
    </row>
    <row r="653" spans="1:12">
      <c r="A653" s="1191"/>
      <c r="B653" s="544">
        <v>46105</v>
      </c>
      <c r="C653" s="543" t="s">
        <v>21</v>
      </c>
      <c r="D653" s="543" t="s">
        <v>14</v>
      </c>
      <c r="E653" s="548" t="s">
        <v>107</v>
      </c>
      <c r="F653" s="548" t="s">
        <v>2959</v>
      </c>
      <c r="G653" s="546" t="s">
        <v>376</v>
      </c>
      <c r="H653" s="545" t="s">
        <v>4931</v>
      </c>
      <c r="I653" s="548" t="s">
        <v>2700</v>
      </c>
      <c r="J653" s="548">
        <v>2</v>
      </c>
      <c r="K653" s="543" t="s">
        <v>5332</v>
      </c>
    </row>
    <row r="654" spans="1:12">
      <c r="A654" s="1192"/>
      <c r="B654" s="544">
        <v>46106</v>
      </c>
      <c r="C654" s="543" t="s">
        <v>21</v>
      </c>
      <c r="D654" s="543" t="s">
        <v>14</v>
      </c>
      <c r="E654" s="548" t="s">
        <v>1787</v>
      </c>
      <c r="F654" s="548" t="s">
        <v>2817</v>
      </c>
      <c r="G654" s="546" t="s">
        <v>23</v>
      </c>
      <c r="H654" s="545" t="s">
        <v>4951</v>
      </c>
      <c r="I654" s="548"/>
      <c r="J654" s="545">
        <v>2</v>
      </c>
      <c r="K654" s="543" t="s">
        <v>5332</v>
      </c>
    </row>
    <row r="655" spans="1:12">
      <c r="A655" s="1193" t="s">
        <v>1646</v>
      </c>
      <c r="B655" s="1193"/>
      <c r="C655" s="1193"/>
      <c r="D655" s="1193"/>
      <c r="E655" s="1193"/>
      <c r="F655" s="1193"/>
      <c r="G655" s="1193"/>
      <c r="H655" s="1193"/>
      <c r="I655" s="1193"/>
      <c r="J655" s="549">
        <f>SUM(J649:J654)</f>
        <v>12</v>
      </c>
      <c r="K655" s="550"/>
    </row>
    <row r="659" spans="1:11">
      <c r="A659" s="537" t="s">
        <v>43</v>
      </c>
      <c r="B659" s="537" t="s">
        <v>44</v>
      </c>
      <c r="C659" s="538" t="s">
        <v>2</v>
      </c>
      <c r="D659" s="538" t="s">
        <v>3</v>
      </c>
      <c r="E659" s="538" t="s">
        <v>1724</v>
      </c>
      <c r="F659" s="538" t="s">
        <v>5</v>
      </c>
      <c r="G659" s="538" t="s">
        <v>6</v>
      </c>
      <c r="H659" s="539" t="s">
        <v>45</v>
      </c>
      <c r="I659" s="538" t="s">
        <v>8</v>
      </c>
      <c r="J659" s="540" t="s">
        <v>46</v>
      </c>
      <c r="K659" s="541" t="s">
        <v>47</v>
      </c>
    </row>
    <row r="660" spans="1:11">
      <c r="A660" s="1193" t="s">
        <v>739</v>
      </c>
      <c r="B660" s="542" t="s">
        <v>5158</v>
      </c>
      <c r="C660" s="543" t="s">
        <v>311</v>
      </c>
      <c r="D660" s="543" t="s">
        <v>675</v>
      </c>
      <c r="E660" s="542" t="s">
        <v>5123</v>
      </c>
      <c r="F660" s="542" t="s">
        <v>5125</v>
      </c>
      <c r="G660" s="542" t="s">
        <v>347</v>
      </c>
      <c r="H660" s="542" t="s">
        <v>5128</v>
      </c>
      <c r="I660" s="542"/>
      <c r="J660" s="542">
        <v>2</v>
      </c>
      <c r="K660" s="543" t="s">
        <v>5332</v>
      </c>
    </row>
    <row r="661" spans="1:11">
      <c r="A661" s="1193"/>
      <c r="B661" s="542" t="s">
        <v>5159</v>
      </c>
      <c r="C661" s="543" t="s">
        <v>311</v>
      </c>
      <c r="D661" s="543" t="s">
        <v>320</v>
      </c>
      <c r="E661" s="542" t="s">
        <v>709</v>
      </c>
      <c r="F661" s="542" t="s">
        <v>3098</v>
      </c>
      <c r="G661" s="542" t="s">
        <v>3099</v>
      </c>
      <c r="H661" s="542" t="s">
        <v>5347</v>
      </c>
      <c r="I661" s="542" t="s">
        <v>638</v>
      </c>
      <c r="J661" s="542">
        <v>1</v>
      </c>
      <c r="K661" s="543" t="s">
        <v>5332</v>
      </c>
    </row>
    <row r="662" spans="1:11" ht="22.5">
      <c r="A662" s="1193"/>
      <c r="B662" s="542" t="s">
        <v>5161</v>
      </c>
      <c r="C662" s="543" t="s">
        <v>311</v>
      </c>
      <c r="D662" s="543" t="s">
        <v>320</v>
      </c>
      <c r="E662" s="542" t="s">
        <v>337</v>
      </c>
      <c r="F662" s="542" t="s">
        <v>3168</v>
      </c>
      <c r="G662" s="542" t="s">
        <v>3057</v>
      </c>
      <c r="H662" s="542" t="s">
        <v>5344</v>
      </c>
      <c r="I662" s="542" t="s">
        <v>638</v>
      </c>
      <c r="J662" s="542">
        <v>2</v>
      </c>
      <c r="K662" s="543" t="s">
        <v>5332</v>
      </c>
    </row>
    <row r="663" spans="1:11">
      <c r="A663" s="1193"/>
      <c r="B663" s="542" t="s">
        <v>2748</v>
      </c>
      <c r="C663" s="543" t="s">
        <v>311</v>
      </c>
      <c r="D663" s="543" t="s">
        <v>320</v>
      </c>
      <c r="E663" s="542" t="s">
        <v>337</v>
      </c>
      <c r="F663" s="542" t="s">
        <v>3168</v>
      </c>
      <c r="G663" s="542" t="s">
        <v>3057</v>
      </c>
      <c r="H663" s="542" t="s">
        <v>5345</v>
      </c>
      <c r="I663" s="542"/>
      <c r="J663" s="542">
        <v>2</v>
      </c>
      <c r="K663" s="543" t="s">
        <v>5332</v>
      </c>
    </row>
    <row r="664" spans="1:11">
      <c r="A664" s="1193"/>
      <c r="B664" s="542" t="s">
        <v>5175</v>
      </c>
      <c r="C664" s="543" t="s">
        <v>311</v>
      </c>
      <c r="D664" s="543" t="s">
        <v>320</v>
      </c>
      <c r="E664" s="542" t="s">
        <v>337</v>
      </c>
      <c r="F664" s="542" t="s">
        <v>3168</v>
      </c>
      <c r="G664" s="542" t="s">
        <v>3057</v>
      </c>
      <c r="H664" s="542" t="s">
        <v>5176</v>
      </c>
      <c r="I664" s="542" t="s">
        <v>638</v>
      </c>
      <c r="J664" s="542">
        <v>1</v>
      </c>
      <c r="K664" s="543" t="s">
        <v>5332</v>
      </c>
    </row>
    <row r="665" spans="1:11">
      <c r="A665" s="1193"/>
      <c r="B665" s="542" t="s">
        <v>5175</v>
      </c>
      <c r="C665" s="543" t="s">
        <v>311</v>
      </c>
      <c r="D665" s="543" t="s">
        <v>320</v>
      </c>
      <c r="E665" s="542" t="s">
        <v>5178</v>
      </c>
      <c r="F665" s="542" t="s">
        <v>689</v>
      </c>
      <c r="G665" s="542" t="s">
        <v>5180</v>
      </c>
      <c r="H665" s="542" t="s">
        <v>5348</v>
      </c>
      <c r="I665" s="542"/>
      <c r="J665" s="542">
        <v>1</v>
      </c>
      <c r="K665" s="543" t="s">
        <v>5332</v>
      </c>
    </row>
    <row r="666" spans="1:11">
      <c r="A666" s="1193"/>
      <c r="B666" s="542" t="s">
        <v>5183</v>
      </c>
      <c r="C666" s="543" t="s">
        <v>311</v>
      </c>
      <c r="D666" s="543" t="s">
        <v>320</v>
      </c>
      <c r="E666" s="542" t="s">
        <v>337</v>
      </c>
      <c r="F666" s="542" t="s">
        <v>3401</v>
      </c>
      <c r="G666" s="542" t="s">
        <v>5029</v>
      </c>
      <c r="H666" s="542" t="s">
        <v>5349</v>
      </c>
      <c r="I666" s="542"/>
      <c r="J666" s="542">
        <v>2</v>
      </c>
      <c r="K666" s="543" t="s">
        <v>5332</v>
      </c>
    </row>
    <row r="667" spans="1:11" ht="22.5">
      <c r="A667" s="1193"/>
      <c r="B667" s="542" t="s">
        <v>5187</v>
      </c>
      <c r="C667" s="543" t="s">
        <v>311</v>
      </c>
      <c r="D667" s="543" t="s">
        <v>675</v>
      </c>
      <c r="E667" s="542" t="s">
        <v>5188</v>
      </c>
      <c r="F667" s="542" t="s">
        <v>1919</v>
      </c>
      <c r="G667" s="542" t="s">
        <v>347</v>
      </c>
      <c r="H667" s="542" t="s">
        <v>5350</v>
      </c>
      <c r="I667" s="542"/>
      <c r="J667" s="542">
        <v>2</v>
      </c>
      <c r="K667" s="543" t="s">
        <v>5332</v>
      </c>
    </row>
    <row r="668" spans="1:11">
      <c r="A668" s="1193"/>
      <c r="B668" s="542" t="s">
        <v>5351</v>
      </c>
      <c r="C668" s="543" t="s">
        <v>311</v>
      </c>
      <c r="D668" s="543" t="s">
        <v>320</v>
      </c>
      <c r="E668" s="542" t="s">
        <v>337</v>
      </c>
      <c r="F668" s="542" t="s">
        <v>3054</v>
      </c>
      <c r="G668" s="542" t="s">
        <v>3057</v>
      </c>
      <c r="H668" s="542" t="s">
        <v>5352</v>
      </c>
      <c r="I668" s="542" t="s">
        <v>638</v>
      </c>
      <c r="J668" s="542">
        <v>2</v>
      </c>
      <c r="K668" s="543" t="s">
        <v>5332</v>
      </c>
    </row>
    <row r="669" spans="1:11">
      <c r="A669" s="1193"/>
      <c r="B669" s="542" t="s">
        <v>5202</v>
      </c>
      <c r="C669" s="543" t="s">
        <v>311</v>
      </c>
      <c r="D669" s="543" t="s">
        <v>675</v>
      </c>
      <c r="E669" s="542" t="s">
        <v>720</v>
      </c>
      <c r="F669" s="542" t="s">
        <v>1756</v>
      </c>
      <c r="G669" s="542" t="s">
        <v>347</v>
      </c>
      <c r="H669" s="542" t="s">
        <v>5346</v>
      </c>
      <c r="I669" s="542" t="s">
        <v>638</v>
      </c>
      <c r="J669" s="542">
        <v>1</v>
      </c>
      <c r="K669" s="543" t="s">
        <v>5332</v>
      </c>
    </row>
    <row r="670" spans="1:11">
      <c r="A670" s="1193"/>
      <c r="B670" s="542" t="s">
        <v>5209</v>
      </c>
      <c r="C670" s="543" t="s">
        <v>311</v>
      </c>
      <c r="D670" s="543" t="s">
        <v>675</v>
      </c>
      <c r="E670" s="542" t="s">
        <v>5210</v>
      </c>
      <c r="F670" s="542" t="s">
        <v>5212</v>
      </c>
      <c r="G670" s="542" t="s">
        <v>662</v>
      </c>
      <c r="H670" s="542" t="s">
        <v>5353</v>
      </c>
      <c r="I670" s="542" t="s">
        <v>638</v>
      </c>
      <c r="J670" s="542">
        <v>1</v>
      </c>
      <c r="K670" s="543" t="s">
        <v>5332</v>
      </c>
    </row>
    <row r="671" spans="1:11">
      <c r="A671" s="1193"/>
      <c r="B671" s="542" t="s">
        <v>5213</v>
      </c>
      <c r="C671" s="543" t="s">
        <v>311</v>
      </c>
      <c r="D671" s="543" t="s">
        <v>675</v>
      </c>
      <c r="E671" s="542" t="s">
        <v>5214</v>
      </c>
      <c r="F671" s="542" t="s">
        <v>5126</v>
      </c>
      <c r="G671" s="542" t="s">
        <v>347</v>
      </c>
      <c r="H671" s="542" t="s">
        <v>5354</v>
      </c>
      <c r="I671" s="542"/>
      <c r="J671" s="542">
        <v>2</v>
      </c>
      <c r="K671" s="543" t="s">
        <v>5332</v>
      </c>
    </row>
    <row r="672" spans="1:11">
      <c r="A672" s="1193"/>
      <c r="B672" s="542" t="s">
        <v>5218</v>
      </c>
      <c r="C672" s="543" t="s">
        <v>311</v>
      </c>
      <c r="D672" s="543" t="s">
        <v>675</v>
      </c>
      <c r="E672" s="542" t="s">
        <v>5214</v>
      </c>
      <c r="F672" s="542" t="s">
        <v>5126</v>
      </c>
      <c r="G672" s="542" t="s">
        <v>347</v>
      </c>
      <c r="H672" s="542" t="s">
        <v>5216</v>
      </c>
      <c r="I672" s="542"/>
      <c r="J672" s="542">
        <v>2</v>
      </c>
      <c r="K672" s="543" t="s">
        <v>5332</v>
      </c>
    </row>
    <row r="673" spans="1:11" ht="45">
      <c r="A673" s="1193"/>
      <c r="B673" s="542" t="s">
        <v>5228</v>
      </c>
      <c r="C673" s="543" t="s">
        <v>311</v>
      </c>
      <c r="D673" s="543" t="s">
        <v>320</v>
      </c>
      <c r="E673" s="542" t="s">
        <v>709</v>
      </c>
      <c r="F673" s="542" t="s">
        <v>3098</v>
      </c>
      <c r="G673" s="542" t="s">
        <v>3099</v>
      </c>
      <c r="H673" s="542" t="s">
        <v>5355</v>
      </c>
      <c r="I673" s="542" t="s">
        <v>638</v>
      </c>
      <c r="J673" s="542">
        <v>1</v>
      </c>
      <c r="K673" s="543" t="s">
        <v>5332</v>
      </c>
    </row>
    <row r="674" spans="1:11">
      <c r="A674" s="1193" t="s">
        <v>1646</v>
      </c>
      <c r="B674" s="1193"/>
      <c r="C674" s="1193"/>
      <c r="D674" s="1193"/>
      <c r="E674" s="1193"/>
      <c r="F674" s="1193"/>
      <c r="G674" s="1193"/>
      <c r="H674" s="1193"/>
      <c r="I674" s="1193"/>
      <c r="J674" s="228">
        <f>SUM(J660:J673)</f>
        <v>22</v>
      </c>
      <c r="K674" s="228"/>
    </row>
    <row r="676" spans="1:11">
      <c r="A676" s="537" t="s">
        <v>43</v>
      </c>
      <c r="B676" s="537" t="s">
        <v>44</v>
      </c>
      <c r="C676" s="538" t="s">
        <v>2</v>
      </c>
      <c r="D676" s="538" t="s">
        <v>3</v>
      </c>
      <c r="E676" s="538" t="s">
        <v>1724</v>
      </c>
      <c r="F676" s="538" t="s">
        <v>5</v>
      </c>
      <c r="G676" s="538" t="s">
        <v>6</v>
      </c>
      <c r="H676" s="539" t="s">
        <v>45</v>
      </c>
      <c r="I676" s="538" t="s">
        <v>8</v>
      </c>
      <c r="J676" s="540" t="s">
        <v>46</v>
      </c>
      <c r="K676" s="541" t="s">
        <v>47</v>
      </c>
    </row>
    <row r="677" spans="1:11">
      <c r="A677" s="1193" t="s">
        <v>739</v>
      </c>
      <c r="B677" s="542" t="s">
        <v>5221</v>
      </c>
      <c r="C677" s="543" t="s">
        <v>306</v>
      </c>
      <c r="D677" s="543" t="s">
        <v>322</v>
      </c>
      <c r="E677" s="543" t="s">
        <v>307</v>
      </c>
      <c r="F677" s="542">
        <v>7062</v>
      </c>
      <c r="G677" s="542" t="s">
        <v>347</v>
      </c>
      <c r="H677" s="542" t="s">
        <v>4915</v>
      </c>
      <c r="I677" s="543" t="s">
        <v>664</v>
      </c>
      <c r="J677" s="543">
        <v>2</v>
      </c>
      <c r="K677" s="543" t="s">
        <v>5332</v>
      </c>
    </row>
    <row r="678" spans="1:11">
      <c r="A678" s="1193"/>
      <c r="B678" s="542" t="s">
        <v>5356</v>
      </c>
      <c r="C678" s="543" t="s">
        <v>311</v>
      </c>
      <c r="D678" s="543" t="s">
        <v>320</v>
      </c>
      <c r="E678" s="542" t="s">
        <v>2601</v>
      </c>
      <c r="F678" s="542" t="s">
        <v>4924</v>
      </c>
      <c r="G678" s="542" t="s">
        <v>3113</v>
      </c>
      <c r="H678" s="542" t="s">
        <v>5357</v>
      </c>
      <c r="I678" s="542" t="s">
        <v>1111</v>
      </c>
      <c r="J678" s="542">
        <v>1</v>
      </c>
      <c r="K678" s="543" t="s">
        <v>5332</v>
      </c>
    </row>
    <row r="679" spans="1:11">
      <c r="A679" s="1193"/>
      <c r="B679" s="544">
        <v>46104</v>
      </c>
      <c r="C679" s="543" t="s">
        <v>19</v>
      </c>
      <c r="D679" s="543" t="s">
        <v>25</v>
      </c>
      <c r="E679" s="543" t="s">
        <v>307</v>
      </c>
      <c r="F679" s="545" t="s">
        <v>3589</v>
      </c>
      <c r="G679" s="546" t="s">
        <v>482</v>
      </c>
      <c r="H679" s="542" t="s">
        <v>5326</v>
      </c>
      <c r="I679" s="543" t="s">
        <v>1259</v>
      </c>
      <c r="J679" s="543">
        <v>2</v>
      </c>
      <c r="K679" s="543" t="s">
        <v>5332</v>
      </c>
    </row>
    <row r="680" spans="1:11">
      <c r="A680" s="1193"/>
      <c r="B680" s="544" t="s">
        <v>4922</v>
      </c>
      <c r="C680" s="543" t="s">
        <v>19</v>
      </c>
      <c r="D680" s="543" t="s">
        <v>25</v>
      </c>
      <c r="E680" s="543" t="s">
        <v>307</v>
      </c>
      <c r="F680" s="545" t="s">
        <v>2959</v>
      </c>
      <c r="G680" s="546" t="s">
        <v>143</v>
      </c>
      <c r="H680" s="542" t="s">
        <v>1105</v>
      </c>
      <c r="I680" s="543" t="s">
        <v>1259</v>
      </c>
      <c r="J680" s="543">
        <v>3</v>
      </c>
      <c r="K680" s="543" t="s">
        <v>5332</v>
      </c>
    </row>
    <row r="681" spans="1:11">
      <c r="A681" s="1193" t="s">
        <v>1646</v>
      </c>
      <c r="B681" s="1193"/>
      <c r="C681" s="1193"/>
      <c r="D681" s="1193"/>
      <c r="E681" s="1193"/>
      <c r="F681" s="1193"/>
      <c r="G681" s="1193"/>
      <c r="H681" s="1193"/>
      <c r="I681" s="1193"/>
      <c r="J681" s="228">
        <f>SUM(J677:J680)</f>
        <v>8</v>
      </c>
      <c r="K681" s="228"/>
    </row>
    <row r="685" spans="1:11">
      <c r="A685" s="554" t="s">
        <v>43</v>
      </c>
      <c r="B685" s="554" t="s">
        <v>44</v>
      </c>
      <c r="C685" s="538" t="s">
        <v>2</v>
      </c>
      <c r="D685" s="538" t="s">
        <v>3</v>
      </c>
      <c r="E685" s="538" t="s">
        <v>1724</v>
      </c>
      <c r="F685" s="538" t="s">
        <v>5</v>
      </c>
      <c r="G685" s="538" t="s">
        <v>6</v>
      </c>
      <c r="H685" s="538" t="s">
        <v>45</v>
      </c>
      <c r="I685" s="538" t="s">
        <v>8</v>
      </c>
      <c r="J685" s="541" t="s">
        <v>46</v>
      </c>
      <c r="K685" s="541" t="s">
        <v>47</v>
      </c>
    </row>
    <row r="686" spans="1:11">
      <c r="A686" s="1185" t="s">
        <v>1115</v>
      </c>
      <c r="B686" s="553">
        <v>46107</v>
      </c>
      <c r="C686" s="226" t="s">
        <v>124</v>
      </c>
      <c r="D686" s="226" t="s">
        <v>151</v>
      </c>
      <c r="E686" s="226" t="s">
        <v>5254</v>
      </c>
      <c r="F686" s="551" t="s">
        <v>3589</v>
      </c>
      <c r="G686" s="552" t="s">
        <v>34</v>
      </c>
      <c r="H686" s="227" t="s">
        <v>5274</v>
      </c>
      <c r="I686" s="226"/>
      <c r="J686" s="226">
        <v>1</v>
      </c>
      <c r="K686" s="543" t="s">
        <v>5332</v>
      </c>
    </row>
    <row r="687" spans="1:11">
      <c r="A687" s="1185"/>
      <c r="B687" s="553">
        <v>46108</v>
      </c>
      <c r="C687" s="226" t="s">
        <v>49</v>
      </c>
      <c r="D687" s="226" t="s">
        <v>151</v>
      </c>
      <c r="E687" s="226" t="s">
        <v>5254</v>
      </c>
      <c r="F687" s="551" t="s">
        <v>3589</v>
      </c>
      <c r="G687" s="552" t="s">
        <v>34</v>
      </c>
      <c r="H687" s="227" t="s">
        <v>5274</v>
      </c>
      <c r="I687" s="226"/>
      <c r="J687" s="226">
        <v>1</v>
      </c>
      <c r="K687" s="543" t="s">
        <v>5332</v>
      </c>
    </row>
    <row r="688" spans="1:11">
      <c r="A688" s="1185" t="s">
        <v>1646</v>
      </c>
      <c r="B688" s="1185"/>
      <c r="C688" s="1185"/>
      <c r="D688" s="1185"/>
      <c r="E688" s="1185"/>
      <c r="F688" s="1185"/>
      <c r="G688" s="1185"/>
      <c r="H688" s="1185"/>
      <c r="I688" s="1185"/>
      <c r="J688" s="228">
        <f>SUM(J685:J687)</f>
        <v>2</v>
      </c>
      <c r="K688" s="228"/>
    </row>
    <row r="691" spans="1:12" s="557" customFormat="1" ht="13.5">
      <c r="A691" s="554" t="s">
        <v>43</v>
      </c>
      <c r="B691" s="554" t="s">
        <v>44</v>
      </c>
      <c r="C691" s="538" t="s">
        <v>2</v>
      </c>
      <c r="D691" s="538" t="s">
        <v>3</v>
      </c>
      <c r="E691" s="538" t="s">
        <v>1724</v>
      </c>
      <c r="F691" s="538" t="s">
        <v>5</v>
      </c>
      <c r="G691" s="538" t="s">
        <v>6</v>
      </c>
      <c r="H691" s="538" t="s">
        <v>45</v>
      </c>
      <c r="I691" s="538" t="s">
        <v>8</v>
      </c>
      <c r="J691" s="541" t="s">
        <v>46</v>
      </c>
      <c r="K691" s="541" t="s">
        <v>47</v>
      </c>
      <c r="L691" s="556"/>
    </row>
    <row r="692" spans="1:12">
      <c r="A692" s="1189" t="s">
        <v>1115</v>
      </c>
      <c r="B692" s="542" t="s">
        <v>5166</v>
      </c>
      <c r="C692" s="543" t="s">
        <v>306</v>
      </c>
      <c r="D692" s="543" t="s">
        <v>322</v>
      </c>
      <c r="E692" s="543" t="s">
        <v>307</v>
      </c>
      <c r="F692" s="542" t="s">
        <v>5167</v>
      </c>
      <c r="G692" s="542" t="s">
        <v>662</v>
      </c>
      <c r="H692" s="542" t="s">
        <v>1096</v>
      </c>
      <c r="I692" s="543" t="s">
        <v>664</v>
      </c>
      <c r="J692" s="543">
        <v>2</v>
      </c>
      <c r="K692" s="543" t="s">
        <v>5332</v>
      </c>
    </row>
    <row r="693" spans="1:12">
      <c r="A693" s="1189"/>
      <c r="B693" s="542" t="s">
        <v>5168</v>
      </c>
      <c r="C693" s="543" t="s">
        <v>306</v>
      </c>
      <c r="D693" s="543" t="s">
        <v>322</v>
      </c>
      <c r="E693" s="543" t="s">
        <v>307</v>
      </c>
      <c r="F693" s="542">
        <v>1570</v>
      </c>
      <c r="G693" s="542" t="s">
        <v>3175</v>
      </c>
      <c r="H693" s="542" t="s">
        <v>5018</v>
      </c>
      <c r="I693" s="543" t="s">
        <v>664</v>
      </c>
      <c r="J693" s="543">
        <v>2</v>
      </c>
      <c r="K693" s="543" t="s">
        <v>5332</v>
      </c>
    </row>
    <row r="694" spans="1:12">
      <c r="A694" s="1189"/>
      <c r="B694" s="542" t="s">
        <v>5190</v>
      </c>
      <c r="C694" s="543" t="s">
        <v>306</v>
      </c>
      <c r="D694" s="543" t="s">
        <v>322</v>
      </c>
      <c r="E694" s="543" t="s">
        <v>307</v>
      </c>
      <c r="F694" s="542">
        <v>8263</v>
      </c>
      <c r="G694" s="542" t="s">
        <v>3175</v>
      </c>
      <c r="H694" s="542" t="s">
        <v>1096</v>
      </c>
      <c r="I694" s="543" t="s">
        <v>664</v>
      </c>
      <c r="J694" s="543">
        <v>3</v>
      </c>
      <c r="K694" s="543" t="s">
        <v>5332</v>
      </c>
    </row>
    <row r="695" spans="1:12">
      <c r="A695" s="1189"/>
      <c r="B695" s="542" t="s">
        <v>5191</v>
      </c>
      <c r="C695" s="543" t="s">
        <v>306</v>
      </c>
      <c r="D695" s="543" t="s">
        <v>322</v>
      </c>
      <c r="E695" s="543" t="s">
        <v>307</v>
      </c>
      <c r="F695" s="542" t="s">
        <v>5192</v>
      </c>
      <c r="G695" s="542" t="s">
        <v>5193</v>
      </c>
      <c r="H695" s="542" t="s">
        <v>5194</v>
      </c>
      <c r="I695" s="543" t="s">
        <v>664</v>
      </c>
      <c r="J695" s="543">
        <v>2</v>
      </c>
      <c r="K695" s="543" t="s">
        <v>5332</v>
      </c>
    </row>
    <row r="696" spans="1:12">
      <c r="A696" s="1189"/>
      <c r="B696" s="542" t="s">
        <v>5221</v>
      </c>
      <c r="C696" s="543" t="s">
        <v>306</v>
      </c>
      <c r="D696" s="543" t="s">
        <v>322</v>
      </c>
      <c r="E696" s="543" t="s">
        <v>307</v>
      </c>
      <c r="F696" s="542" t="s">
        <v>4938</v>
      </c>
      <c r="G696" s="542" t="s">
        <v>3175</v>
      </c>
      <c r="H696" s="542" t="s">
        <v>1096</v>
      </c>
      <c r="I696" s="543" t="s">
        <v>664</v>
      </c>
      <c r="J696" s="543">
        <v>5</v>
      </c>
      <c r="K696" s="543" t="s">
        <v>5332</v>
      </c>
    </row>
    <row r="697" spans="1:12">
      <c r="A697" s="1189"/>
      <c r="B697" s="544" t="s">
        <v>4913</v>
      </c>
      <c r="C697" s="543" t="s">
        <v>19</v>
      </c>
      <c r="D697" s="543" t="s">
        <v>25</v>
      </c>
      <c r="E697" s="543" t="s">
        <v>307</v>
      </c>
      <c r="F697" s="545" t="s">
        <v>4939</v>
      </c>
      <c r="G697" s="546" t="s">
        <v>482</v>
      </c>
      <c r="H697" s="542" t="s">
        <v>4941</v>
      </c>
      <c r="I697" s="543" t="s">
        <v>168</v>
      </c>
      <c r="J697" s="543">
        <v>5</v>
      </c>
      <c r="K697" s="543" t="s">
        <v>5332</v>
      </c>
    </row>
    <row r="698" spans="1:12">
      <c r="A698" s="1189"/>
      <c r="B698" s="544">
        <v>46111</v>
      </c>
      <c r="C698" s="543" t="s">
        <v>49</v>
      </c>
      <c r="D698" s="543" t="s">
        <v>151</v>
      </c>
      <c r="E698" s="543" t="s">
        <v>5254</v>
      </c>
      <c r="F698" s="545" t="s">
        <v>4939</v>
      </c>
      <c r="G698" s="546" t="s">
        <v>482</v>
      </c>
      <c r="H698" s="542" t="s">
        <v>5298</v>
      </c>
      <c r="I698" s="543" t="s">
        <v>126</v>
      </c>
      <c r="J698" s="543">
        <v>1</v>
      </c>
      <c r="K698" s="543" t="s">
        <v>5332</v>
      </c>
      <c r="L698" s="555">
        <f>250000*7</f>
        <v>1750000</v>
      </c>
    </row>
    <row r="699" spans="1:12">
      <c r="A699" s="1185" t="s">
        <v>1646</v>
      </c>
      <c r="B699" s="1185"/>
      <c r="C699" s="1185"/>
      <c r="D699" s="1185"/>
      <c r="E699" s="1185"/>
      <c r="F699" s="1185"/>
      <c r="G699" s="1185"/>
      <c r="H699" s="1185"/>
      <c r="I699" s="1185"/>
      <c r="J699" s="228">
        <f>SUM(J692:J698)</f>
        <v>20</v>
      </c>
      <c r="K699" s="228"/>
    </row>
    <row r="702" spans="1:12" ht="22.5">
      <c r="A702" s="612" t="s">
        <v>43</v>
      </c>
      <c r="B702" s="612" t="s">
        <v>1620</v>
      </c>
      <c r="C702" s="613" t="s">
        <v>2</v>
      </c>
      <c r="D702" s="613" t="s">
        <v>3</v>
      </c>
      <c r="E702" s="613" t="s">
        <v>4</v>
      </c>
      <c r="F702" s="613" t="s">
        <v>5</v>
      </c>
      <c r="G702" s="613" t="s">
        <v>6</v>
      </c>
      <c r="H702" s="614" t="s">
        <v>45</v>
      </c>
      <c r="I702" s="613" t="s">
        <v>8</v>
      </c>
      <c r="J702" s="615" t="s">
        <v>46</v>
      </c>
      <c r="K702" s="616" t="s">
        <v>47</v>
      </c>
    </row>
    <row r="703" spans="1:12">
      <c r="A703" s="1173" t="s">
        <v>5657</v>
      </c>
      <c r="B703" s="617" t="s">
        <v>4913</v>
      </c>
      <c r="C703" s="618" t="s">
        <v>19</v>
      </c>
      <c r="D703" s="618" t="s">
        <v>25</v>
      </c>
      <c r="E703" s="618" t="s">
        <v>307</v>
      </c>
      <c r="F703" s="619" t="s">
        <v>4939</v>
      </c>
      <c r="G703" s="620" t="s">
        <v>482</v>
      </c>
      <c r="H703" s="621" t="s">
        <v>4941</v>
      </c>
      <c r="I703" s="618" t="s">
        <v>437</v>
      </c>
      <c r="J703" s="619">
        <v>5</v>
      </c>
      <c r="K703" s="618" t="s">
        <v>631</v>
      </c>
      <c r="L703" s="505">
        <v>2500000</v>
      </c>
    </row>
    <row r="704" spans="1:12">
      <c r="A704" s="1173"/>
      <c r="B704" s="617" t="s">
        <v>4945</v>
      </c>
      <c r="C704" s="618" t="s">
        <v>19</v>
      </c>
      <c r="D704" s="618" t="s">
        <v>25</v>
      </c>
      <c r="E704" s="618" t="s">
        <v>307</v>
      </c>
      <c r="F704" s="619" t="s">
        <v>4939</v>
      </c>
      <c r="G704" s="620" t="s">
        <v>4950</v>
      </c>
      <c r="H704" s="621" t="s">
        <v>4949</v>
      </c>
      <c r="I704" s="618" t="s">
        <v>1948</v>
      </c>
      <c r="J704" s="619">
        <v>2</v>
      </c>
      <c r="K704" s="618" t="s">
        <v>631</v>
      </c>
      <c r="L704" s="530">
        <v>500000</v>
      </c>
    </row>
    <row r="705" spans="1:12">
      <c r="A705" s="1173"/>
      <c r="B705" s="617" t="s">
        <v>4913</v>
      </c>
      <c r="C705" s="618" t="s">
        <v>19</v>
      </c>
      <c r="D705" s="618" t="s">
        <v>25</v>
      </c>
      <c r="E705" s="618" t="s">
        <v>307</v>
      </c>
      <c r="F705" s="619" t="s">
        <v>4947</v>
      </c>
      <c r="G705" s="620" t="s">
        <v>115</v>
      </c>
      <c r="H705" s="621" t="s">
        <v>4949</v>
      </c>
      <c r="I705" s="618" t="s">
        <v>1948</v>
      </c>
      <c r="J705" s="619">
        <v>3</v>
      </c>
      <c r="K705" s="618" t="s">
        <v>631</v>
      </c>
      <c r="L705" s="530">
        <v>750000</v>
      </c>
    </row>
    <row r="706" spans="1:12">
      <c r="A706" s="1173"/>
      <c r="B706" s="623" t="s">
        <v>5299</v>
      </c>
      <c r="C706" s="618" t="s">
        <v>49</v>
      </c>
      <c r="D706" s="618" t="s">
        <v>151</v>
      </c>
      <c r="E706" s="618" t="s">
        <v>5254</v>
      </c>
      <c r="F706" s="619" t="s">
        <v>4939</v>
      </c>
      <c r="G706" s="620" t="s">
        <v>482</v>
      </c>
      <c r="H706" s="621" t="s">
        <v>5300</v>
      </c>
      <c r="I706" s="618" t="s">
        <v>1948</v>
      </c>
      <c r="J706" s="619">
        <v>5</v>
      </c>
      <c r="K706" s="618" t="s">
        <v>631</v>
      </c>
      <c r="L706" s="463">
        <v>1250000</v>
      </c>
    </row>
    <row r="707" spans="1:12">
      <c r="A707" s="1173"/>
      <c r="B707" s="624" t="s">
        <v>5442</v>
      </c>
      <c r="C707" s="625" t="s">
        <v>306</v>
      </c>
      <c r="D707" s="625" t="s">
        <v>322</v>
      </c>
      <c r="E707" s="626" t="s">
        <v>5400</v>
      </c>
      <c r="F707" s="626" t="s">
        <v>4938</v>
      </c>
      <c r="G707" s="626" t="s">
        <v>1911</v>
      </c>
      <c r="H707" s="626" t="s">
        <v>5401</v>
      </c>
      <c r="I707" s="627" t="s">
        <v>1111</v>
      </c>
      <c r="J707" s="628">
        <v>1</v>
      </c>
      <c r="K707" s="618" t="s">
        <v>631</v>
      </c>
      <c r="L707" s="481">
        <v>250000</v>
      </c>
    </row>
    <row r="708" spans="1:12">
      <c r="A708" s="1173"/>
      <c r="B708" s="629" t="s">
        <v>5444</v>
      </c>
      <c r="C708" s="625" t="s">
        <v>306</v>
      </c>
      <c r="D708" s="625" t="s">
        <v>322</v>
      </c>
      <c r="E708" s="626" t="s">
        <v>5400</v>
      </c>
      <c r="F708" s="630" t="s">
        <v>4938</v>
      </c>
      <c r="G708" s="630" t="s">
        <v>1911</v>
      </c>
      <c r="H708" s="630" t="s">
        <v>5402</v>
      </c>
      <c r="I708" s="627" t="s">
        <v>1111</v>
      </c>
      <c r="J708" s="628">
        <v>5</v>
      </c>
      <c r="K708" s="618" t="s">
        <v>631</v>
      </c>
      <c r="L708" s="481">
        <v>2500000</v>
      </c>
    </row>
    <row r="709" spans="1:12">
      <c r="A709" s="1173"/>
      <c r="B709" s="626" t="s">
        <v>5445</v>
      </c>
      <c r="C709" s="627" t="s">
        <v>306</v>
      </c>
      <c r="D709" s="627" t="s">
        <v>322</v>
      </c>
      <c r="E709" s="627" t="s">
        <v>5400</v>
      </c>
      <c r="F709" s="630" t="s">
        <v>4938</v>
      </c>
      <c r="G709" s="630" t="s">
        <v>1911</v>
      </c>
      <c r="H709" s="630" t="s">
        <v>5446</v>
      </c>
      <c r="I709" s="627" t="s">
        <v>5447</v>
      </c>
      <c r="J709" s="628">
        <v>3</v>
      </c>
      <c r="K709" s="618" t="s">
        <v>631</v>
      </c>
      <c r="L709" s="481">
        <v>750000</v>
      </c>
    </row>
    <row r="710" spans="1:12">
      <c r="A710" s="1173"/>
      <c r="B710" s="626" t="s">
        <v>5453</v>
      </c>
      <c r="C710" s="627" t="s">
        <v>306</v>
      </c>
      <c r="D710" s="627" t="s">
        <v>322</v>
      </c>
      <c r="E710" s="627" t="s">
        <v>5400</v>
      </c>
      <c r="F710" s="630" t="s">
        <v>5454</v>
      </c>
      <c r="G710" s="630" t="s">
        <v>3113</v>
      </c>
      <c r="H710" s="630" t="s">
        <v>5455</v>
      </c>
      <c r="I710" s="627" t="s">
        <v>5447</v>
      </c>
      <c r="J710" s="628">
        <v>2</v>
      </c>
      <c r="K710" s="618" t="s">
        <v>631</v>
      </c>
      <c r="L710" s="481">
        <v>500000</v>
      </c>
    </row>
    <row r="711" spans="1:12">
      <c r="A711" s="1173"/>
      <c r="B711" s="622">
        <v>46123</v>
      </c>
      <c r="C711" s="625" t="s">
        <v>306</v>
      </c>
      <c r="D711" s="625" t="s">
        <v>322</v>
      </c>
      <c r="E711" s="626" t="s">
        <v>5400</v>
      </c>
      <c r="F711" s="626" t="s">
        <v>4938</v>
      </c>
      <c r="G711" s="626" t="s">
        <v>1911</v>
      </c>
      <c r="H711" s="626" t="s">
        <v>5401</v>
      </c>
      <c r="I711" s="625" t="s">
        <v>1111</v>
      </c>
      <c r="J711" s="631">
        <v>1</v>
      </c>
      <c r="K711" s="618" t="s">
        <v>631</v>
      </c>
      <c r="L711" s="392">
        <v>250000</v>
      </c>
    </row>
    <row r="712" spans="1:12">
      <c r="A712" s="1173"/>
      <c r="B712" s="623" t="s">
        <v>5505</v>
      </c>
      <c r="C712" s="632" t="s">
        <v>124</v>
      </c>
      <c r="D712" s="632" t="s">
        <v>151</v>
      </c>
      <c r="E712" s="633" t="s">
        <v>5254</v>
      </c>
      <c r="F712" s="634">
        <v>1614</v>
      </c>
      <c r="G712" s="626" t="s">
        <v>1911</v>
      </c>
      <c r="H712" s="635" t="s">
        <v>1105</v>
      </c>
      <c r="I712" s="632" t="s">
        <v>1259</v>
      </c>
      <c r="J712" s="634">
        <v>4</v>
      </c>
      <c r="K712" s="618" t="s">
        <v>631</v>
      </c>
      <c r="L712" s="96">
        <v>1250000</v>
      </c>
    </row>
    <row r="713" spans="1:12">
      <c r="A713" s="1173"/>
      <c r="B713" s="623" t="s">
        <v>5505</v>
      </c>
      <c r="C713" s="632" t="s">
        <v>124</v>
      </c>
      <c r="D713" s="632" t="s">
        <v>151</v>
      </c>
      <c r="E713" s="633" t="s">
        <v>5254</v>
      </c>
      <c r="F713" s="634" t="s">
        <v>5506</v>
      </c>
      <c r="G713" s="636" t="s">
        <v>482</v>
      </c>
      <c r="H713" s="635" t="s">
        <v>378</v>
      </c>
      <c r="I713" s="632" t="s">
        <v>812</v>
      </c>
      <c r="J713" s="634">
        <v>5</v>
      </c>
      <c r="K713" s="618" t="s">
        <v>631</v>
      </c>
      <c r="L713" s="96">
        <v>1250000</v>
      </c>
    </row>
    <row r="714" spans="1:12">
      <c r="A714" s="1173"/>
      <c r="B714" s="623">
        <v>46132</v>
      </c>
      <c r="C714" s="632" t="s">
        <v>306</v>
      </c>
      <c r="D714" s="632" t="s">
        <v>322</v>
      </c>
      <c r="E714" s="635" t="s">
        <v>5400</v>
      </c>
      <c r="F714" s="621" t="s">
        <v>5092</v>
      </c>
      <c r="G714" s="621" t="s">
        <v>347</v>
      </c>
      <c r="H714" s="621" t="s">
        <v>5452</v>
      </c>
      <c r="I714" s="618" t="s">
        <v>1534</v>
      </c>
      <c r="J714" s="634">
        <v>1</v>
      </c>
      <c r="K714" s="618" t="s">
        <v>631</v>
      </c>
      <c r="L714" s="392">
        <v>500000</v>
      </c>
    </row>
    <row r="715" spans="1:12">
      <c r="A715" s="1173"/>
      <c r="B715" s="623" t="s">
        <v>5571</v>
      </c>
      <c r="C715" s="632" t="s">
        <v>306</v>
      </c>
      <c r="D715" s="632" t="s">
        <v>322</v>
      </c>
      <c r="E715" s="635" t="s">
        <v>5400</v>
      </c>
      <c r="F715" s="635" t="s">
        <v>5572</v>
      </c>
      <c r="G715" s="635" t="s">
        <v>102</v>
      </c>
      <c r="H715" s="635" t="s">
        <v>1105</v>
      </c>
      <c r="I715" s="618" t="s">
        <v>1534</v>
      </c>
      <c r="J715" s="634">
        <v>4</v>
      </c>
      <c r="K715" s="618" t="s">
        <v>631</v>
      </c>
      <c r="L715" s="392">
        <v>1000000</v>
      </c>
    </row>
    <row r="716" spans="1:12" ht="17.25" customHeight="1">
      <c r="A716" s="1174"/>
      <c r="B716" s="623" t="s">
        <v>5571</v>
      </c>
      <c r="C716" s="632" t="s">
        <v>306</v>
      </c>
      <c r="D716" s="632" t="s">
        <v>322</v>
      </c>
      <c r="E716" s="635" t="s">
        <v>5400</v>
      </c>
      <c r="F716" s="634">
        <v>8263</v>
      </c>
      <c r="G716" s="635" t="s">
        <v>482</v>
      </c>
      <c r="H716" s="635" t="s">
        <v>1105</v>
      </c>
      <c r="I716" s="618" t="s">
        <v>1534</v>
      </c>
      <c r="J716" s="632">
        <v>3</v>
      </c>
      <c r="K716" s="618" t="s">
        <v>631</v>
      </c>
      <c r="L716" s="392">
        <v>1250000</v>
      </c>
    </row>
    <row r="717" spans="1:12">
      <c r="A717" s="1175" t="s">
        <v>1646</v>
      </c>
      <c r="B717" s="1175"/>
      <c r="C717" s="1175"/>
      <c r="D717" s="1175"/>
      <c r="E717" s="1175"/>
      <c r="F717" s="1175"/>
      <c r="G717" s="1175"/>
      <c r="H717" s="1175"/>
      <c r="I717" s="1175"/>
      <c r="J717" s="632">
        <f>SUM(J703:J716)</f>
        <v>44</v>
      </c>
      <c r="K717" s="637"/>
      <c r="L717" s="611">
        <f>SUM(L703:L716)</f>
        <v>14500000</v>
      </c>
    </row>
    <row r="722" spans="1:12" ht="22.5">
      <c r="A722" s="612" t="s">
        <v>43</v>
      </c>
      <c r="B722" s="612" t="s">
        <v>1620</v>
      </c>
      <c r="C722" s="613" t="s">
        <v>2</v>
      </c>
      <c r="D722" s="613" t="s">
        <v>3</v>
      </c>
      <c r="E722" s="613" t="s">
        <v>4</v>
      </c>
      <c r="F722" s="613" t="s">
        <v>5</v>
      </c>
      <c r="G722" s="613" t="s">
        <v>6</v>
      </c>
      <c r="H722" s="614" t="s">
        <v>45</v>
      </c>
      <c r="I722" s="613" t="s">
        <v>8</v>
      </c>
      <c r="J722" s="615" t="s">
        <v>46</v>
      </c>
      <c r="K722" s="616" t="s">
        <v>47</v>
      </c>
    </row>
    <row r="723" spans="1:12">
      <c r="A723" s="1177" t="s">
        <v>739</v>
      </c>
      <c r="B723" s="640">
        <v>46106</v>
      </c>
      <c r="C723" s="641" t="s">
        <v>19</v>
      </c>
      <c r="D723" s="641" t="s">
        <v>151</v>
      </c>
      <c r="E723" s="641" t="s">
        <v>5254</v>
      </c>
      <c r="F723" s="642">
        <v>594</v>
      </c>
      <c r="G723" s="643" t="s">
        <v>264</v>
      </c>
      <c r="H723" s="644" t="s">
        <v>5255</v>
      </c>
      <c r="I723" s="641" t="s">
        <v>168</v>
      </c>
      <c r="J723" s="618">
        <v>1</v>
      </c>
      <c r="K723" s="618" t="s">
        <v>50</v>
      </c>
    </row>
    <row r="724" spans="1:12">
      <c r="A724" s="1178"/>
      <c r="B724" s="640" t="s">
        <v>5301</v>
      </c>
      <c r="C724" s="641" t="s">
        <v>49</v>
      </c>
      <c r="D724" s="641" t="s">
        <v>151</v>
      </c>
      <c r="E724" s="641" t="s">
        <v>5254</v>
      </c>
      <c r="F724" s="642" t="s">
        <v>2959</v>
      </c>
      <c r="G724" s="643" t="s">
        <v>143</v>
      </c>
      <c r="H724" s="644" t="s">
        <v>1105</v>
      </c>
      <c r="I724" s="641" t="s">
        <v>1259</v>
      </c>
      <c r="J724" s="618">
        <v>2</v>
      </c>
      <c r="K724" s="618" t="s">
        <v>50</v>
      </c>
    </row>
    <row r="725" spans="1:12">
      <c r="A725" s="1178"/>
      <c r="B725" s="640" t="s">
        <v>5302</v>
      </c>
      <c r="C725" s="641" t="s">
        <v>49</v>
      </c>
      <c r="D725" s="641" t="s">
        <v>151</v>
      </c>
      <c r="E725" s="641" t="s">
        <v>5254</v>
      </c>
      <c r="F725" s="642" t="s">
        <v>4947</v>
      </c>
      <c r="G725" s="643" t="s">
        <v>102</v>
      </c>
      <c r="H725" s="644" t="s">
        <v>2497</v>
      </c>
      <c r="I725" s="641" t="s">
        <v>1259</v>
      </c>
      <c r="J725" s="618">
        <v>2</v>
      </c>
      <c r="K725" s="618" t="s">
        <v>50</v>
      </c>
    </row>
    <row r="726" spans="1:12">
      <c r="A726" s="1178"/>
      <c r="B726" s="645" t="s">
        <v>5442</v>
      </c>
      <c r="C726" s="646" t="s">
        <v>306</v>
      </c>
      <c r="D726" s="646" t="s">
        <v>322</v>
      </c>
      <c r="E726" s="645" t="s">
        <v>5400</v>
      </c>
      <c r="F726" s="644" t="s">
        <v>4964</v>
      </c>
      <c r="G726" s="644" t="s">
        <v>347</v>
      </c>
      <c r="H726" s="644" t="s">
        <v>4915</v>
      </c>
      <c r="I726" s="641" t="s">
        <v>1534</v>
      </c>
      <c r="J726" s="618">
        <v>1</v>
      </c>
      <c r="K726" s="618" t="s">
        <v>50</v>
      </c>
    </row>
    <row r="727" spans="1:12">
      <c r="A727" s="1178"/>
      <c r="B727" s="645" t="s">
        <v>5448</v>
      </c>
      <c r="C727" s="646" t="s">
        <v>306</v>
      </c>
      <c r="D727" s="646" t="s">
        <v>322</v>
      </c>
      <c r="E727" s="645" t="s">
        <v>5400</v>
      </c>
      <c r="F727" s="644" t="s">
        <v>5449</v>
      </c>
      <c r="G727" s="644" t="s">
        <v>662</v>
      </c>
      <c r="H727" s="644" t="s">
        <v>5450</v>
      </c>
      <c r="I727" s="641" t="s">
        <v>1534</v>
      </c>
      <c r="J727" s="618">
        <v>1</v>
      </c>
      <c r="K727" s="618" t="s">
        <v>50</v>
      </c>
    </row>
    <row r="728" spans="1:12">
      <c r="A728" s="1178"/>
      <c r="B728" s="645" t="s">
        <v>5451</v>
      </c>
      <c r="C728" s="646" t="s">
        <v>306</v>
      </c>
      <c r="D728" s="646" t="s">
        <v>322</v>
      </c>
      <c r="E728" s="645" t="s">
        <v>5400</v>
      </c>
      <c r="F728" s="644" t="s">
        <v>5092</v>
      </c>
      <c r="G728" s="644" t="s">
        <v>347</v>
      </c>
      <c r="H728" s="644" t="s">
        <v>5452</v>
      </c>
      <c r="I728" s="641" t="s">
        <v>1534</v>
      </c>
      <c r="J728" s="618">
        <v>4</v>
      </c>
      <c r="K728" s="618" t="s">
        <v>50</v>
      </c>
    </row>
    <row r="729" spans="1:12">
      <c r="A729" s="1178"/>
      <c r="B729" s="640">
        <v>46125</v>
      </c>
      <c r="C729" s="646" t="s">
        <v>19</v>
      </c>
      <c r="D729" s="646" t="s">
        <v>322</v>
      </c>
      <c r="E729" s="645" t="s">
        <v>5400</v>
      </c>
      <c r="F729" s="645" t="s">
        <v>3589</v>
      </c>
      <c r="G729" s="645" t="s">
        <v>482</v>
      </c>
      <c r="H729" s="647" t="s">
        <v>5326</v>
      </c>
      <c r="I729" s="646" t="s">
        <v>168</v>
      </c>
      <c r="J729" s="632">
        <v>1</v>
      </c>
      <c r="K729" s="618" t="s">
        <v>50</v>
      </c>
    </row>
    <row r="730" spans="1:12">
      <c r="A730" s="1179"/>
      <c r="B730" s="640" t="s">
        <v>5505</v>
      </c>
      <c r="C730" s="646" t="s">
        <v>19</v>
      </c>
      <c r="D730" s="646" t="s">
        <v>151</v>
      </c>
      <c r="E730" s="648" t="s">
        <v>5254</v>
      </c>
      <c r="F730" s="649">
        <v>1614</v>
      </c>
      <c r="G730" s="645" t="s">
        <v>1911</v>
      </c>
      <c r="H730" s="645" t="s">
        <v>1105</v>
      </c>
      <c r="I730" s="646" t="s">
        <v>1259</v>
      </c>
      <c r="J730" s="632">
        <v>2</v>
      </c>
      <c r="K730" s="618" t="s">
        <v>50</v>
      </c>
    </row>
    <row r="731" spans="1:12">
      <c r="A731" s="1175" t="s">
        <v>1646</v>
      </c>
      <c r="B731" s="1175"/>
      <c r="C731" s="1175"/>
      <c r="D731" s="1175"/>
      <c r="E731" s="1175"/>
      <c r="F731" s="1175"/>
      <c r="G731" s="1175"/>
      <c r="H731" s="1175"/>
      <c r="I731" s="1175"/>
      <c r="J731" s="632">
        <f>SUM(J723:J730)</f>
        <v>14</v>
      </c>
      <c r="K731" s="637"/>
      <c r="L731" s="611">
        <f>SUM(L717:L730)</f>
        <v>14500000</v>
      </c>
    </row>
    <row r="735" spans="1:12" ht="22.5">
      <c r="A735" s="612" t="s">
        <v>43</v>
      </c>
      <c r="B735" s="612" t="s">
        <v>1620</v>
      </c>
      <c r="C735" s="613" t="s">
        <v>2</v>
      </c>
      <c r="D735" s="613" t="s">
        <v>3</v>
      </c>
      <c r="E735" s="613" t="s">
        <v>4</v>
      </c>
      <c r="F735" s="613" t="s">
        <v>5</v>
      </c>
      <c r="G735" s="613" t="s">
        <v>6</v>
      </c>
      <c r="H735" s="614" t="s">
        <v>45</v>
      </c>
      <c r="I735" s="613" t="s">
        <v>8</v>
      </c>
      <c r="J735" s="615" t="s">
        <v>46</v>
      </c>
      <c r="K735" s="616" t="s">
        <v>47</v>
      </c>
    </row>
    <row r="736" spans="1:12">
      <c r="A736" s="1180" t="s">
        <v>5675</v>
      </c>
      <c r="B736" s="640">
        <v>46107</v>
      </c>
      <c r="C736" s="632" t="s">
        <v>21</v>
      </c>
      <c r="D736" s="632" t="s">
        <v>14</v>
      </c>
      <c r="E736" s="633" t="s">
        <v>107</v>
      </c>
      <c r="F736" s="633" t="s">
        <v>1968</v>
      </c>
      <c r="G736" s="636" t="s">
        <v>376</v>
      </c>
      <c r="H736" s="634" t="s">
        <v>303</v>
      </c>
      <c r="I736" s="633" t="s">
        <v>90</v>
      </c>
      <c r="J736" s="634">
        <v>1</v>
      </c>
      <c r="K736" s="618" t="s">
        <v>50</v>
      </c>
    </row>
    <row r="737" spans="1:12">
      <c r="A737" s="1180"/>
      <c r="B737" s="645" t="s">
        <v>5459</v>
      </c>
      <c r="C737" s="646" t="s">
        <v>311</v>
      </c>
      <c r="D737" s="646" t="s">
        <v>320</v>
      </c>
      <c r="E737" s="645" t="s">
        <v>690</v>
      </c>
      <c r="F737" s="645" t="s">
        <v>5004</v>
      </c>
      <c r="G737" s="645" t="s">
        <v>1198</v>
      </c>
      <c r="H737" s="647" t="s">
        <v>5460</v>
      </c>
      <c r="I737" s="618" t="s">
        <v>638</v>
      </c>
      <c r="J737" s="618">
        <v>1</v>
      </c>
      <c r="K737" s="618" t="s">
        <v>50</v>
      </c>
    </row>
    <row r="738" spans="1:12" ht="45">
      <c r="A738" s="1180"/>
      <c r="B738" s="645" t="s">
        <v>5462</v>
      </c>
      <c r="C738" s="646" t="s">
        <v>311</v>
      </c>
      <c r="D738" s="646" t="s">
        <v>675</v>
      </c>
      <c r="E738" s="645" t="s">
        <v>720</v>
      </c>
      <c r="F738" s="645">
        <v>7060</v>
      </c>
      <c r="G738" s="645" t="s">
        <v>371</v>
      </c>
      <c r="H738" s="644" t="s">
        <v>5463</v>
      </c>
      <c r="I738" s="635" t="s">
        <v>638</v>
      </c>
      <c r="J738" s="635">
        <v>1</v>
      </c>
      <c r="K738" s="618" t="s">
        <v>50</v>
      </c>
    </row>
    <row r="739" spans="1:12">
      <c r="A739" s="1180"/>
      <c r="B739" s="645" t="s">
        <v>5462</v>
      </c>
      <c r="C739" s="646" t="s">
        <v>311</v>
      </c>
      <c r="D739" s="646" t="s">
        <v>320</v>
      </c>
      <c r="E739" s="645" t="s">
        <v>337</v>
      </c>
      <c r="F739" s="645" t="s">
        <v>3054</v>
      </c>
      <c r="G739" s="645" t="s">
        <v>354</v>
      </c>
      <c r="H739" s="645" t="s">
        <v>310</v>
      </c>
      <c r="I739" s="635" t="s">
        <v>5465</v>
      </c>
      <c r="J739" s="635">
        <v>2</v>
      </c>
      <c r="K739" s="618" t="s">
        <v>50</v>
      </c>
    </row>
    <row r="740" spans="1:12">
      <c r="A740" s="1180"/>
      <c r="B740" s="645" t="s">
        <v>5467</v>
      </c>
      <c r="C740" s="646" t="s">
        <v>311</v>
      </c>
      <c r="D740" s="646" t="s">
        <v>320</v>
      </c>
      <c r="E740" s="645" t="s">
        <v>337</v>
      </c>
      <c r="F740" s="645" t="s">
        <v>3054</v>
      </c>
      <c r="G740" s="645" t="s">
        <v>354</v>
      </c>
      <c r="H740" s="645" t="s">
        <v>310</v>
      </c>
      <c r="I740" s="635" t="s">
        <v>5465</v>
      </c>
      <c r="J740" s="635">
        <v>2</v>
      </c>
      <c r="K740" s="618" t="s">
        <v>50</v>
      </c>
    </row>
    <row r="741" spans="1:12" ht="21">
      <c r="A741" s="1180"/>
      <c r="B741" s="645" t="s">
        <v>5468</v>
      </c>
      <c r="C741" s="646" t="s">
        <v>311</v>
      </c>
      <c r="D741" s="646" t="s">
        <v>320</v>
      </c>
      <c r="E741" s="650" t="s">
        <v>5469</v>
      </c>
      <c r="F741" s="645" t="s">
        <v>5060</v>
      </c>
      <c r="G741" s="645" t="s">
        <v>354</v>
      </c>
      <c r="H741" s="645" t="s">
        <v>310</v>
      </c>
      <c r="I741" s="635" t="s">
        <v>5465</v>
      </c>
      <c r="J741" s="635">
        <v>2</v>
      </c>
      <c r="K741" s="618" t="s">
        <v>50</v>
      </c>
    </row>
    <row r="742" spans="1:12" ht="21">
      <c r="A742" s="1180"/>
      <c r="B742" s="645" t="s">
        <v>5470</v>
      </c>
      <c r="C742" s="646" t="s">
        <v>311</v>
      </c>
      <c r="D742" s="646" t="s">
        <v>320</v>
      </c>
      <c r="E742" s="650" t="s">
        <v>5469</v>
      </c>
      <c r="F742" s="645" t="s">
        <v>5060</v>
      </c>
      <c r="G742" s="645" t="s">
        <v>354</v>
      </c>
      <c r="H742" s="645" t="s">
        <v>310</v>
      </c>
      <c r="I742" s="635" t="s">
        <v>5465</v>
      </c>
      <c r="J742" s="635">
        <v>2</v>
      </c>
      <c r="K742" s="618" t="s">
        <v>50</v>
      </c>
    </row>
    <row r="743" spans="1:12">
      <c r="A743" s="1180"/>
      <c r="B743" s="640">
        <v>46120</v>
      </c>
      <c r="C743" s="646" t="s">
        <v>21</v>
      </c>
      <c r="D743" s="646" t="s">
        <v>14</v>
      </c>
      <c r="E743" s="648" t="s">
        <v>107</v>
      </c>
      <c r="F743" s="648" t="s">
        <v>2959</v>
      </c>
      <c r="G743" s="651" t="s">
        <v>143</v>
      </c>
      <c r="H743" s="649" t="s">
        <v>271</v>
      </c>
      <c r="I743" s="633"/>
      <c r="J743" s="633">
        <v>1</v>
      </c>
      <c r="K743" s="618" t="s">
        <v>50</v>
      </c>
    </row>
    <row r="744" spans="1:12">
      <c r="A744" s="1180"/>
      <c r="B744" s="640">
        <v>46125</v>
      </c>
      <c r="C744" s="646" t="s">
        <v>24</v>
      </c>
      <c r="D744" s="646" t="s">
        <v>14</v>
      </c>
      <c r="E744" s="648" t="s">
        <v>78</v>
      </c>
      <c r="F744" s="649" t="s">
        <v>3008</v>
      </c>
      <c r="G744" s="651" t="s">
        <v>1382</v>
      </c>
      <c r="H744" s="649" t="s">
        <v>5359</v>
      </c>
      <c r="I744" s="633" t="s">
        <v>202</v>
      </c>
      <c r="J744" s="633">
        <v>1</v>
      </c>
      <c r="K744" s="618" t="s">
        <v>50</v>
      </c>
    </row>
    <row r="745" spans="1:12">
      <c r="A745" s="1180"/>
      <c r="B745" s="640">
        <v>46125</v>
      </c>
      <c r="C745" s="646" t="s">
        <v>24</v>
      </c>
      <c r="D745" s="646" t="s">
        <v>14</v>
      </c>
      <c r="E745" s="633" t="s">
        <v>1787</v>
      </c>
      <c r="F745" s="648" t="s">
        <v>2135</v>
      </c>
      <c r="G745" s="636" t="s">
        <v>67</v>
      </c>
      <c r="H745" s="649" t="s">
        <v>5480</v>
      </c>
      <c r="I745" s="633" t="s">
        <v>90</v>
      </c>
      <c r="J745" s="634">
        <v>1</v>
      </c>
      <c r="K745" s="618" t="s">
        <v>50</v>
      </c>
    </row>
    <row r="746" spans="1:12" ht="36">
      <c r="A746" s="1180"/>
      <c r="B746" s="640">
        <v>46126</v>
      </c>
      <c r="C746" s="646" t="s">
        <v>24</v>
      </c>
      <c r="D746" s="646" t="s">
        <v>31</v>
      </c>
      <c r="E746" s="649" t="s">
        <v>78</v>
      </c>
      <c r="F746" s="649" t="s">
        <v>3900</v>
      </c>
      <c r="G746" s="651" t="s">
        <v>36</v>
      </c>
      <c r="H746" s="649" t="s">
        <v>5483</v>
      </c>
      <c r="I746" s="634" t="s">
        <v>5484</v>
      </c>
      <c r="J746" s="634">
        <v>1</v>
      </c>
      <c r="K746" s="618" t="s">
        <v>50</v>
      </c>
    </row>
    <row r="747" spans="1:12">
      <c r="A747" s="1180"/>
      <c r="B747" s="640">
        <v>46128</v>
      </c>
      <c r="C747" s="632" t="s">
        <v>21</v>
      </c>
      <c r="D747" s="632" t="s">
        <v>14</v>
      </c>
      <c r="E747" s="633" t="s">
        <v>107</v>
      </c>
      <c r="F747" s="633" t="s">
        <v>1968</v>
      </c>
      <c r="G747" s="636" t="s">
        <v>376</v>
      </c>
      <c r="H747" s="634" t="s">
        <v>4843</v>
      </c>
      <c r="I747" s="633" t="s">
        <v>90</v>
      </c>
      <c r="J747" s="633">
        <v>2</v>
      </c>
      <c r="K747" s="618" t="s">
        <v>50</v>
      </c>
    </row>
    <row r="748" spans="1:12">
      <c r="A748" s="1180"/>
      <c r="B748" s="640">
        <v>46128</v>
      </c>
      <c r="C748" s="646" t="s">
        <v>24</v>
      </c>
      <c r="D748" s="646" t="s">
        <v>14</v>
      </c>
      <c r="E748" s="633" t="s">
        <v>1787</v>
      </c>
      <c r="F748" s="648" t="s">
        <v>2817</v>
      </c>
      <c r="G748" s="636" t="s">
        <v>23</v>
      </c>
      <c r="H748" s="649" t="s">
        <v>5434</v>
      </c>
      <c r="I748" s="633"/>
      <c r="J748" s="634">
        <v>2</v>
      </c>
      <c r="K748" s="618" t="s">
        <v>50</v>
      </c>
    </row>
    <row r="749" spans="1:12">
      <c r="A749" s="1175" t="s">
        <v>1646</v>
      </c>
      <c r="B749" s="1175"/>
      <c r="C749" s="1175"/>
      <c r="D749" s="1175"/>
      <c r="E749" s="1175"/>
      <c r="F749" s="1175"/>
      <c r="G749" s="1175"/>
      <c r="H749" s="1175"/>
      <c r="I749" s="1175"/>
      <c r="J749" s="632">
        <f>SUM(J736:J748)</f>
        <v>19</v>
      </c>
      <c r="K749" s="637"/>
      <c r="L749" s="611">
        <f>SUM(L735:L748)</f>
        <v>0</v>
      </c>
    </row>
    <row r="750" spans="1:12">
      <c r="K750" s="109"/>
    </row>
    <row r="752" spans="1:12" ht="22.5">
      <c r="A752" s="612" t="s">
        <v>43</v>
      </c>
      <c r="B752" s="612" t="s">
        <v>1620</v>
      </c>
      <c r="C752" s="613" t="s">
        <v>2</v>
      </c>
      <c r="D752" s="613" t="s">
        <v>3</v>
      </c>
      <c r="E752" s="613" t="s">
        <v>4</v>
      </c>
      <c r="F752" s="613" t="s">
        <v>5</v>
      </c>
      <c r="G752" s="613" t="s">
        <v>6</v>
      </c>
      <c r="H752" s="614" t="s">
        <v>45</v>
      </c>
      <c r="I752" s="613" t="s">
        <v>8</v>
      </c>
      <c r="J752" s="615" t="s">
        <v>46</v>
      </c>
      <c r="K752" s="616" t="s">
        <v>47</v>
      </c>
    </row>
    <row r="753" spans="1:12">
      <c r="A753" s="1161" t="s">
        <v>5678</v>
      </c>
      <c r="B753" s="652" t="s">
        <v>5676</v>
      </c>
      <c r="C753" s="619" t="s">
        <v>49</v>
      </c>
      <c r="D753" s="619" t="s">
        <v>151</v>
      </c>
      <c r="E753" s="619" t="s">
        <v>5254</v>
      </c>
      <c r="F753" s="619" t="s">
        <v>4939</v>
      </c>
      <c r="G753" s="620" t="s">
        <v>482</v>
      </c>
      <c r="H753" s="619" t="s">
        <v>5298</v>
      </c>
      <c r="I753" s="619" t="s">
        <v>126</v>
      </c>
      <c r="J753" s="619">
        <v>2</v>
      </c>
      <c r="K753" s="618" t="s">
        <v>50</v>
      </c>
    </row>
    <row r="754" spans="1:12">
      <c r="A754" s="1162"/>
      <c r="B754" s="652">
        <v>46113</v>
      </c>
      <c r="C754" s="619" t="s">
        <v>49</v>
      </c>
      <c r="D754" s="619" t="s">
        <v>151</v>
      </c>
      <c r="E754" s="619" t="s">
        <v>5254</v>
      </c>
      <c r="F754" s="619">
        <v>1614</v>
      </c>
      <c r="G754" s="620" t="s">
        <v>482</v>
      </c>
      <c r="H754" s="619" t="s">
        <v>378</v>
      </c>
      <c r="I754" s="619" t="s">
        <v>126</v>
      </c>
      <c r="J754" s="619">
        <v>1</v>
      </c>
      <c r="K754" s="618" t="s">
        <v>50</v>
      </c>
    </row>
    <row r="755" spans="1:12">
      <c r="A755" s="1162"/>
      <c r="B755" s="619" t="s">
        <v>5444</v>
      </c>
      <c r="C755" s="619" t="s">
        <v>306</v>
      </c>
      <c r="D755" s="619" t="s">
        <v>322</v>
      </c>
      <c r="E755" s="619" t="s">
        <v>5400</v>
      </c>
      <c r="F755" s="619" t="s">
        <v>4938</v>
      </c>
      <c r="G755" s="619" t="s">
        <v>1911</v>
      </c>
      <c r="H755" s="619" t="s">
        <v>4941</v>
      </c>
      <c r="I755" s="619" t="s">
        <v>1111</v>
      </c>
      <c r="J755" s="619">
        <v>5</v>
      </c>
      <c r="K755" s="618" t="s">
        <v>50</v>
      </c>
    </row>
    <row r="756" spans="1:12">
      <c r="A756" s="1162"/>
      <c r="B756" s="652" t="s">
        <v>5505</v>
      </c>
      <c r="C756" s="619" t="s">
        <v>19</v>
      </c>
      <c r="D756" s="619" t="s">
        <v>151</v>
      </c>
      <c r="E756" s="653" t="s">
        <v>5254</v>
      </c>
      <c r="F756" s="619" t="s">
        <v>5506</v>
      </c>
      <c r="G756" s="620" t="s">
        <v>18</v>
      </c>
      <c r="H756" s="619" t="s">
        <v>378</v>
      </c>
      <c r="I756" s="619" t="s">
        <v>168</v>
      </c>
      <c r="J756" s="619">
        <v>5</v>
      </c>
      <c r="K756" s="618" t="s">
        <v>50</v>
      </c>
    </row>
    <row r="757" spans="1:12">
      <c r="A757" s="1162"/>
      <c r="B757" s="652" t="s">
        <v>5574</v>
      </c>
      <c r="C757" s="619" t="s">
        <v>306</v>
      </c>
      <c r="D757" s="619" t="s">
        <v>322</v>
      </c>
      <c r="E757" s="619" t="s">
        <v>5400</v>
      </c>
      <c r="F757" s="619">
        <v>7063</v>
      </c>
      <c r="G757" s="619" t="s">
        <v>1391</v>
      </c>
      <c r="H757" s="619" t="s">
        <v>378</v>
      </c>
      <c r="I757" s="619" t="s">
        <v>168</v>
      </c>
      <c r="J757" s="619">
        <v>3</v>
      </c>
      <c r="K757" s="618" t="s">
        <v>50</v>
      </c>
    </row>
    <row r="758" spans="1:12">
      <c r="A758" s="1162"/>
      <c r="B758" s="652" t="s">
        <v>5571</v>
      </c>
      <c r="C758" s="619" t="s">
        <v>306</v>
      </c>
      <c r="D758" s="619" t="s">
        <v>322</v>
      </c>
      <c r="E758" s="619" t="s">
        <v>5400</v>
      </c>
      <c r="F758" s="619">
        <v>8263</v>
      </c>
      <c r="G758" s="619" t="s">
        <v>482</v>
      </c>
      <c r="H758" s="619" t="s">
        <v>1105</v>
      </c>
      <c r="I758" s="619" t="s">
        <v>1534</v>
      </c>
      <c r="J758" s="619">
        <v>2</v>
      </c>
      <c r="K758" s="618" t="s">
        <v>50</v>
      </c>
    </row>
    <row r="759" spans="1:12">
      <c r="A759" s="1162"/>
      <c r="B759" s="652">
        <v>46139</v>
      </c>
      <c r="C759" s="619" t="s">
        <v>306</v>
      </c>
      <c r="D759" s="619" t="s">
        <v>322</v>
      </c>
      <c r="E759" s="619" t="s">
        <v>5400</v>
      </c>
      <c r="F759" s="619" t="s">
        <v>3244</v>
      </c>
      <c r="G759" s="619" t="s">
        <v>23</v>
      </c>
      <c r="H759" s="619" t="s">
        <v>5599</v>
      </c>
      <c r="I759" s="619" t="s">
        <v>168</v>
      </c>
      <c r="J759" s="619">
        <v>1</v>
      </c>
      <c r="K759" s="618" t="s">
        <v>50</v>
      </c>
    </row>
    <row r="760" spans="1:12">
      <c r="A760" s="1162"/>
      <c r="B760" s="652" t="s">
        <v>5601</v>
      </c>
      <c r="C760" s="619" t="s">
        <v>306</v>
      </c>
      <c r="D760" s="619" t="s">
        <v>322</v>
      </c>
      <c r="E760" s="619" t="s">
        <v>5400</v>
      </c>
      <c r="F760" s="619">
        <v>7063</v>
      </c>
      <c r="G760" s="619" t="s">
        <v>1391</v>
      </c>
      <c r="H760" s="619" t="s">
        <v>2962</v>
      </c>
      <c r="I760" s="619" t="s">
        <v>1948</v>
      </c>
      <c r="J760" s="619">
        <v>3</v>
      </c>
      <c r="K760" s="618" t="s">
        <v>50</v>
      </c>
    </row>
    <row r="761" spans="1:12">
      <c r="A761" s="1181"/>
      <c r="B761" s="652">
        <v>46125</v>
      </c>
      <c r="C761" s="619" t="s">
        <v>5679</v>
      </c>
      <c r="D761" s="619" t="s">
        <v>14</v>
      </c>
      <c r="E761" s="619" t="s">
        <v>5680</v>
      </c>
      <c r="F761" s="619" t="s">
        <v>5681</v>
      </c>
      <c r="G761" s="619" t="s">
        <v>5682</v>
      </c>
      <c r="H761" s="619" t="s">
        <v>5683</v>
      </c>
      <c r="I761" s="619" t="s">
        <v>5684</v>
      </c>
      <c r="J761" s="619">
        <v>1</v>
      </c>
      <c r="K761" s="655" t="s">
        <v>5685</v>
      </c>
    </row>
    <row r="762" spans="1:12">
      <c r="A762" s="1163" t="s">
        <v>1646</v>
      </c>
      <c r="B762" s="1163"/>
      <c r="C762" s="1163"/>
      <c r="D762" s="1163"/>
      <c r="E762" s="1163"/>
      <c r="F762" s="1163"/>
      <c r="G762" s="1163"/>
      <c r="H762" s="1163"/>
      <c r="I762" s="1163"/>
      <c r="J762" s="618">
        <f>SUM(J753:J761)</f>
        <v>23</v>
      </c>
      <c r="K762" s="654"/>
      <c r="L762" s="611">
        <f>SUM(L748:L760)</f>
        <v>0</v>
      </c>
    </row>
    <row r="763" spans="1:12">
      <c r="J763" s="222"/>
    </row>
    <row r="764" spans="1:12" ht="22.5">
      <c r="A764" s="612" t="s">
        <v>43</v>
      </c>
      <c r="B764" s="612" t="s">
        <v>1620</v>
      </c>
      <c r="C764" s="613" t="s">
        <v>2</v>
      </c>
      <c r="D764" s="613" t="s">
        <v>3</v>
      </c>
      <c r="E764" s="613" t="s">
        <v>4</v>
      </c>
      <c r="F764" s="613" t="s">
        <v>5</v>
      </c>
      <c r="G764" s="613" t="s">
        <v>6</v>
      </c>
      <c r="H764" s="614" t="s">
        <v>45</v>
      </c>
      <c r="I764" s="613" t="s">
        <v>8</v>
      </c>
      <c r="J764" s="615" t="s">
        <v>46</v>
      </c>
      <c r="K764" s="616" t="s">
        <v>47</v>
      </c>
    </row>
    <row r="765" spans="1:12">
      <c r="A765" s="1167" t="s">
        <v>5686</v>
      </c>
      <c r="B765" s="693">
        <v>46154</v>
      </c>
      <c r="C765" s="641" t="s">
        <v>306</v>
      </c>
      <c r="D765" s="641" t="s">
        <v>322</v>
      </c>
      <c r="E765" s="644" t="s">
        <v>5400</v>
      </c>
      <c r="F765" s="645" t="s">
        <v>5051</v>
      </c>
      <c r="G765" s="645" t="s">
        <v>4967</v>
      </c>
      <c r="H765" s="658" t="s">
        <v>5762</v>
      </c>
      <c r="I765" s="641" t="s">
        <v>1534</v>
      </c>
      <c r="J765" s="641">
        <v>2</v>
      </c>
      <c r="K765" s="618" t="s">
        <v>50</v>
      </c>
    </row>
    <row r="766" spans="1:12">
      <c r="A766" s="1168"/>
      <c r="B766" s="693">
        <v>46155</v>
      </c>
      <c r="C766" s="641" t="s">
        <v>306</v>
      </c>
      <c r="D766" s="641" t="s">
        <v>322</v>
      </c>
      <c r="E766" s="644" t="s">
        <v>5400</v>
      </c>
      <c r="F766" s="645" t="s">
        <v>5051</v>
      </c>
      <c r="G766" s="645" t="s">
        <v>4967</v>
      </c>
      <c r="H766" s="658" t="s">
        <v>5762</v>
      </c>
      <c r="I766" s="641" t="s">
        <v>1534</v>
      </c>
      <c r="J766" s="641">
        <v>2</v>
      </c>
      <c r="K766" s="618" t="s">
        <v>50</v>
      </c>
    </row>
    <row r="767" spans="1:12">
      <c r="A767" s="1168"/>
      <c r="B767" s="693">
        <v>46156</v>
      </c>
      <c r="C767" s="641" t="s">
        <v>306</v>
      </c>
      <c r="D767" s="641" t="s">
        <v>322</v>
      </c>
      <c r="E767" s="644" t="s">
        <v>5400</v>
      </c>
      <c r="F767" s="645" t="s">
        <v>5051</v>
      </c>
      <c r="G767" s="645" t="s">
        <v>4967</v>
      </c>
      <c r="H767" s="658" t="s">
        <v>5762</v>
      </c>
      <c r="I767" s="641" t="s">
        <v>1534</v>
      </c>
      <c r="J767" s="641">
        <v>2</v>
      </c>
      <c r="K767" s="618" t="s">
        <v>50</v>
      </c>
    </row>
    <row r="768" spans="1:12">
      <c r="A768" s="1168"/>
      <c r="B768" s="692">
        <v>46160</v>
      </c>
      <c r="C768" s="637" t="s">
        <v>306</v>
      </c>
      <c r="D768" s="637" t="s">
        <v>322</v>
      </c>
      <c r="E768" s="645" t="s">
        <v>5400</v>
      </c>
      <c r="F768" s="645" t="s">
        <v>5051</v>
      </c>
      <c r="G768" s="645" t="s">
        <v>4967</v>
      </c>
      <c r="H768" s="647" t="s">
        <v>5858</v>
      </c>
      <c r="I768" s="641" t="s">
        <v>1534</v>
      </c>
      <c r="J768" s="646">
        <v>1</v>
      </c>
      <c r="K768" s="618" t="s">
        <v>50</v>
      </c>
    </row>
    <row r="769" spans="1:12">
      <c r="A769" s="1169"/>
      <c r="B769" s="692">
        <v>46164</v>
      </c>
      <c r="C769" s="637" t="s">
        <v>306</v>
      </c>
      <c r="D769" s="637" t="s">
        <v>322</v>
      </c>
      <c r="E769" s="645" t="s">
        <v>5400</v>
      </c>
      <c r="F769" s="645" t="s">
        <v>5051</v>
      </c>
      <c r="G769" s="645" t="s">
        <v>4967</v>
      </c>
      <c r="H769" s="647" t="s">
        <v>5858</v>
      </c>
      <c r="I769" s="641" t="s">
        <v>1534</v>
      </c>
      <c r="J769" s="646">
        <v>1</v>
      </c>
      <c r="K769" s="618" t="s">
        <v>50</v>
      </c>
    </row>
    <row r="770" spans="1:12">
      <c r="A770" s="1163" t="s">
        <v>1646</v>
      </c>
      <c r="B770" s="1163"/>
      <c r="C770" s="1163"/>
      <c r="D770" s="1163"/>
      <c r="E770" s="1163"/>
      <c r="F770" s="1163"/>
      <c r="G770" s="1163"/>
      <c r="H770" s="1163"/>
      <c r="I770" s="1163"/>
      <c r="J770" s="618">
        <f>SUM(J765:J769)</f>
        <v>8</v>
      </c>
      <c r="K770" s="654"/>
      <c r="L770" s="611">
        <f>SUM(L753:L765)</f>
        <v>0</v>
      </c>
    </row>
    <row r="772" spans="1:12" ht="22.5">
      <c r="A772" s="612" t="s">
        <v>43</v>
      </c>
      <c r="B772" s="612" t="s">
        <v>1620</v>
      </c>
      <c r="C772" s="613" t="s">
        <v>2</v>
      </c>
      <c r="D772" s="613" t="s">
        <v>3</v>
      </c>
      <c r="E772" s="613" t="s">
        <v>4</v>
      </c>
      <c r="F772" s="613" t="s">
        <v>5</v>
      </c>
      <c r="G772" s="613" t="s">
        <v>6</v>
      </c>
      <c r="H772" s="614" t="s">
        <v>45</v>
      </c>
      <c r="I772" s="613" t="s">
        <v>8</v>
      </c>
      <c r="J772" s="615" t="s">
        <v>46</v>
      </c>
      <c r="K772" s="616" t="s">
        <v>47</v>
      </c>
    </row>
    <row r="773" spans="1:12" ht="33.75">
      <c r="A773" s="1176" t="s">
        <v>5687</v>
      </c>
      <c r="B773" s="657">
        <v>46111</v>
      </c>
      <c r="C773" s="641" t="s">
        <v>21</v>
      </c>
      <c r="D773" s="641" t="s">
        <v>14</v>
      </c>
      <c r="E773" s="664" t="s">
        <v>1787</v>
      </c>
      <c r="F773" s="664" t="s">
        <v>2817</v>
      </c>
      <c r="G773" s="643" t="s">
        <v>23</v>
      </c>
      <c r="H773" s="642" t="s">
        <v>5289</v>
      </c>
      <c r="I773" s="619" t="s">
        <v>90</v>
      </c>
      <c r="J773" s="619">
        <v>1</v>
      </c>
      <c r="K773" s="618" t="s">
        <v>50</v>
      </c>
    </row>
    <row r="774" spans="1:12" ht="33.75">
      <c r="A774" s="1176"/>
      <c r="B774" s="657">
        <v>46113</v>
      </c>
      <c r="C774" s="618" t="s">
        <v>21</v>
      </c>
      <c r="D774" s="618" t="s">
        <v>14</v>
      </c>
      <c r="E774" s="653" t="s">
        <v>1788</v>
      </c>
      <c r="F774" s="619" t="s">
        <v>3332</v>
      </c>
      <c r="G774" s="620" t="s">
        <v>23</v>
      </c>
      <c r="H774" s="619" t="s">
        <v>5234</v>
      </c>
      <c r="I774" s="653"/>
      <c r="J774" s="619">
        <v>2</v>
      </c>
      <c r="K774" s="618" t="s">
        <v>50</v>
      </c>
    </row>
    <row r="775" spans="1:12" ht="33.75">
      <c r="A775" s="1176"/>
      <c r="B775" s="657">
        <v>46114</v>
      </c>
      <c r="C775" s="641" t="s">
        <v>21</v>
      </c>
      <c r="D775" s="641" t="s">
        <v>14</v>
      </c>
      <c r="E775" s="664" t="s">
        <v>1788</v>
      </c>
      <c r="F775" s="642" t="s">
        <v>3332</v>
      </c>
      <c r="G775" s="643" t="s">
        <v>23</v>
      </c>
      <c r="H775" s="642" t="s">
        <v>5234</v>
      </c>
      <c r="I775" s="664"/>
      <c r="J775" s="619">
        <v>2</v>
      </c>
      <c r="K775" s="618" t="s">
        <v>50</v>
      </c>
    </row>
    <row r="776" spans="1:12">
      <c r="A776" s="1176"/>
      <c r="B776" s="657">
        <v>46124</v>
      </c>
      <c r="C776" s="641" t="s">
        <v>21</v>
      </c>
      <c r="D776" s="641" t="s">
        <v>17</v>
      </c>
      <c r="E776" s="642" t="s">
        <v>5276</v>
      </c>
      <c r="F776" s="664" t="s">
        <v>2329</v>
      </c>
      <c r="G776" s="620" t="s">
        <v>23</v>
      </c>
      <c r="H776" s="642" t="s">
        <v>5532</v>
      </c>
      <c r="I776" s="664" t="s">
        <v>202</v>
      </c>
      <c r="J776" s="653">
        <v>2</v>
      </c>
      <c r="K776" s="618" t="s">
        <v>50</v>
      </c>
    </row>
    <row r="777" spans="1:12">
      <c r="A777" s="1176"/>
      <c r="B777" s="652">
        <v>46136</v>
      </c>
      <c r="C777" s="618" t="s">
        <v>21</v>
      </c>
      <c r="D777" s="618" t="s">
        <v>14</v>
      </c>
      <c r="E777" s="653" t="s">
        <v>107</v>
      </c>
      <c r="F777" s="653" t="s">
        <v>1968</v>
      </c>
      <c r="G777" s="620" t="s">
        <v>376</v>
      </c>
      <c r="H777" s="619" t="s">
        <v>5397</v>
      </c>
      <c r="I777" s="653" t="s">
        <v>90</v>
      </c>
      <c r="J777" s="653">
        <v>1</v>
      </c>
      <c r="K777" s="618" t="s">
        <v>50</v>
      </c>
    </row>
    <row r="778" spans="1:12">
      <c r="A778" s="1163" t="s">
        <v>1646</v>
      </c>
      <c r="B778" s="1163"/>
      <c r="C778" s="1163"/>
      <c r="D778" s="1163"/>
      <c r="E778" s="1163"/>
      <c r="F778" s="1163"/>
      <c r="G778" s="1163"/>
      <c r="H778" s="1163"/>
      <c r="I778" s="1163"/>
      <c r="J778" s="618">
        <f>SUM(J773:J777)</f>
        <v>8</v>
      </c>
      <c r="K778" s="654"/>
      <c r="L778" s="611">
        <f>SUM(L761:L776)</f>
        <v>0</v>
      </c>
    </row>
    <row r="781" spans="1:12" ht="22.5">
      <c r="A781" s="612" t="s">
        <v>43</v>
      </c>
      <c r="B781" s="612" t="s">
        <v>1620</v>
      </c>
      <c r="C781" s="613" t="s">
        <v>2</v>
      </c>
      <c r="D781" s="613" t="s">
        <v>3</v>
      </c>
      <c r="E781" s="613" t="s">
        <v>4</v>
      </c>
      <c r="F781" s="613" t="s">
        <v>5</v>
      </c>
      <c r="G781" s="613" t="s">
        <v>6</v>
      </c>
      <c r="H781" s="614" t="s">
        <v>45</v>
      </c>
      <c r="I781" s="613" t="s">
        <v>8</v>
      </c>
      <c r="J781" s="615" t="s">
        <v>46</v>
      </c>
      <c r="K781" s="616" t="s">
        <v>47</v>
      </c>
    </row>
    <row r="782" spans="1:12">
      <c r="A782" s="1176" t="s">
        <v>228</v>
      </c>
      <c r="B782" s="665">
        <v>46115</v>
      </c>
      <c r="C782" s="664" t="s">
        <v>5688</v>
      </c>
      <c r="D782" s="664" t="s">
        <v>14</v>
      </c>
      <c r="E782" s="664" t="s">
        <v>1893</v>
      </c>
      <c r="F782" s="664" t="s">
        <v>5689</v>
      </c>
      <c r="G782" s="664" t="s">
        <v>34</v>
      </c>
      <c r="H782" s="664" t="s">
        <v>5690</v>
      </c>
      <c r="I782" s="664" t="s">
        <v>5684</v>
      </c>
      <c r="J782" s="664">
        <v>3</v>
      </c>
      <c r="K782" s="664" t="s">
        <v>1280</v>
      </c>
    </row>
    <row r="783" spans="1:12">
      <c r="A783" s="1176"/>
      <c r="B783" s="665">
        <v>46125</v>
      </c>
      <c r="C783" s="664" t="s">
        <v>5688</v>
      </c>
      <c r="D783" s="664" t="s">
        <v>14</v>
      </c>
      <c r="E783" s="664" t="s">
        <v>1893</v>
      </c>
      <c r="F783" s="664" t="s">
        <v>5689</v>
      </c>
      <c r="G783" s="664" t="s">
        <v>34</v>
      </c>
      <c r="H783" s="664" t="s">
        <v>5690</v>
      </c>
      <c r="I783" s="664" t="s">
        <v>5684</v>
      </c>
      <c r="J783" s="664">
        <v>3</v>
      </c>
      <c r="K783" s="664" t="s">
        <v>1280</v>
      </c>
    </row>
    <row r="784" spans="1:12">
      <c r="A784" s="1176"/>
      <c r="B784" s="665">
        <v>46127</v>
      </c>
      <c r="C784" s="664" t="s">
        <v>5688</v>
      </c>
      <c r="D784" s="664" t="s">
        <v>14</v>
      </c>
      <c r="E784" s="664" t="s">
        <v>1893</v>
      </c>
      <c r="F784" s="664" t="s">
        <v>5689</v>
      </c>
      <c r="G784" s="664" t="s">
        <v>34</v>
      </c>
      <c r="H784" s="664" t="s">
        <v>5690</v>
      </c>
      <c r="I784" s="664" t="s">
        <v>5684</v>
      </c>
      <c r="J784" s="664">
        <v>3</v>
      </c>
      <c r="K784" s="664" t="s">
        <v>1280</v>
      </c>
    </row>
    <row r="785" spans="1:11">
      <c r="A785" s="1176"/>
      <c r="B785" s="665">
        <v>46128</v>
      </c>
      <c r="C785" s="664" t="s">
        <v>5688</v>
      </c>
      <c r="D785" s="664" t="s">
        <v>14</v>
      </c>
      <c r="E785" s="664" t="s">
        <v>1893</v>
      </c>
      <c r="F785" s="664" t="s">
        <v>5689</v>
      </c>
      <c r="G785" s="664" t="s">
        <v>5692</v>
      </c>
      <c r="H785" s="664" t="s">
        <v>5690</v>
      </c>
      <c r="I785" s="664" t="s">
        <v>5684</v>
      </c>
      <c r="J785" s="664">
        <v>3</v>
      </c>
      <c r="K785" s="664" t="s">
        <v>1280</v>
      </c>
    </row>
    <row r="786" spans="1:11">
      <c r="A786" s="1176"/>
      <c r="B786" s="665">
        <v>46132</v>
      </c>
      <c r="C786" s="664" t="s">
        <v>5688</v>
      </c>
      <c r="D786" s="664" t="s">
        <v>14</v>
      </c>
      <c r="E786" s="664" t="s">
        <v>1893</v>
      </c>
      <c r="F786" s="664" t="s">
        <v>5689</v>
      </c>
      <c r="G786" s="664" t="s">
        <v>5691</v>
      </c>
      <c r="H786" s="664" t="s">
        <v>5690</v>
      </c>
      <c r="I786" s="664" t="s">
        <v>5684</v>
      </c>
      <c r="J786" s="664">
        <v>3</v>
      </c>
      <c r="K786" s="664" t="s">
        <v>1280</v>
      </c>
    </row>
    <row r="787" spans="1:11">
      <c r="A787" s="1176"/>
      <c r="B787" s="665">
        <v>46135</v>
      </c>
      <c r="C787" s="664" t="s">
        <v>5688</v>
      </c>
      <c r="D787" s="664" t="s">
        <v>14</v>
      </c>
      <c r="E787" s="664" t="s">
        <v>1893</v>
      </c>
      <c r="F787" s="664" t="s">
        <v>5689</v>
      </c>
      <c r="G787" s="664" t="s">
        <v>5691</v>
      </c>
      <c r="H787" s="664" t="s">
        <v>5690</v>
      </c>
      <c r="I787" s="664" t="s">
        <v>5684</v>
      </c>
      <c r="J787" s="664">
        <v>3</v>
      </c>
      <c r="K787" s="664" t="s">
        <v>1280</v>
      </c>
    </row>
    <row r="788" spans="1:11">
      <c r="A788" s="1176"/>
      <c r="B788" s="665">
        <v>46136</v>
      </c>
      <c r="C788" s="664" t="s">
        <v>5688</v>
      </c>
      <c r="D788" s="664" t="s">
        <v>14</v>
      </c>
      <c r="E788" s="664" t="s">
        <v>1893</v>
      </c>
      <c r="F788" s="664" t="s">
        <v>5689</v>
      </c>
      <c r="G788" s="664" t="s">
        <v>5691</v>
      </c>
      <c r="H788" s="664" t="s">
        <v>5690</v>
      </c>
      <c r="I788" s="664" t="s">
        <v>5684</v>
      </c>
      <c r="J788" s="664">
        <v>3</v>
      </c>
      <c r="K788" s="664" t="s">
        <v>1280</v>
      </c>
    </row>
    <row r="789" spans="1:11">
      <c r="A789" s="1176"/>
      <c r="B789" s="665">
        <v>46137</v>
      </c>
      <c r="C789" s="664" t="s">
        <v>5688</v>
      </c>
      <c r="D789" s="664" t="s">
        <v>14</v>
      </c>
      <c r="E789" s="664" t="s">
        <v>1893</v>
      </c>
      <c r="F789" s="664" t="s">
        <v>5689</v>
      </c>
      <c r="G789" s="664" t="s">
        <v>5691</v>
      </c>
      <c r="H789" s="664" t="s">
        <v>5690</v>
      </c>
      <c r="I789" s="664" t="s">
        <v>5684</v>
      </c>
      <c r="J789" s="664">
        <v>3</v>
      </c>
      <c r="K789" s="664" t="s">
        <v>1280</v>
      </c>
    </row>
    <row r="790" spans="1:11">
      <c r="A790" s="1163" t="s">
        <v>1646</v>
      </c>
      <c r="B790" s="1163"/>
      <c r="C790" s="1163"/>
      <c r="D790" s="1163"/>
      <c r="E790" s="1163"/>
      <c r="F790" s="1163"/>
      <c r="G790" s="1163"/>
      <c r="H790" s="1163"/>
      <c r="I790" s="1163"/>
      <c r="J790" s="618">
        <f>SUM(J782:J789)</f>
        <v>24</v>
      </c>
      <c r="K790" s="654"/>
    </row>
    <row r="793" spans="1:11" ht="22.5">
      <c r="A793" s="612" t="s">
        <v>43</v>
      </c>
      <c r="B793" s="612" t="s">
        <v>1620</v>
      </c>
      <c r="C793" s="613" t="s">
        <v>2</v>
      </c>
      <c r="D793" s="613" t="s">
        <v>3</v>
      </c>
      <c r="E793" s="613" t="s">
        <v>4</v>
      </c>
      <c r="F793" s="613" t="s">
        <v>5</v>
      </c>
      <c r="G793" s="613" t="s">
        <v>6</v>
      </c>
      <c r="H793" s="614" t="s">
        <v>45</v>
      </c>
      <c r="I793" s="613" t="s">
        <v>8</v>
      </c>
      <c r="J793" s="615" t="s">
        <v>46</v>
      </c>
      <c r="K793" s="616" t="s">
        <v>47</v>
      </c>
    </row>
    <row r="794" spans="1:11">
      <c r="A794" s="1161" t="s">
        <v>5678</v>
      </c>
      <c r="B794" s="640">
        <v>46148</v>
      </c>
      <c r="C794" s="685" t="s">
        <v>306</v>
      </c>
      <c r="D794" s="685" t="s">
        <v>322</v>
      </c>
      <c r="E794" s="674" t="s">
        <v>5400</v>
      </c>
      <c r="F794" s="674" t="s">
        <v>4939</v>
      </c>
      <c r="G794" s="674" t="s">
        <v>482</v>
      </c>
      <c r="H794" s="675" t="s">
        <v>2979</v>
      </c>
      <c r="I794" s="694" t="s">
        <v>126</v>
      </c>
      <c r="J794" s="676">
        <v>1</v>
      </c>
      <c r="K794" s="618" t="s">
        <v>50</v>
      </c>
    </row>
    <row r="795" spans="1:11">
      <c r="A795" s="1162"/>
      <c r="B795" s="640" t="s">
        <v>5665</v>
      </c>
      <c r="C795" s="685" t="s">
        <v>306</v>
      </c>
      <c r="D795" s="685" t="s">
        <v>322</v>
      </c>
      <c r="E795" s="674" t="s">
        <v>5400</v>
      </c>
      <c r="F795" s="674">
        <v>1615</v>
      </c>
      <c r="G795" s="674" t="s">
        <v>482</v>
      </c>
      <c r="H795" s="675" t="s">
        <v>5663</v>
      </c>
      <c r="I795" s="694" t="s">
        <v>1948</v>
      </c>
      <c r="J795" s="676">
        <v>2</v>
      </c>
      <c r="K795" s="618" t="s">
        <v>50</v>
      </c>
    </row>
    <row r="796" spans="1:11">
      <c r="A796" s="1162"/>
      <c r="B796" s="644" t="s">
        <v>5765</v>
      </c>
      <c r="C796" s="641" t="s">
        <v>306</v>
      </c>
      <c r="D796" s="641" t="s">
        <v>322</v>
      </c>
      <c r="E796" s="644" t="s">
        <v>5400</v>
      </c>
      <c r="F796" s="644" t="s">
        <v>5766</v>
      </c>
      <c r="G796" s="644" t="s">
        <v>5767</v>
      </c>
      <c r="H796" s="658" t="s">
        <v>5768</v>
      </c>
      <c r="I796" s="641" t="s">
        <v>664</v>
      </c>
      <c r="J796" s="641">
        <v>4</v>
      </c>
      <c r="K796" s="618" t="s">
        <v>50</v>
      </c>
    </row>
    <row r="797" spans="1:11">
      <c r="A797" s="1162"/>
      <c r="B797" s="645" t="s">
        <v>5860</v>
      </c>
      <c r="C797" s="637" t="s">
        <v>306</v>
      </c>
      <c r="D797" s="637" t="s">
        <v>322</v>
      </c>
      <c r="E797" s="645" t="s">
        <v>5400</v>
      </c>
      <c r="F797" s="645">
        <v>1615</v>
      </c>
      <c r="G797" s="645" t="s">
        <v>1911</v>
      </c>
      <c r="H797" s="647" t="s">
        <v>1057</v>
      </c>
      <c r="I797" s="641" t="s">
        <v>5447</v>
      </c>
      <c r="J797" s="646">
        <v>1</v>
      </c>
      <c r="K797" s="618" t="s">
        <v>50</v>
      </c>
    </row>
    <row r="798" spans="1:11">
      <c r="A798" s="1162"/>
      <c r="B798" s="645" t="s">
        <v>5861</v>
      </c>
      <c r="C798" s="637" t="s">
        <v>306</v>
      </c>
      <c r="D798" s="637" t="s">
        <v>322</v>
      </c>
      <c r="E798" s="645" t="s">
        <v>5400</v>
      </c>
      <c r="F798" s="645">
        <v>1571</v>
      </c>
      <c r="G798" s="645" t="s">
        <v>1911</v>
      </c>
      <c r="H798" s="647" t="s">
        <v>5862</v>
      </c>
      <c r="I798" s="641" t="s">
        <v>5447</v>
      </c>
      <c r="J798" s="646">
        <v>2</v>
      </c>
      <c r="K798" s="618" t="s">
        <v>50</v>
      </c>
    </row>
    <row r="799" spans="1:11">
      <c r="A799" s="1162"/>
      <c r="B799" s="645" t="s">
        <v>5865</v>
      </c>
      <c r="C799" s="637" t="s">
        <v>306</v>
      </c>
      <c r="D799" s="637" t="s">
        <v>322</v>
      </c>
      <c r="E799" s="645" t="s">
        <v>5400</v>
      </c>
      <c r="F799" s="645" t="s">
        <v>5766</v>
      </c>
      <c r="G799" s="645" t="s">
        <v>1047</v>
      </c>
      <c r="H799" s="647" t="s">
        <v>5862</v>
      </c>
      <c r="I799" s="641" t="s">
        <v>5447</v>
      </c>
      <c r="J799" s="646">
        <v>2</v>
      </c>
      <c r="K799" s="618" t="s">
        <v>50</v>
      </c>
    </row>
    <row r="800" spans="1:11">
      <c r="A800" s="1162"/>
      <c r="B800" s="640" t="s">
        <v>5851</v>
      </c>
      <c r="C800" s="632" t="s">
        <v>19</v>
      </c>
      <c r="D800" s="632" t="s">
        <v>25</v>
      </c>
      <c r="E800" s="645" t="s">
        <v>5838</v>
      </c>
      <c r="F800" s="633" t="s">
        <v>5847</v>
      </c>
      <c r="G800" s="636" t="s">
        <v>331</v>
      </c>
      <c r="H800" s="634" t="s">
        <v>5853</v>
      </c>
      <c r="I800" s="641" t="s">
        <v>664</v>
      </c>
      <c r="J800" s="634">
        <v>2</v>
      </c>
      <c r="K800" s="618" t="s">
        <v>50</v>
      </c>
    </row>
    <row r="801" spans="1:11">
      <c r="A801" s="1162"/>
      <c r="B801" s="640">
        <v>46171</v>
      </c>
      <c r="C801" s="632" t="s">
        <v>19</v>
      </c>
      <c r="D801" s="632" t="s">
        <v>25</v>
      </c>
      <c r="E801" s="645" t="s">
        <v>5838</v>
      </c>
      <c r="F801" s="633" t="s">
        <v>5847</v>
      </c>
      <c r="G801" s="645" t="s">
        <v>18</v>
      </c>
      <c r="H801" s="647" t="s">
        <v>5850</v>
      </c>
      <c r="I801" s="641" t="s">
        <v>664</v>
      </c>
      <c r="J801" s="634">
        <v>2</v>
      </c>
      <c r="K801" s="618" t="s">
        <v>50</v>
      </c>
    </row>
    <row r="802" spans="1:11">
      <c r="A802" s="1163" t="s">
        <v>1646</v>
      </c>
      <c r="B802" s="1163"/>
      <c r="C802" s="1163"/>
      <c r="D802" s="1163"/>
      <c r="E802" s="1163"/>
      <c r="F802" s="1163"/>
      <c r="G802" s="1163"/>
      <c r="H802" s="1163"/>
      <c r="I802" s="1163"/>
      <c r="J802" s="618">
        <f>SUM(J794:J801)</f>
        <v>16</v>
      </c>
      <c r="K802" s="654"/>
    </row>
    <row r="805" spans="1:11" ht="22.5">
      <c r="A805" s="612" t="s">
        <v>43</v>
      </c>
      <c r="B805" s="612" t="s">
        <v>1620</v>
      </c>
      <c r="C805" s="613" t="s">
        <v>2</v>
      </c>
      <c r="D805" s="613" t="s">
        <v>3</v>
      </c>
      <c r="E805" s="613" t="s">
        <v>4</v>
      </c>
      <c r="F805" s="613" t="s">
        <v>5</v>
      </c>
      <c r="G805" s="613" t="s">
        <v>6</v>
      </c>
      <c r="H805" s="614" t="s">
        <v>45</v>
      </c>
      <c r="I805" s="613" t="s">
        <v>8</v>
      </c>
      <c r="J805" s="615" t="s">
        <v>46</v>
      </c>
      <c r="K805" s="616" t="s">
        <v>47</v>
      </c>
    </row>
    <row r="806" spans="1:11">
      <c r="A806" s="1164" t="s">
        <v>5980</v>
      </c>
      <c r="B806" s="657">
        <v>46140</v>
      </c>
      <c r="C806" s="641" t="s">
        <v>21</v>
      </c>
      <c r="D806" s="641" t="s">
        <v>14</v>
      </c>
      <c r="E806" s="664" t="s">
        <v>78</v>
      </c>
      <c r="F806" s="642" t="s">
        <v>3008</v>
      </c>
      <c r="G806" s="643" t="s">
        <v>1382</v>
      </c>
      <c r="H806" s="642" t="s">
        <v>5981</v>
      </c>
      <c r="I806" s="664" t="s">
        <v>202</v>
      </c>
      <c r="J806" s="664">
        <v>1</v>
      </c>
      <c r="K806" s="618" t="s">
        <v>50</v>
      </c>
    </row>
    <row r="807" spans="1:11">
      <c r="A807" s="1165"/>
      <c r="B807" s="657">
        <v>46148</v>
      </c>
      <c r="C807" s="618" t="s">
        <v>21</v>
      </c>
      <c r="D807" s="618" t="s">
        <v>14</v>
      </c>
      <c r="E807" s="619" t="s">
        <v>107</v>
      </c>
      <c r="F807" s="653" t="s">
        <v>2959</v>
      </c>
      <c r="G807" s="620" t="s">
        <v>143</v>
      </c>
      <c r="H807" s="619" t="s">
        <v>5570</v>
      </c>
      <c r="I807" s="653" t="s">
        <v>126</v>
      </c>
      <c r="J807" s="653">
        <v>1</v>
      </c>
      <c r="K807" s="618" t="s">
        <v>50</v>
      </c>
    </row>
    <row r="808" spans="1:11">
      <c r="A808" s="1165"/>
      <c r="B808" s="657">
        <v>46149</v>
      </c>
      <c r="C808" s="618" t="s">
        <v>21</v>
      </c>
      <c r="D808" s="618" t="s">
        <v>14</v>
      </c>
      <c r="E808" s="619" t="s">
        <v>107</v>
      </c>
      <c r="F808" s="653" t="s">
        <v>2959</v>
      </c>
      <c r="G808" s="620" t="s">
        <v>143</v>
      </c>
      <c r="H808" s="619" t="s">
        <v>5570</v>
      </c>
      <c r="I808" s="653" t="s">
        <v>126</v>
      </c>
      <c r="J808" s="653">
        <v>1</v>
      </c>
      <c r="K808" s="618" t="s">
        <v>50</v>
      </c>
    </row>
    <row r="809" spans="1:11" ht="22.5">
      <c r="A809" s="1165"/>
      <c r="B809" s="657">
        <v>46150</v>
      </c>
      <c r="C809" s="641" t="s">
        <v>21</v>
      </c>
      <c r="D809" s="641" t="s">
        <v>14</v>
      </c>
      <c r="E809" s="664" t="s">
        <v>1787</v>
      </c>
      <c r="F809" s="664" t="s">
        <v>2817</v>
      </c>
      <c r="G809" s="643" t="s">
        <v>67</v>
      </c>
      <c r="H809" s="642" t="s">
        <v>5982</v>
      </c>
      <c r="I809" s="664" t="s">
        <v>120</v>
      </c>
      <c r="J809" s="642">
        <v>1</v>
      </c>
      <c r="K809" s="618" t="s">
        <v>50</v>
      </c>
    </row>
    <row r="810" spans="1:11">
      <c r="A810" s="1165"/>
      <c r="B810" s="644" t="s">
        <v>5866</v>
      </c>
      <c r="C810" s="654" t="s">
        <v>311</v>
      </c>
      <c r="D810" s="654" t="s">
        <v>320</v>
      </c>
      <c r="E810" s="658" t="s">
        <v>337</v>
      </c>
      <c r="F810" s="658" t="s">
        <v>3168</v>
      </c>
      <c r="G810" s="658" t="s">
        <v>3169</v>
      </c>
      <c r="H810" s="644" t="s">
        <v>5983</v>
      </c>
      <c r="I810" s="644" t="s">
        <v>5868</v>
      </c>
      <c r="J810" s="644">
        <v>1</v>
      </c>
      <c r="K810" s="618" t="s">
        <v>50</v>
      </c>
    </row>
    <row r="811" spans="1:11">
      <c r="A811" s="1165"/>
      <c r="B811" s="644" t="s">
        <v>5860</v>
      </c>
      <c r="C811" s="654" t="s">
        <v>311</v>
      </c>
      <c r="D811" s="654" t="s">
        <v>320</v>
      </c>
      <c r="E811" s="658" t="s">
        <v>5188</v>
      </c>
      <c r="F811" s="658" t="s">
        <v>1919</v>
      </c>
      <c r="G811" s="658" t="s">
        <v>347</v>
      </c>
      <c r="H811" s="658" t="s">
        <v>5753</v>
      </c>
      <c r="I811" s="658"/>
      <c r="J811" s="658">
        <v>2</v>
      </c>
      <c r="K811" s="618" t="s">
        <v>50</v>
      </c>
    </row>
    <row r="812" spans="1:11">
      <c r="A812" s="1163" t="s">
        <v>1646</v>
      </c>
      <c r="B812" s="1163"/>
      <c r="C812" s="1163"/>
      <c r="D812" s="1163"/>
      <c r="E812" s="1163"/>
      <c r="F812" s="1163"/>
      <c r="G812" s="1163"/>
      <c r="H812" s="1163"/>
      <c r="I812" s="1163"/>
      <c r="J812" s="618">
        <f>SUM(J806:J811)</f>
        <v>7</v>
      </c>
      <c r="K812" s="654"/>
    </row>
    <row r="816" spans="1:11" ht="22.5">
      <c r="A816" s="612" t="s">
        <v>43</v>
      </c>
      <c r="B816" s="612" t="s">
        <v>1620</v>
      </c>
      <c r="C816" s="613" t="s">
        <v>2</v>
      </c>
      <c r="D816" s="613" t="s">
        <v>3</v>
      </c>
      <c r="E816" s="613" t="s">
        <v>4</v>
      </c>
      <c r="F816" s="613" t="s">
        <v>5</v>
      </c>
      <c r="G816" s="613" t="s">
        <v>6</v>
      </c>
      <c r="H816" s="614" t="s">
        <v>45</v>
      </c>
      <c r="I816" s="613" t="s">
        <v>8</v>
      </c>
      <c r="J816" s="615" t="s">
        <v>46</v>
      </c>
      <c r="K816" s="616" t="s">
        <v>47</v>
      </c>
    </row>
    <row r="817" spans="1:12">
      <c r="A817" s="953" t="s">
        <v>5986</v>
      </c>
      <c r="B817" s="657">
        <v>46153</v>
      </c>
      <c r="C817" s="618" t="s">
        <v>21</v>
      </c>
      <c r="D817" s="618" t="s">
        <v>14</v>
      </c>
      <c r="E817" s="653" t="s">
        <v>1893</v>
      </c>
      <c r="F817" s="653" t="s">
        <v>4939</v>
      </c>
      <c r="G817" s="620" t="s">
        <v>2193</v>
      </c>
      <c r="H817" s="642" t="s">
        <v>5984</v>
      </c>
      <c r="I817" s="664" t="s">
        <v>202</v>
      </c>
      <c r="J817" s="664">
        <v>2</v>
      </c>
      <c r="K817" s="618" t="s">
        <v>50</v>
      </c>
    </row>
    <row r="818" spans="1:12">
      <c r="A818" s="953"/>
      <c r="B818" s="657">
        <v>46154</v>
      </c>
      <c r="C818" s="618" t="s">
        <v>21</v>
      </c>
      <c r="D818" s="618" t="s">
        <v>14</v>
      </c>
      <c r="E818" s="653" t="s">
        <v>1893</v>
      </c>
      <c r="F818" s="653" t="s">
        <v>4939</v>
      </c>
      <c r="G818" s="620" t="s">
        <v>2193</v>
      </c>
      <c r="H818" s="642" t="s">
        <v>5985</v>
      </c>
      <c r="I818" s="664" t="s">
        <v>202</v>
      </c>
      <c r="J818" s="664">
        <v>2</v>
      </c>
      <c r="K818" s="618" t="s">
        <v>50</v>
      </c>
    </row>
    <row r="819" spans="1:12">
      <c r="A819" s="1163" t="s">
        <v>1646</v>
      </c>
      <c r="B819" s="1163"/>
      <c r="C819" s="1163"/>
      <c r="D819" s="1163"/>
      <c r="E819" s="1163"/>
      <c r="F819" s="1163"/>
      <c r="G819" s="1163"/>
      <c r="H819" s="1163"/>
      <c r="I819" s="1163"/>
      <c r="J819" s="618">
        <f>SUM(J813:J818)</f>
        <v>4</v>
      </c>
      <c r="K819" s="654"/>
    </row>
    <row r="823" spans="1:12" s="697" customFormat="1" ht="22.5">
      <c r="A823" s="612" t="s">
        <v>43</v>
      </c>
      <c r="B823" s="612" t="s">
        <v>1620</v>
      </c>
      <c r="C823" s="613" t="s">
        <v>2</v>
      </c>
      <c r="D823" s="613" t="s">
        <v>3</v>
      </c>
      <c r="E823" s="613" t="s">
        <v>4</v>
      </c>
      <c r="F823" s="613" t="s">
        <v>5</v>
      </c>
      <c r="G823" s="613" t="s">
        <v>6</v>
      </c>
      <c r="H823" s="614" t="s">
        <v>45</v>
      </c>
      <c r="I823" s="613" t="s">
        <v>8</v>
      </c>
      <c r="J823" s="615" t="s">
        <v>46</v>
      </c>
      <c r="K823" s="616" t="s">
        <v>47</v>
      </c>
      <c r="L823" s="696"/>
    </row>
    <row r="824" spans="1:12" s="697" customFormat="1" ht="11.25">
      <c r="A824" s="1167" t="s">
        <v>5995</v>
      </c>
      <c r="B824" s="657">
        <v>46139</v>
      </c>
      <c r="C824" s="641" t="s">
        <v>306</v>
      </c>
      <c r="D824" s="641" t="s">
        <v>322</v>
      </c>
      <c r="E824" s="644" t="s">
        <v>5400</v>
      </c>
      <c r="F824" s="644">
        <v>1571</v>
      </c>
      <c r="G824" s="644" t="s">
        <v>482</v>
      </c>
      <c r="H824" s="658" t="s">
        <v>2962</v>
      </c>
      <c r="I824" s="641" t="s">
        <v>126</v>
      </c>
      <c r="J824" s="641">
        <v>1</v>
      </c>
      <c r="K824" s="618" t="s">
        <v>50</v>
      </c>
      <c r="L824" s="696"/>
    </row>
    <row r="825" spans="1:12" s="697" customFormat="1" ht="11.25">
      <c r="A825" s="1168"/>
      <c r="B825" s="657" t="s">
        <v>5615</v>
      </c>
      <c r="C825" s="641" t="s">
        <v>306</v>
      </c>
      <c r="D825" s="641" t="s">
        <v>322</v>
      </c>
      <c r="E825" s="644" t="s">
        <v>5400</v>
      </c>
      <c r="F825" s="644">
        <v>1615</v>
      </c>
      <c r="G825" s="644" t="s">
        <v>482</v>
      </c>
      <c r="H825" s="658" t="s">
        <v>5616</v>
      </c>
      <c r="I825" s="641"/>
      <c r="J825" s="641">
        <v>2</v>
      </c>
      <c r="K825" s="618" t="s">
        <v>50</v>
      </c>
      <c r="L825" s="696"/>
    </row>
    <row r="826" spans="1:12" s="697" customFormat="1" ht="11.25">
      <c r="A826" s="1168"/>
      <c r="B826" s="657" t="s">
        <v>5600</v>
      </c>
      <c r="C826" s="641" t="s">
        <v>306</v>
      </c>
      <c r="D826" s="641" t="s">
        <v>322</v>
      </c>
      <c r="E826" s="644" t="s">
        <v>5400</v>
      </c>
      <c r="F826" s="644" t="s">
        <v>5572</v>
      </c>
      <c r="G826" s="644" t="s">
        <v>102</v>
      </c>
      <c r="H826" s="658" t="s">
        <v>5613</v>
      </c>
      <c r="I826" s="641" t="s">
        <v>1534</v>
      </c>
      <c r="J826" s="618">
        <v>2</v>
      </c>
      <c r="K826" s="618" t="s">
        <v>50</v>
      </c>
      <c r="L826" s="696"/>
    </row>
    <row r="827" spans="1:12" s="697" customFormat="1" ht="11.25">
      <c r="A827" s="1168"/>
      <c r="B827" s="657">
        <v>46148</v>
      </c>
      <c r="C827" s="641" t="s">
        <v>306</v>
      </c>
      <c r="D827" s="641" t="s">
        <v>322</v>
      </c>
      <c r="E827" s="644" t="s">
        <v>5400</v>
      </c>
      <c r="F827" s="644" t="s">
        <v>4939</v>
      </c>
      <c r="G827" s="644" t="s">
        <v>482</v>
      </c>
      <c r="H827" s="658" t="s">
        <v>2979</v>
      </c>
      <c r="I827" s="641" t="s">
        <v>126</v>
      </c>
      <c r="J827" s="641">
        <v>2</v>
      </c>
      <c r="K827" s="618" t="s">
        <v>50</v>
      </c>
      <c r="L827" s="696"/>
    </row>
    <row r="828" spans="1:12" s="697" customFormat="1" ht="11.25">
      <c r="A828" s="1168"/>
      <c r="B828" s="657">
        <v>46148</v>
      </c>
      <c r="C828" s="641" t="s">
        <v>306</v>
      </c>
      <c r="D828" s="641" t="s">
        <v>322</v>
      </c>
      <c r="E828" s="644" t="s">
        <v>5400</v>
      </c>
      <c r="F828" s="644" t="s">
        <v>5506</v>
      </c>
      <c r="G828" s="644" t="s">
        <v>18</v>
      </c>
      <c r="H828" s="658" t="s">
        <v>5613</v>
      </c>
      <c r="I828" s="641" t="s">
        <v>1534</v>
      </c>
      <c r="J828" s="641">
        <v>1</v>
      </c>
      <c r="K828" s="618" t="s">
        <v>50</v>
      </c>
      <c r="L828" s="696"/>
    </row>
    <row r="829" spans="1:12" s="697" customFormat="1" ht="11.25">
      <c r="A829" s="1168"/>
      <c r="B829" s="657" t="s">
        <v>5666</v>
      </c>
      <c r="C829" s="641" t="s">
        <v>306</v>
      </c>
      <c r="D829" s="641" t="s">
        <v>322</v>
      </c>
      <c r="E829" s="644" t="s">
        <v>5400</v>
      </c>
      <c r="F829" s="644" t="s">
        <v>5506</v>
      </c>
      <c r="G829" s="644" t="s">
        <v>264</v>
      </c>
      <c r="H829" s="658" t="s">
        <v>5613</v>
      </c>
      <c r="I829" s="641" t="s">
        <v>1534</v>
      </c>
      <c r="J829" s="641">
        <v>2</v>
      </c>
      <c r="K829" s="618" t="s">
        <v>50</v>
      </c>
      <c r="L829" s="696"/>
    </row>
    <row r="830" spans="1:12" s="697" customFormat="1" ht="11.25">
      <c r="A830" s="1168"/>
      <c r="B830" s="644" t="s">
        <v>5759</v>
      </c>
      <c r="C830" s="641" t="s">
        <v>306</v>
      </c>
      <c r="D830" s="641" t="s">
        <v>322</v>
      </c>
      <c r="E830" s="644" t="s">
        <v>5400</v>
      </c>
      <c r="F830" s="644" t="s">
        <v>5760</v>
      </c>
      <c r="G830" s="644" t="s">
        <v>1911</v>
      </c>
      <c r="H830" s="658" t="s">
        <v>4915</v>
      </c>
      <c r="I830" s="641" t="s">
        <v>1534</v>
      </c>
      <c r="J830" s="641">
        <v>3</v>
      </c>
      <c r="K830" s="618" t="s">
        <v>50</v>
      </c>
      <c r="L830" s="696"/>
    </row>
    <row r="831" spans="1:12" s="697" customFormat="1" ht="11.25">
      <c r="A831" s="1168"/>
      <c r="B831" s="644" t="s">
        <v>5764</v>
      </c>
      <c r="C831" s="641" t="s">
        <v>306</v>
      </c>
      <c r="D831" s="641" t="s">
        <v>322</v>
      </c>
      <c r="E831" s="644" t="s">
        <v>5400</v>
      </c>
      <c r="F831" s="644" t="s">
        <v>5760</v>
      </c>
      <c r="G831" s="644" t="s">
        <v>640</v>
      </c>
      <c r="H831" s="658" t="s">
        <v>4915</v>
      </c>
      <c r="I831" s="641" t="s">
        <v>1534</v>
      </c>
      <c r="J831" s="641">
        <v>2</v>
      </c>
      <c r="K831" s="618" t="s">
        <v>50</v>
      </c>
      <c r="L831" s="696"/>
    </row>
    <row r="832" spans="1:12" s="697" customFormat="1" ht="11.25">
      <c r="A832" s="1168"/>
      <c r="B832" s="644" t="s">
        <v>5857</v>
      </c>
      <c r="C832" s="654" t="s">
        <v>306</v>
      </c>
      <c r="D832" s="654" t="s">
        <v>322</v>
      </c>
      <c r="E832" s="644" t="s">
        <v>5400</v>
      </c>
      <c r="F832" s="644" t="s">
        <v>5051</v>
      </c>
      <c r="G832" s="644" t="s">
        <v>4967</v>
      </c>
      <c r="H832" s="658" t="s">
        <v>5858</v>
      </c>
      <c r="I832" s="641" t="s">
        <v>1534</v>
      </c>
      <c r="J832" s="641">
        <v>4</v>
      </c>
      <c r="K832" s="618" t="s">
        <v>50</v>
      </c>
      <c r="L832" s="696"/>
    </row>
    <row r="833" spans="1:12" s="697" customFormat="1" ht="11.25">
      <c r="A833" s="1169"/>
      <c r="B833" s="657">
        <v>46165</v>
      </c>
      <c r="C833" s="618" t="s">
        <v>19</v>
      </c>
      <c r="D833" s="618" t="s">
        <v>25</v>
      </c>
      <c r="E833" s="644" t="s">
        <v>5838</v>
      </c>
      <c r="F833" s="644" t="s">
        <v>5051</v>
      </c>
      <c r="G833" s="644" t="s">
        <v>5840</v>
      </c>
      <c r="H833" s="658" t="s">
        <v>5841</v>
      </c>
      <c r="I833" s="641"/>
      <c r="J833" s="641">
        <v>2</v>
      </c>
      <c r="K833" s="618" t="s">
        <v>50</v>
      </c>
      <c r="L833" s="696"/>
    </row>
    <row r="834" spans="1:12" s="697" customFormat="1" ht="11.25">
      <c r="A834" s="1163" t="s">
        <v>1646</v>
      </c>
      <c r="B834" s="1163"/>
      <c r="C834" s="1163"/>
      <c r="D834" s="1163"/>
      <c r="E834" s="1163"/>
      <c r="F834" s="1163"/>
      <c r="G834" s="1163"/>
      <c r="H834" s="1163"/>
      <c r="I834" s="1163"/>
      <c r="J834" s="618">
        <f>SUM(J824:J833)</f>
        <v>21</v>
      </c>
      <c r="K834" s="654"/>
      <c r="L834" s="696"/>
    </row>
    <row r="835" spans="1:12" s="697" customFormat="1" ht="11.25">
      <c r="L835" s="696"/>
    </row>
    <row r="836" spans="1:12" s="697" customFormat="1" ht="11.25">
      <c r="L836" s="696"/>
    </row>
    <row r="837" spans="1:12" s="697" customFormat="1" ht="22.5">
      <c r="A837" s="612" t="s">
        <v>43</v>
      </c>
      <c r="B837" s="612" t="s">
        <v>1620</v>
      </c>
      <c r="C837" s="613" t="s">
        <v>2</v>
      </c>
      <c r="D837" s="613" t="s">
        <v>3</v>
      </c>
      <c r="E837" s="613" t="s">
        <v>4</v>
      </c>
      <c r="F837" s="613" t="s">
        <v>5</v>
      </c>
      <c r="G837" s="613" t="s">
        <v>6</v>
      </c>
      <c r="H837" s="614" t="s">
        <v>45</v>
      </c>
      <c r="I837" s="613" t="s">
        <v>8</v>
      </c>
      <c r="J837" s="615" t="s">
        <v>46</v>
      </c>
      <c r="K837" s="616" t="s">
        <v>47</v>
      </c>
      <c r="L837" s="696"/>
    </row>
    <row r="838" spans="1:12" s="697" customFormat="1" ht="11.25">
      <c r="A838" s="1167" t="s">
        <v>5657</v>
      </c>
      <c r="B838" s="657">
        <v>46140</v>
      </c>
      <c r="C838" s="641" t="s">
        <v>21</v>
      </c>
      <c r="D838" s="641" t="s">
        <v>14</v>
      </c>
      <c r="E838" s="664" t="s">
        <v>1787</v>
      </c>
      <c r="F838" s="642" t="s">
        <v>5409</v>
      </c>
      <c r="G838" s="643" t="s">
        <v>23</v>
      </c>
      <c r="H838" s="642" t="s">
        <v>5584</v>
      </c>
      <c r="I838" s="664" t="s">
        <v>120</v>
      </c>
      <c r="J838" s="653">
        <v>1</v>
      </c>
      <c r="K838" s="618" t="s">
        <v>50</v>
      </c>
      <c r="L838" s="696"/>
    </row>
    <row r="839" spans="1:12" s="697" customFormat="1" ht="11.25">
      <c r="A839" s="1168"/>
      <c r="B839" s="657">
        <v>46148</v>
      </c>
      <c r="C839" s="618" t="s">
        <v>21</v>
      </c>
      <c r="D839" s="618" t="s">
        <v>14</v>
      </c>
      <c r="E839" s="619" t="s">
        <v>107</v>
      </c>
      <c r="F839" s="653" t="s">
        <v>2959</v>
      </c>
      <c r="G839" s="620" t="s">
        <v>143</v>
      </c>
      <c r="H839" s="619" t="s">
        <v>5570</v>
      </c>
      <c r="I839" s="653" t="s">
        <v>126</v>
      </c>
      <c r="J839" s="653">
        <v>1</v>
      </c>
      <c r="K839" s="618" t="s">
        <v>50</v>
      </c>
      <c r="L839" s="696"/>
    </row>
    <row r="840" spans="1:12" s="697" customFormat="1" ht="11.25">
      <c r="A840" s="1169"/>
      <c r="B840" s="657">
        <v>46149</v>
      </c>
      <c r="C840" s="618" t="s">
        <v>21</v>
      </c>
      <c r="D840" s="618" t="s">
        <v>14</v>
      </c>
      <c r="E840" s="619" t="s">
        <v>107</v>
      </c>
      <c r="F840" s="653" t="s">
        <v>2959</v>
      </c>
      <c r="G840" s="620" t="s">
        <v>143</v>
      </c>
      <c r="H840" s="619" t="s">
        <v>5570</v>
      </c>
      <c r="I840" s="653" t="s">
        <v>126</v>
      </c>
      <c r="J840" s="653">
        <v>1</v>
      </c>
      <c r="K840" s="618" t="s">
        <v>50</v>
      </c>
      <c r="L840" s="696"/>
    </row>
    <row r="841" spans="1:12" s="697" customFormat="1" ht="11.25">
      <c r="A841" s="1163" t="s">
        <v>1646</v>
      </c>
      <c r="B841" s="1163"/>
      <c r="C841" s="1163"/>
      <c r="D841" s="1163"/>
      <c r="E841" s="1163"/>
      <c r="F841" s="1163"/>
      <c r="G841" s="1163"/>
      <c r="H841" s="1163"/>
      <c r="I841" s="1163"/>
      <c r="J841" s="618">
        <f>SUM(J838:J840)</f>
        <v>3</v>
      </c>
      <c r="K841" s="654"/>
      <c r="L841" s="696"/>
    </row>
    <row r="844" spans="1:12" ht="22.5">
      <c r="A844" s="612" t="s">
        <v>43</v>
      </c>
      <c r="B844" s="612" t="s">
        <v>1620</v>
      </c>
      <c r="C844" s="613" t="s">
        <v>2</v>
      </c>
      <c r="D844" s="613" t="s">
        <v>3</v>
      </c>
      <c r="E844" s="613" t="s">
        <v>4</v>
      </c>
      <c r="F844" s="613" t="s">
        <v>5</v>
      </c>
      <c r="G844" s="613" t="s">
        <v>6</v>
      </c>
      <c r="H844" s="614" t="s">
        <v>45</v>
      </c>
      <c r="I844" s="613" t="s">
        <v>8</v>
      </c>
      <c r="J844" s="615" t="s">
        <v>46</v>
      </c>
      <c r="K844" s="616" t="s">
        <v>47</v>
      </c>
    </row>
    <row r="845" spans="1:12">
      <c r="A845" s="1161" t="s">
        <v>5678</v>
      </c>
      <c r="B845" s="738" t="s">
        <v>5950</v>
      </c>
      <c r="C845" s="618" t="s">
        <v>19</v>
      </c>
      <c r="D845" s="618" t="s">
        <v>25</v>
      </c>
      <c r="E845" s="653" t="s">
        <v>5838</v>
      </c>
      <c r="F845" s="739" t="s">
        <v>5754</v>
      </c>
      <c r="G845" s="739" t="s">
        <v>18</v>
      </c>
      <c r="H845" s="740" t="s">
        <v>5953</v>
      </c>
      <c r="I845" s="694" t="s">
        <v>4168</v>
      </c>
      <c r="J845" s="741">
        <v>4</v>
      </c>
      <c r="K845" s="618" t="s">
        <v>50</v>
      </c>
    </row>
    <row r="846" spans="1:12">
      <c r="A846" s="1162"/>
      <c r="B846" s="657" t="s">
        <v>6069</v>
      </c>
      <c r="C846" s="618" t="s">
        <v>19</v>
      </c>
      <c r="D846" s="618" t="s">
        <v>25</v>
      </c>
      <c r="E846" s="653" t="s">
        <v>5838</v>
      </c>
      <c r="F846" s="644" t="s">
        <v>6075</v>
      </c>
      <c r="G846" s="644" t="s">
        <v>6071</v>
      </c>
      <c r="H846" s="658" t="s">
        <v>3425</v>
      </c>
      <c r="I846" s="641"/>
      <c r="J846" s="641">
        <v>2</v>
      </c>
      <c r="K846" s="618" t="s">
        <v>50</v>
      </c>
    </row>
    <row r="847" spans="1:12">
      <c r="A847" s="1162"/>
      <c r="B847" s="657" t="s">
        <v>6072</v>
      </c>
      <c r="C847" s="618" t="s">
        <v>19</v>
      </c>
      <c r="D847" s="618" t="s">
        <v>25</v>
      </c>
      <c r="E847" s="653" t="s">
        <v>5838</v>
      </c>
      <c r="F847" s="644">
        <v>7062</v>
      </c>
      <c r="G847" s="644" t="s">
        <v>1497</v>
      </c>
      <c r="H847" s="658" t="s">
        <v>3425</v>
      </c>
      <c r="I847" s="641"/>
      <c r="J847" s="641">
        <v>3</v>
      </c>
      <c r="K847" s="618" t="s">
        <v>50</v>
      </c>
    </row>
    <row r="848" spans="1:12">
      <c r="A848" s="1162"/>
      <c r="B848" s="657">
        <v>46188</v>
      </c>
      <c r="C848" s="618" t="s">
        <v>19</v>
      </c>
      <c r="D848" s="618" t="s">
        <v>151</v>
      </c>
      <c r="E848" s="653" t="s">
        <v>5254</v>
      </c>
      <c r="F848" s="653" t="s">
        <v>5847</v>
      </c>
      <c r="G848" s="620" t="s">
        <v>6133</v>
      </c>
      <c r="H848" s="619" t="s">
        <v>3826</v>
      </c>
      <c r="I848" s="653" t="s">
        <v>168</v>
      </c>
      <c r="J848" s="619">
        <v>2</v>
      </c>
      <c r="K848" s="618" t="s">
        <v>50</v>
      </c>
    </row>
    <row r="849" spans="1:11">
      <c r="A849" s="1162"/>
      <c r="B849" s="657" t="s">
        <v>6137</v>
      </c>
      <c r="C849" s="618" t="s">
        <v>19</v>
      </c>
      <c r="D849" s="618" t="s">
        <v>151</v>
      </c>
      <c r="E849" s="653" t="s">
        <v>5254</v>
      </c>
      <c r="F849" s="644">
        <v>7062</v>
      </c>
      <c r="G849" s="644" t="s">
        <v>143</v>
      </c>
      <c r="H849" s="658" t="s">
        <v>2962</v>
      </c>
      <c r="I849" s="653" t="s">
        <v>168</v>
      </c>
      <c r="J849" s="619">
        <v>2</v>
      </c>
      <c r="K849" s="618" t="s">
        <v>50</v>
      </c>
    </row>
    <row r="850" spans="1:11">
      <c r="A850" s="1162"/>
      <c r="B850" s="657" t="s">
        <v>6138</v>
      </c>
      <c r="C850" s="618" t="s">
        <v>19</v>
      </c>
      <c r="D850" s="618" t="s">
        <v>151</v>
      </c>
      <c r="E850" s="653" t="s">
        <v>5254</v>
      </c>
      <c r="F850" s="644" t="s">
        <v>6075</v>
      </c>
      <c r="G850" s="644" t="s">
        <v>145</v>
      </c>
      <c r="H850" s="658" t="s">
        <v>378</v>
      </c>
      <c r="I850" s="641" t="s">
        <v>126</v>
      </c>
      <c r="J850" s="641">
        <v>1</v>
      </c>
      <c r="K850" s="618" t="s">
        <v>50</v>
      </c>
    </row>
    <row r="851" spans="1:11">
      <c r="A851" s="1162"/>
      <c r="B851" s="738" t="s">
        <v>6249</v>
      </c>
      <c r="C851" s="742" t="s">
        <v>19</v>
      </c>
      <c r="D851" s="618" t="s">
        <v>25</v>
      </c>
      <c r="E851" s="653" t="s">
        <v>5254</v>
      </c>
      <c r="F851" s="743" t="s">
        <v>6250</v>
      </c>
      <c r="G851" s="744" t="s">
        <v>34</v>
      </c>
      <c r="H851" s="745" t="s">
        <v>6251</v>
      </c>
      <c r="I851" s="653" t="s">
        <v>3661</v>
      </c>
      <c r="J851" s="619">
        <v>5</v>
      </c>
      <c r="K851" s="618" t="s">
        <v>50</v>
      </c>
    </row>
    <row r="852" spans="1:11">
      <c r="A852" s="1162"/>
      <c r="B852" s="657">
        <v>46203</v>
      </c>
      <c r="C852" s="742" t="s">
        <v>19</v>
      </c>
      <c r="D852" s="618" t="s">
        <v>25</v>
      </c>
      <c r="E852" s="653" t="s">
        <v>5838</v>
      </c>
      <c r="F852" s="653" t="s">
        <v>6250</v>
      </c>
      <c r="G852" s="620" t="s">
        <v>34</v>
      </c>
      <c r="H852" s="619" t="s">
        <v>6321</v>
      </c>
      <c r="I852" s="653" t="s">
        <v>3429</v>
      </c>
      <c r="J852" s="619">
        <v>1</v>
      </c>
      <c r="K852" s="618" t="s">
        <v>50</v>
      </c>
    </row>
    <row r="853" spans="1:11">
      <c r="A853" s="1163" t="s">
        <v>1646</v>
      </c>
      <c r="B853" s="1163"/>
      <c r="C853" s="1163"/>
      <c r="D853" s="1163"/>
      <c r="E853" s="1163"/>
      <c r="F853" s="1163"/>
      <c r="G853" s="1163"/>
      <c r="H853" s="1163"/>
      <c r="I853" s="1163"/>
      <c r="J853" s="618">
        <f>SUM(J845:J852)</f>
        <v>20</v>
      </c>
      <c r="K853" s="654"/>
    </row>
    <row r="855" spans="1:11" ht="22.5">
      <c r="A855" s="612" t="s">
        <v>43</v>
      </c>
      <c r="B855" s="612" t="s">
        <v>1620</v>
      </c>
      <c r="C855" s="613" t="s">
        <v>2</v>
      </c>
      <c r="D855" s="613" t="s">
        <v>3</v>
      </c>
      <c r="E855" s="613" t="s">
        <v>4</v>
      </c>
      <c r="F855" s="613" t="s">
        <v>5</v>
      </c>
      <c r="G855" s="613" t="s">
        <v>6</v>
      </c>
      <c r="H855" s="614" t="s">
        <v>45</v>
      </c>
      <c r="I855" s="613" t="s">
        <v>8</v>
      </c>
      <c r="J855" s="615" t="s">
        <v>46</v>
      </c>
      <c r="K855" s="616" t="s">
        <v>47</v>
      </c>
    </row>
    <row r="856" spans="1:11" ht="16.5" customHeight="1">
      <c r="A856" s="1167" t="s">
        <v>6375</v>
      </c>
      <c r="B856" s="640" t="s">
        <v>5846</v>
      </c>
      <c r="C856" s="632" t="s">
        <v>19</v>
      </c>
      <c r="D856" s="632" t="s">
        <v>25</v>
      </c>
      <c r="E856" s="645" t="s">
        <v>5838</v>
      </c>
      <c r="F856" s="645" t="s">
        <v>3589</v>
      </c>
      <c r="G856" s="645" t="s">
        <v>4912</v>
      </c>
      <c r="H856" s="647" t="s">
        <v>5845</v>
      </c>
      <c r="I856" s="646"/>
      <c r="J856" s="646">
        <v>3</v>
      </c>
      <c r="K856" s="618" t="s">
        <v>50</v>
      </c>
    </row>
    <row r="857" spans="1:11">
      <c r="A857" s="1168"/>
      <c r="B857" s="640" t="s">
        <v>5846</v>
      </c>
      <c r="C857" s="632" t="s">
        <v>19</v>
      </c>
      <c r="D857" s="632" t="s">
        <v>25</v>
      </c>
      <c r="E857" s="645" t="s">
        <v>5838</v>
      </c>
      <c r="F857" s="645" t="s">
        <v>5847</v>
      </c>
      <c r="G857" s="645" t="s">
        <v>569</v>
      </c>
      <c r="H857" s="647" t="s">
        <v>5856</v>
      </c>
      <c r="I857" s="646"/>
      <c r="J857" s="646">
        <v>2</v>
      </c>
      <c r="K857" s="618" t="s">
        <v>50</v>
      </c>
    </row>
    <row r="858" spans="1:11">
      <c r="A858" s="1168"/>
      <c r="B858" s="656">
        <v>46172</v>
      </c>
      <c r="C858" s="632" t="s">
        <v>19</v>
      </c>
      <c r="D858" s="632" t="s">
        <v>25</v>
      </c>
      <c r="E858" s="633" t="s">
        <v>5838</v>
      </c>
      <c r="F858" s="633" t="s">
        <v>3589</v>
      </c>
      <c r="G858" s="636" t="s">
        <v>4912</v>
      </c>
      <c r="H858" s="634" t="s">
        <v>5939</v>
      </c>
      <c r="I858" s="633" t="s">
        <v>3429</v>
      </c>
      <c r="J858" s="634">
        <v>1</v>
      </c>
      <c r="K858" s="618" t="s">
        <v>50</v>
      </c>
    </row>
    <row r="859" spans="1:11">
      <c r="A859" s="1168"/>
      <c r="B859" s="656">
        <v>46172</v>
      </c>
      <c r="C859" s="632" t="s">
        <v>19</v>
      </c>
      <c r="D859" s="632" t="s">
        <v>25</v>
      </c>
      <c r="E859" s="633" t="s">
        <v>5838</v>
      </c>
      <c r="F859" s="674">
        <v>1615</v>
      </c>
      <c r="G859" s="674" t="s">
        <v>4912</v>
      </c>
      <c r="H859" s="675" t="s">
        <v>4088</v>
      </c>
      <c r="I859" s="685" t="s">
        <v>5944</v>
      </c>
      <c r="J859" s="634">
        <v>1</v>
      </c>
      <c r="K859" s="618" t="s">
        <v>50</v>
      </c>
    </row>
    <row r="860" spans="1:11">
      <c r="A860" s="1168"/>
      <c r="B860" s="656" t="s">
        <v>5958</v>
      </c>
      <c r="C860" s="632" t="s">
        <v>19</v>
      </c>
      <c r="D860" s="632" t="s">
        <v>25</v>
      </c>
      <c r="E860" s="633" t="s">
        <v>5838</v>
      </c>
      <c r="F860" s="674">
        <v>1615</v>
      </c>
      <c r="G860" s="674" t="s">
        <v>4912</v>
      </c>
      <c r="H860" s="675" t="s">
        <v>3876</v>
      </c>
      <c r="I860" s="685" t="s">
        <v>4168</v>
      </c>
      <c r="J860" s="676">
        <v>2</v>
      </c>
      <c r="K860" s="618" t="s">
        <v>50</v>
      </c>
    </row>
    <row r="861" spans="1:11">
      <c r="A861" s="1168"/>
      <c r="B861" s="656" t="s">
        <v>5949</v>
      </c>
      <c r="C861" s="632" t="s">
        <v>19</v>
      </c>
      <c r="D861" s="632" t="s">
        <v>25</v>
      </c>
      <c r="E861" s="633" t="s">
        <v>5838</v>
      </c>
      <c r="F861" s="674">
        <v>7062</v>
      </c>
      <c r="G861" s="674" t="s">
        <v>1497</v>
      </c>
      <c r="H861" s="675" t="s">
        <v>5946</v>
      </c>
      <c r="I861" s="685" t="s">
        <v>4168</v>
      </c>
      <c r="J861" s="676">
        <v>2</v>
      </c>
      <c r="K861" s="618" t="s">
        <v>50</v>
      </c>
    </row>
    <row r="862" spans="1:11">
      <c r="A862" s="1168"/>
      <c r="B862" s="656" t="s">
        <v>5949</v>
      </c>
      <c r="C862" s="632" t="s">
        <v>19</v>
      </c>
      <c r="D862" s="632" t="s">
        <v>25</v>
      </c>
      <c r="E862" s="633" t="s">
        <v>5838</v>
      </c>
      <c r="F862" s="633" t="s">
        <v>5847</v>
      </c>
      <c r="G862" s="674" t="s">
        <v>5960</v>
      </c>
      <c r="H862" s="675" t="s">
        <v>5962</v>
      </c>
      <c r="I862" s="685" t="s">
        <v>3429</v>
      </c>
      <c r="J862" s="676">
        <v>2</v>
      </c>
      <c r="K862" s="618" t="s">
        <v>50</v>
      </c>
    </row>
    <row r="863" spans="1:11">
      <c r="A863" s="1168"/>
      <c r="B863" s="640">
        <v>46179</v>
      </c>
      <c r="C863" s="632" t="s">
        <v>19</v>
      </c>
      <c r="D863" s="632" t="s">
        <v>25</v>
      </c>
      <c r="E863" s="633" t="s">
        <v>5838</v>
      </c>
      <c r="F863" s="633">
        <v>1615</v>
      </c>
      <c r="G863" s="636" t="s">
        <v>4912</v>
      </c>
      <c r="H863" s="634" t="s">
        <v>6060</v>
      </c>
      <c r="I863" s="633" t="s">
        <v>5944</v>
      </c>
      <c r="J863" s="634">
        <v>1</v>
      </c>
      <c r="K863" s="618" t="s">
        <v>50</v>
      </c>
    </row>
    <row r="864" spans="1:11">
      <c r="A864" s="1168"/>
      <c r="B864" s="640" t="s">
        <v>6056</v>
      </c>
      <c r="C864" s="632" t="s">
        <v>19</v>
      </c>
      <c r="D864" s="632" t="s">
        <v>25</v>
      </c>
      <c r="E864" s="633" t="s">
        <v>5838</v>
      </c>
      <c r="F864" s="633">
        <v>1615</v>
      </c>
      <c r="G864" s="636" t="s">
        <v>4912</v>
      </c>
      <c r="H864" s="634" t="s">
        <v>6060</v>
      </c>
      <c r="I864" s="633" t="s">
        <v>5944</v>
      </c>
      <c r="J864" s="634">
        <v>5</v>
      </c>
      <c r="K864" s="618" t="s">
        <v>50</v>
      </c>
    </row>
    <row r="865" spans="1:11">
      <c r="A865" s="1168"/>
      <c r="B865" s="640" t="s">
        <v>6064</v>
      </c>
      <c r="C865" s="632" t="s">
        <v>19</v>
      </c>
      <c r="D865" s="632" t="s">
        <v>25</v>
      </c>
      <c r="E865" s="633" t="s">
        <v>5838</v>
      </c>
      <c r="F865" s="645" t="s">
        <v>5847</v>
      </c>
      <c r="G865" s="645" t="s">
        <v>6066</v>
      </c>
      <c r="H865" s="647" t="s">
        <v>5962</v>
      </c>
      <c r="I865" s="646"/>
      <c r="J865" s="646">
        <v>2</v>
      </c>
      <c r="K865" s="618" t="s">
        <v>50</v>
      </c>
    </row>
    <row r="866" spans="1:11">
      <c r="A866" s="1168"/>
      <c r="B866" s="640" t="s">
        <v>6069</v>
      </c>
      <c r="C866" s="632" t="s">
        <v>19</v>
      </c>
      <c r="D866" s="632" t="s">
        <v>25</v>
      </c>
      <c r="E866" s="633" t="s">
        <v>5838</v>
      </c>
      <c r="F866" s="645" t="s">
        <v>6075</v>
      </c>
      <c r="G866" s="645" t="s">
        <v>6071</v>
      </c>
      <c r="H866" s="647" t="s">
        <v>3425</v>
      </c>
      <c r="I866" s="646"/>
      <c r="J866" s="646">
        <v>2</v>
      </c>
      <c r="K866" s="618" t="s">
        <v>50</v>
      </c>
    </row>
    <row r="867" spans="1:11">
      <c r="A867" s="1168"/>
      <c r="B867" s="369">
        <v>46186</v>
      </c>
      <c r="C867" s="632" t="s">
        <v>19</v>
      </c>
      <c r="D867" s="632" t="s">
        <v>151</v>
      </c>
      <c r="E867" s="633" t="s">
        <v>5254</v>
      </c>
      <c r="F867" s="633">
        <v>7063</v>
      </c>
      <c r="G867" s="636" t="s">
        <v>1391</v>
      </c>
      <c r="H867" s="634" t="s">
        <v>1105</v>
      </c>
      <c r="I867" s="633" t="s">
        <v>1259</v>
      </c>
      <c r="J867" s="634">
        <v>1</v>
      </c>
      <c r="K867" s="618" t="s">
        <v>50</v>
      </c>
    </row>
    <row r="868" spans="1:11">
      <c r="A868" s="1168"/>
      <c r="B868" s="369" t="s">
        <v>6139</v>
      </c>
      <c r="C868" s="632" t="s">
        <v>19</v>
      </c>
      <c r="D868" s="632" t="s">
        <v>151</v>
      </c>
      <c r="E868" s="633" t="s">
        <v>5254</v>
      </c>
      <c r="F868" s="633">
        <v>7063</v>
      </c>
      <c r="G868" s="636" t="s">
        <v>1391</v>
      </c>
      <c r="H868" s="634" t="s">
        <v>1105</v>
      </c>
      <c r="I868" s="633" t="s">
        <v>1259</v>
      </c>
      <c r="J868" s="634">
        <v>4</v>
      </c>
      <c r="K868" s="618" t="s">
        <v>50</v>
      </c>
    </row>
    <row r="869" spans="1:11">
      <c r="A869" s="1168"/>
      <c r="B869" s="640" t="s">
        <v>6138</v>
      </c>
      <c r="C869" s="632" t="s">
        <v>19</v>
      </c>
      <c r="D869" s="632" t="s">
        <v>151</v>
      </c>
      <c r="E869" s="633" t="s">
        <v>5254</v>
      </c>
      <c r="F869" s="633" t="s">
        <v>6140</v>
      </c>
      <c r="G869" s="636" t="s">
        <v>34</v>
      </c>
      <c r="H869" s="634" t="s">
        <v>1105</v>
      </c>
      <c r="I869" s="633" t="s">
        <v>1259</v>
      </c>
      <c r="J869" s="634">
        <v>3</v>
      </c>
      <c r="K869" s="618" t="s">
        <v>50</v>
      </c>
    </row>
    <row r="870" spans="1:11">
      <c r="A870" s="1168"/>
      <c r="B870" s="640">
        <v>46192</v>
      </c>
      <c r="C870" s="632" t="s">
        <v>19</v>
      </c>
      <c r="D870" s="632" t="s">
        <v>151</v>
      </c>
      <c r="E870" s="633" t="s">
        <v>5254</v>
      </c>
      <c r="F870" s="645" t="s">
        <v>6135</v>
      </c>
      <c r="G870" s="645" t="s">
        <v>143</v>
      </c>
      <c r="H870" s="647" t="s">
        <v>6136</v>
      </c>
      <c r="I870" s="646" t="s">
        <v>168</v>
      </c>
      <c r="J870" s="646">
        <v>1</v>
      </c>
      <c r="K870" s="618" t="s">
        <v>50</v>
      </c>
    </row>
    <row r="871" spans="1:11">
      <c r="A871" s="1168"/>
      <c r="B871" s="640">
        <v>46189</v>
      </c>
      <c r="C871" s="721" t="s">
        <v>421</v>
      </c>
      <c r="D871" s="721" t="s">
        <v>421</v>
      </c>
      <c r="E871" s="633" t="s">
        <v>5254</v>
      </c>
      <c r="F871" s="633" t="s">
        <v>3589</v>
      </c>
      <c r="G871" s="636"/>
      <c r="H871" s="634" t="s">
        <v>6248</v>
      </c>
      <c r="I871" s="633" t="s">
        <v>252</v>
      </c>
      <c r="J871" s="634">
        <v>1</v>
      </c>
      <c r="K871" s="618" t="s">
        <v>50</v>
      </c>
    </row>
    <row r="872" spans="1:11">
      <c r="A872" s="1168"/>
      <c r="B872" s="640">
        <v>46192</v>
      </c>
      <c r="C872" s="721" t="s">
        <v>421</v>
      </c>
      <c r="D872" s="721" t="s">
        <v>421</v>
      </c>
      <c r="E872" s="633" t="s">
        <v>5254</v>
      </c>
      <c r="F872" s="633" t="s">
        <v>3589</v>
      </c>
      <c r="G872" s="636"/>
      <c r="H872" s="634" t="s">
        <v>6248</v>
      </c>
      <c r="I872" s="633" t="s">
        <v>252</v>
      </c>
      <c r="J872" s="634">
        <v>1</v>
      </c>
      <c r="K872" s="618" t="s">
        <v>50</v>
      </c>
    </row>
    <row r="873" spans="1:11">
      <c r="A873" s="1168"/>
      <c r="B873" s="640">
        <v>46193</v>
      </c>
      <c r="C873" s="721" t="s">
        <v>421</v>
      </c>
      <c r="D873" s="721" t="s">
        <v>421</v>
      </c>
      <c r="E873" s="633" t="s">
        <v>5254</v>
      </c>
      <c r="F873" s="633" t="s">
        <v>3589</v>
      </c>
      <c r="G873" s="636"/>
      <c r="H873" s="634" t="s">
        <v>6248</v>
      </c>
      <c r="I873" s="633" t="s">
        <v>252</v>
      </c>
      <c r="J873" s="634">
        <v>1</v>
      </c>
      <c r="K873" s="618" t="s">
        <v>50</v>
      </c>
    </row>
    <row r="874" spans="1:11">
      <c r="A874" s="1168"/>
      <c r="B874" s="656" t="s">
        <v>6249</v>
      </c>
      <c r="C874" s="632" t="s">
        <v>19</v>
      </c>
      <c r="D874" s="632" t="s">
        <v>25</v>
      </c>
      <c r="E874" s="633" t="s">
        <v>5254</v>
      </c>
      <c r="F874" s="674" t="s">
        <v>6135</v>
      </c>
      <c r="G874" s="674" t="s">
        <v>1172</v>
      </c>
      <c r="H874" s="675" t="s">
        <v>1105</v>
      </c>
      <c r="I874" s="633" t="s">
        <v>1259</v>
      </c>
      <c r="J874" s="634">
        <v>3</v>
      </c>
      <c r="K874" s="618" t="s">
        <v>50</v>
      </c>
    </row>
    <row r="875" spans="1:11">
      <c r="A875" s="1169"/>
      <c r="B875" s="656" t="s">
        <v>6249</v>
      </c>
      <c r="C875" s="632" t="s">
        <v>19</v>
      </c>
      <c r="D875" s="632" t="s">
        <v>25</v>
      </c>
      <c r="E875" s="633" t="s">
        <v>5254</v>
      </c>
      <c r="F875" s="674" t="s">
        <v>5754</v>
      </c>
      <c r="G875" s="674" t="s">
        <v>18</v>
      </c>
      <c r="H875" s="675" t="s">
        <v>6252</v>
      </c>
      <c r="I875" s="685" t="s">
        <v>812</v>
      </c>
      <c r="J875" s="676">
        <v>3</v>
      </c>
      <c r="K875" s="618" t="s">
        <v>50</v>
      </c>
    </row>
    <row r="876" spans="1:11">
      <c r="A876" s="1163" t="s">
        <v>1646</v>
      </c>
      <c r="B876" s="1163"/>
      <c r="C876" s="1163"/>
      <c r="D876" s="1163"/>
      <c r="E876" s="1163"/>
      <c r="F876" s="1163"/>
      <c r="G876" s="1163"/>
      <c r="H876" s="1163"/>
      <c r="I876" s="1163"/>
      <c r="J876" s="618">
        <f>SUM(J856:J875)</f>
        <v>41</v>
      </c>
      <c r="K876" s="654"/>
    </row>
    <row r="879" spans="1:11" ht="22.5">
      <c r="A879" s="612" t="s">
        <v>43</v>
      </c>
      <c r="B879" s="612" t="s">
        <v>1620</v>
      </c>
      <c r="C879" s="613" t="s">
        <v>2</v>
      </c>
      <c r="D879" s="613" t="s">
        <v>3</v>
      </c>
      <c r="E879" s="613" t="s">
        <v>4</v>
      </c>
      <c r="F879" s="613" t="s">
        <v>5</v>
      </c>
      <c r="G879" s="613" t="s">
        <v>6</v>
      </c>
      <c r="H879" s="614" t="s">
        <v>45</v>
      </c>
      <c r="I879" s="613" t="s">
        <v>8</v>
      </c>
      <c r="J879" s="615" t="s">
        <v>46</v>
      </c>
      <c r="K879" s="616" t="s">
        <v>47</v>
      </c>
    </row>
    <row r="880" spans="1:11">
      <c r="A880" s="1168" t="s">
        <v>6376</v>
      </c>
      <c r="B880" s="657">
        <v>46169</v>
      </c>
      <c r="C880" s="618" t="s">
        <v>2064</v>
      </c>
      <c r="D880" s="618" t="s">
        <v>3264</v>
      </c>
      <c r="E880" s="619" t="s">
        <v>5963</v>
      </c>
      <c r="F880" s="653" t="s">
        <v>5796</v>
      </c>
      <c r="G880" s="620" t="s">
        <v>4091</v>
      </c>
      <c r="H880" s="619" t="s">
        <v>6377</v>
      </c>
      <c r="I880" s="653" t="s">
        <v>6378</v>
      </c>
      <c r="J880" s="653">
        <v>1</v>
      </c>
      <c r="K880" s="618" t="s">
        <v>50</v>
      </c>
    </row>
    <row r="881" spans="1:15">
      <c r="A881" s="1168"/>
      <c r="B881" s="657">
        <v>46175</v>
      </c>
      <c r="C881" s="618" t="s">
        <v>2064</v>
      </c>
      <c r="D881" s="618" t="s">
        <v>3264</v>
      </c>
      <c r="E881" s="619" t="s">
        <v>5963</v>
      </c>
      <c r="F881" s="653" t="s">
        <v>5796</v>
      </c>
      <c r="G881" s="620" t="s">
        <v>4091</v>
      </c>
      <c r="H881" s="619" t="s">
        <v>5972</v>
      </c>
      <c r="I881" s="653" t="s">
        <v>4168</v>
      </c>
      <c r="J881" s="619">
        <v>1</v>
      </c>
      <c r="K881" s="618" t="s">
        <v>50</v>
      </c>
    </row>
    <row r="882" spans="1:15">
      <c r="A882" s="1168"/>
      <c r="B882" s="657">
        <v>46181</v>
      </c>
      <c r="C882" s="618" t="s">
        <v>21</v>
      </c>
      <c r="D882" s="618" t="s">
        <v>17</v>
      </c>
      <c r="E882" s="653" t="s">
        <v>78</v>
      </c>
      <c r="F882" s="619" t="s">
        <v>6015</v>
      </c>
      <c r="G882" s="620" t="s">
        <v>35</v>
      </c>
      <c r="H882" s="619" t="s">
        <v>6013</v>
      </c>
      <c r="I882" s="664" t="s">
        <v>90</v>
      </c>
      <c r="J882" s="664">
        <v>1</v>
      </c>
      <c r="K882" s="618" t="s">
        <v>50</v>
      </c>
      <c r="O882">
        <f>50*250000+187500+281250+93750+234375+234375</f>
        <v>13531250</v>
      </c>
    </row>
    <row r="883" spans="1:15">
      <c r="A883" s="1168"/>
      <c r="B883" s="657">
        <v>46188</v>
      </c>
      <c r="C883" s="618" t="s">
        <v>138</v>
      </c>
      <c r="D883" s="618" t="s">
        <v>14</v>
      </c>
      <c r="E883" s="653" t="s">
        <v>107</v>
      </c>
      <c r="F883" s="653" t="s">
        <v>3386</v>
      </c>
      <c r="G883" s="620" t="s">
        <v>115</v>
      </c>
      <c r="H883" s="619" t="s">
        <v>6122</v>
      </c>
      <c r="I883" s="619"/>
      <c r="J883" s="618">
        <v>1</v>
      </c>
      <c r="K883" s="618" t="s">
        <v>50</v>
      </c>
    </row>
    <row r="884" spans="1:15">
      <c r="A884" s="1168"/>
      <c r="B884" s="657">
        <v>46191</v>
      </c>
      <c r="C884" s="618" t="s">
        <v>21</v>
      </c>
      <c r="D884" s="618" t="s">
        <v>17</v>
      </c>
      <c r="E884" s="619" t="s">
        <v>78</v>
      </c>
      <c r="F884" s="664">
        <v>7060</v>
      </c>
      <c r="G884" s="643" t="s">
        <v>35</v>
      </c>
      <c r="H884" s="642" t="s">
        <v>6112</v>
      </c>
      <c r="I884" s="664" t="s">
        <v>120</v>
      </c>
      <c r="J884" s="641">
        <v>1</v>
      </c>
      <c r="K884" s="618" t="s">
        <v>50</v>
      </c>
      <c r="L884" s="746"/>
    </row>
    <row r="885" spans="1:15">
      <c r="A885" s="1168"/>
      <c r="B885" s="748">
        <v>46198</v>
      </c>
      <c r="C885" s="618" t="s">
        <v>21</v>
      </c>
      <c r="D885" s="618" t="s">
        <v>14</v>
      </c>
      <c r="E885" s="653">
        <v>4</v>
      </c>
      <c r="F885" s="653" t="s">
        <v>6135</v>
      </c>
      <c r="G885" s="620" t="s">
        <v>1172</v>
      </c>
      <c r="H885" s="619" t="s">
        <v>271</v>
      </c>
      <c r="I885" s="653" t="s">
        <v>812</v>
      </c>
      <c r="J885" s="749">
        <v>2</v>
      </c>
      <c r="K885" s="618" t="s">
        <v>50</v>
      </c>
      <c r="M885" s="747"/>
    </row>
    <row r="886" spans="1:15">
      <c r="A886" s="1168"/>
      <c r="B886" s="748">
        <v>46199</v>
      </c>
      <c r="C886" s="618" t="s">
        <v>21</v>
      </c>
      <c r="D886" s="618" t="s">
        <v>14</v>
      </c>
      <c r="E886" s="653" t="s">
        <v>427</v>
      </c>
      <c r="F886" s="653" t="s">
        <v>6135</v>
      </c>
      <c r="G886" s="620" t="s">
        <v>1172</v>
      </c>
      <c r="H886" s="619" t="s">
        <v>271</v>
      </c>
      <c r="I886" s="653" t="s">
        <v>812</v>
      </c>
      <c r="J886" s="653">
        <v>2</v>
      </c>
      <c r="K886" s="618" t="s">
        <v>50</v>
      </c>
    </row>
    <row r="887" spans="1:15">
      <c r="A887" s="1163" t="s">
        <v>1646</v>
      </c>
      <c r="B887" s="1163"/>
      <c r="C887" s="1163"/>
      <c r="D887" s="1163"/>
      <c r="E887" s="1163"/>
      <c r="F887" s="1163"/>
      <c r="G887" s="1163"/>
      <c r="H887" s="1163"/>
      <c r="I887" s="1163"/>
      <c r="J887" s="618">
        <f>SUM(J880:J886)</f>
        <v>9</v>
      </c>
      <c r="K887" s="654"/>
    </row>
    <row r="892" spans="1:15" ht="22.5">
      <c r="A892" s="612" t="s">
        <v>43</v>
      </c>
      <c r="B892" s="612" t="s">
        <v>1620</v>
      </c>
      <c r="C892" s="613" t="s">
        <v>2</v>
      </c>
      <c r="D892" s="613" t="s">
        <v>3</v>
      </c>
      <c r="E892" s="613" t="s">
        <v>4</v>
      </c>
      <c r="F892" s="613" t="s">
        <v>5</v>
      </c>
      <c r="G892" s="613" t="s">
        <v>6</v>
      </c>
      <c r="H892" s="614" t="s">
        <v>45</v>
      </c>
      <c r="I892" s="613" t="s">
        <v>8</v>
      </c>
      <c r="J892" s="615" t="s">
        <v>46</v>
      </c>
      <c r="K892" s="616" t="s">
        <v>47</v>
      </c>
    </row>
    <row r="893" spans="1:15">
      <c r="A893" s="1238" t="s">
        <v>739</v>
      </c>
      <c r="B893" s="657">
        <v>46168</v>
      </c>
      <c r="C893" s="641" t="s">
        <v>21</v>
      </c>
      <c r="D893" s="641" t="s">
        <v>14</v>
      </c>
      <c r="E893" s="664" t="s">
        <v>107</v>
      </c>
      <c r="F893" s="664" t="s">
        <v>2959</v>
      </c>
      <c r="G893" s="643" t="s">
        <v>3421</v>
      </c>
      <c r="H893" s="642" t="s">
        <v>5825</v>
      </c>
      <c r="I893" s="642"/>
      <c r="J893" s="641">
        <v>2</v>
      </c>
      <c r="K893" s="618" t="s">
        <v>50</v>
      </c>
    </row>
    <row r="894" spans="1:15">
      <c r="A894" s="1239"/>
      <c r="B894" s="657">
        <v>46169</v>
      </c>
      <c r="C894" s="641" t="s">
        <v>21</v>
      </c>
      <c r="D894" s="641" t="s">
        <v>14</v>
      </c>
      <c r="E894" s="664" t="s">
        <v>107</v>
      </c>
      <c r="F894" s="664" t="s">
        <v>2959</v>
      </c>
      <c r="G894" s="643" t="s">
        <v>3421</v>
      </c>
      <c r="H894" s="642" t="s">
        <v>5825</v>
      </c>
      <c r="I894" s="642"/>
      <c r="J894" s="641">
        <v>2</v>
      </c>
      <c r="K894" s="618" t="s">
        <v>50</v>
      </c>
    </row>
    <row r="895" spans="1:15" ht="22.5">
      <c r="A895" s="1239"/>
      <c r="B895" s="657">
        <v>46175</v>
      </c>
      <c r="C895" s="618" t="s">
        <v>21</v>
      </c>
      <c r="D895" s="618" t="s">
        <v>17</v>
      </c>
      <c r="E895" s="619" t="s">
        <v>1893</v>
      </c>
      <c r="F895" s="619" t="s">
        <v>1323</v>
      </c>
      <c r="G895" s="620" t="s">
        <v>1391</v>
      </c>
      <c r="H895" s="619" t="s">
        <v>5790</v>
      </c>
      <c r="I895" s="653" t="s">
        <v>3274</v>
      </c>
      <c r="J895" s="618">
        <v>1</v>
      </c>
      <c r="K895" s="618" t="s">
        <v>50</v>
      </c>
    </row>
    <row r="896" spans="1:15">
      <c r="A896" s="1239"/>
      <c r="B896" s="657">
        <v>46177</v>
      </c>
      <c r="C896" s="618" t="s">
        <v>21</v>
      </c>
      <c r="D896" s="618" t="s">
        <v>14</v>
      </c>
      <c r="E896" s="653" t="s">
        <v>107</v>
      </c>
      <c r="F896" s="653" t="s">
        <v>3386</v>
      </c>
      <c r="G896" s="620" t="s">
        <v>5903</v>
      </c>
      <c r="H896" s="619" t="s">
        <v>5904</v>
      </c>
      <c r="I896" s="653" t="s">
        <v>90</v>
      </c>
      <c r="J896" s="749">
        <v>1</v>
      </c>
      <c r="K896" s="618" t="s">
        <v>50</v>
      </c>
    </row>
    <row r="897" spans="1:11">
      <c r="A897" s="1239"/>
      <c r="B897" s="657">
        <v>46178</v>
      </c>
      <c r="C897" s="618" t="s">
        <v>21</v>
      </c>
      <c r="D897" s="618" t="s">
        <v>14</v>
      </c>
      <c r="E897" s="653" t="s">
        <v>107</v>
      </c>
      <c r="F897" s="653" t="s">
        <v>3386</v>
      </c>
      <c r="G897" s="620" t="s">
        <v>5903</v>
      </c>
      <c r="H897" s="619" t="s">
        <v>5904</v>
      </c>
      <c r="I897" s="653" t="s">
        <v>90</v>
      </c>
      <c r="J897" s="749">
        <v>1</v>
      </c>
      <c r="K897" s="618" t="s">
        <v>50</v>
      </c>
    </row>
    <row r="898" spans="1:11">
      <c r="A898" s="1239"/>
      <c r="B898" s="657">
        <v>46184</v>
      </c>
      <c r="C898" s="641" t="s">
        <v>21</v>
      </c>
      <c r="D898" s="641" t="s">
        <v>14</v>
      </c>
      <c r="E898" s="664" t="s">
        <v>107</v>
      </c>
      <c r="F898" s="664" t="s">
        <v>2959</v>
      </c>
      <c r="G898" s="643" t="s">
        <v>376</v>
      </c>
      <c r="H898" s="642" t="s">
        <v>5919</v>
      </c>
      <c r="I898" s="664" t="s">
        <v>90</v>
      </c>
      <c r="J898" s="641">
        <v>1</v>
      </c>
      <c r="K898" s="618" t="s">
        <v>50</v>
      </c>
    </row>
    <row r="899" spans="1:11">
      <c r="A899" s="1239"/>
      <c r="B899" s="657">
        <v>46185</v>
      </c>
      <c r="C899" s="641" t="s">
        <v>138</v>
      </c>
      <c r="D899" s="641" t="s">
        <v>14</v>
      </c>
      <c r="E899" s="664" t="s">
        <v>1893</v>
      </c>
      <c r="F899" s="664" t="s">
        <v>6089</v>
      </c>
      <c r="G899" s="643" t="s">
        <v>34</v>
      </c>
      <c r="H899" s="642" t="s">
        <v>6091</v>
      </c>
      <c r="I899" s="653" t="s">
        <v>120</v>
      </c>
      <c r="J899" s="742">
        <v>1</v>
      </c>
      <c r="K899" s="618" t="s">
        <v>50</v>
      </c>
    </row>
    <row r="900" spans="1:11">
      <c r="A900" s="1239"/>
      <c r="B900" s="657">
        <v>46188</v>
      </c>
      <c r="C900" s="618" t="s">
        <v>138</v>
      </c>
      <c r="D900" s="618" t="s">
        <v>14</v>
      </c>
      <c r="E900" s="653" t="s">
        <v>107</v>
      </c>
      <c r="F900" s="653" t="s">
        <v>3386</v>
      </c>
      <c r="G900" s="620" t="s">
        <v>115</v>
      </c>
      <c r="H900" s="619" t="s">
        <v>6122</v>
      </c>
      <c r="I900" s="619"/>
      <c r="J900" s="618">
        <v>1</v>
      </c>
      <c r="K900" s="618" t="s">
        <v>50</v>
      </c>
    </row>
    <row r="901" spans="1:11" ht="22.5">
      <c r="A901" s="1239"/>
      <c r="B901" s="738">
        <v>46195</v>
      </c>
      <c r="C901" s="641" t="s">
        <v>21</v>
      </c>
      <c r="D901" s="641" t="s">
        <v>17</v>
      </c>
      <c r="E901" s="642" t="s">
        <v>4745</v>
      </c>
      <c r="F901" s="664" t="s">
        <v>2654</v>
      </c>
      <c r="G901" s="643" t="s">
        <v>23</v>
      </c>
      <c r="H901" s="642" t="s">
        <v>6211</v>
      </c>
      <c r="I901" s="653"/>
      <c r="J901" s="618">
        <v>2</v>
      </c>
      <c r="K901" s="618" t="s">
        <v>50</v>
      </c>
    </row>
    <row r="902" spans="1:11" ht="22.5">
      <c r="A902" s="1239"/>
      <c r="B902" s="738">
        <v>46196</v>
      </c>
      <c r="C902" s="641" t="s">
        <v>21</v>
      </c>
      <c r="D902" s="641" t="s">
        <v>17</v>
      </c>
      <c r="E902" s="642" t="s">
        <v>4745</v>
      </c>
      <c r="F902" s="664" t="s">
        <v>2654</v>
      </c>
      <c r="G902" s="643" t="s">
        <v>23</v>
      </c>
      <c r="H902" s="642" t="s">
        <v>6211</v>
      </c>
      <c r="I902" s="653"/>
      <c r="J902" s="618">
        <v>2</v>
      </c>
      <c r="K902" s="618" t="s">
        <v>50</v>
      </c>
    </row>
    <row r="903" spans="1:11" ht="22.5">
      <c r="A903" s="1239"/>
      <c r="B903" s="738">
        <v>46197</v>
      </c>
      <c r="C903" s="618" t="s">
        <v>2064</v>
      </c>
      <c r="D903" s="618" t="s">
        <v>3264</v>
      </c>
      <c r="E903" s="619" t="s">
        <v>5963</v>
      </c>
      <c r="F903" s="653" t="s">
        <v>5796</v>
      </c>
      <c r="G903" s="620" t="s">
        <v>4091</v>
      </c>
      <c r="H903" s="619" t="s">
        <v>6383</v>
      </c>
      <c r="I903" s="653" t="s">
        <v>3429</v>
      </c>
      <c r="J903" s="749">
        <v>1</v>
      </c>
      <c r="K903" s="618" t="s">
        <v>6384</v>
      </c>
    </row>
    <row r="904" spans="1:11">
      <c r="A904" s="1163" t="s">
        <v>1646</v>
      </c>
      <c r="B904" s="1163"/>
      <c r="C904" s="1163"/>
      <c r="D904" s="1163"/>
      <c r="E904" s="1163"/>
      <c r="F904" s="1163"/>
      <c r="G904" s="1163"/>
      <c r="H904" s="1163"/>
      <c r="I904" s="1163"/>
      <c r="J904" s="618">
        <f>SUM(J893:J903)</f>
        <v>15</v>
      </c>
      <c r="K904" s="654"/>
    </row>
    <row r="907" spans="1:11" ht="22.5">
      <c r="A907" s="612" t="s">
        <v>43</v>
      </c>
      <c r="B907" s="612" t="s">
        <v>1620</v>
      </c>
      <c r="C907" s="613" t="s">
        <v>2</v>
      </c>
      <c r="D907" s="613" t="s">
        <v>3</v>
      </c>
      <c r="E907" s="613" t="s">
        <v>4</v>
      </c>
      <c r="F907" s="613" t="s">
        <v>5</v>
      </c>
      <c r="G907" s="613" t="s">
        <v>6</v>
      </c>
      <c r="H907" s="614" t="s">
        <v>45</v>
      </c>
      <c r="I907" s="613" t="s">
        <v>8</v>
      </c>
      <c r="J907" s="615" t="s">
        <v>46</v>
      </c>
      <c r="K907" s="616" t="s">
        <v>47</v>
      </c>
    </row>
    <row r="908" spans="1:11">
      <c r="A908" s="1238" t="s">
        <v>6385</v>
      </c>
      <c r="B908" s="657">
        <v>46178</v>
      </c>
      <c r="C908" s="641" t="s">
        <v>21</v>
      </c>
      <c r="D908" s="641" t="s">
        <v>14</v>
      </c>
      <c r="E908" s="664" t="s">
        <v>5915</v>
      </c>
      <c r="F908" s="664" t="s">
        <v>3420</v>
      </c>
      <c r="G908" s="643" t="s">
        <v>553</v>
      </c>
      <c r="H908" s="642" t="s">
        <v>5918</v>
      </c>
      <c r="I908" s="664"/>
      <c r="J908" s="751">
        <v>2</v>
      </c>
      <c r="K908" s="618" t="s">
        <v>50</v>
      </c>
    </row>
    <row r="909" spans="1:11">
      <c r="A909" s="1239"/>
      <c r="B909" s="657">
        <v>46181</v>
      </c>
      <c r="C909" s="618" t="s">
        <v>21</v>
      </c>
      <c r="D909" s="618" t="s">
        <v>14</v>
      </c>
      <c r="E909" s="619" t="s">
        <v>149</v>
      </c>
      <c r="F909" s="653" t="s">
        <v>4090</v>
      </c>
      <c r="G909" s="620" t="s">
        <v>4091</v>
      </c>
      <c r="H909" s="619" t="s">
        <v>5992</v>
      </c>
      <c r="I909" s="653" t="s">
        <v>3429</v>
      </c>
      <c r="J909" s="749">
        <v>1</v>
      </c>
      <c r="K909" s="618" t="s">
        <v>50</v>
      </c>
    </row>
    <row r="910" spans="1:11">
      <c r="A910" s="1239"/>
      <c r="B910" s="657">
        <v>46182</v>
      </c>
      <c r="C910" s="618" t="s">
        <v>21</v>
      </c>
      <c r="D910" s="618" t="s">
        <v>14</v>
      </c>
      <c r="E910" s="619" t="s">
        <v>149</v>
      </c>
      <c r="F910" s="653" t="s">
        <v>4090</v>
      </c>
      <c r="G910" s="620" t="s">
        <v>4091</v>
      </c>
      <c r="H910" s="619" t="s">
        <v>1276</v>
      </c>
      <c r="I910" s="653" t="s">
        <v>3429</v>
      </c>
      <c r="J910" s="749">
        <v>1</v>
      </c>
      <c r="K910" s="618" t="s">
        <v>50</v>
      </c>
    </row>
    <row r="911" spans="1:11">
      <c r="A911" s="1239"/>
      <c r="B911" s="657">
        <v>46183</v>
      </c>
      <c r="C911" s="618" t="s">
        <v>21</v>
      </c>
      <c r="D911" s="618" t="s">
        <v>14</v>
      </c>
      <c r="E911" s="653" t="s">
        <v>1893</v>
      </c>
      <c r="F911" s="653" t="s">
        <v>4939</v>
      </c>
      <c r="G911" s="620" t="s">
        <v>482</v>
      </c>
      <c r="H911" s="619" t="s">
        <v>3607</v>
      </c>
      <c r="I911" s="653" t="s">
        <v>3787</v>
      </c>
      <c r="J911" s="618">
        <v>2</v>
      </c>
      <c r="K911" s="618" t="s">
        <v>50</v>
      </c>
    </row>
    <row r="912" spans="1:11">
      <c r="A912" s="1239"/>
      <c r="B912" s="657">
        <v>46184</v>
      </c>
      <c r="C912" s="618" t="s">
        <v>21</v>
      </c>
      <c r="D912" s="618" t="s">
        <v>14</v>
      </c>
      <c r="E912" s="653" t="s">
        <v>1893</v>
      </c>
      <c r="F912" s="653" t="s">
        <v>4939</v>
      </c>
      <c r="G912" s="620" t="s">
        <v>482</v>
      </c>
      <c r="H912" s="619" t="s">
        <v>3607</v>
      </c>
      <c r="I912" s="653" t="s">
        <v>3787</v>
      </c>
      <c r="J912" s="618">
        <v>2</v>
      </c>
      <c r="K912" s="618" t="s">
        <v>50</v>
      </c>
    </row>
    <row r="913" spans="1:11">
      <c r="A913" s="1239"/>
      <c r="B913" s="657">
        <v>46185</v>
      </c>
      <c r="C913" s="618" t="s">
        <v>21</v>
      </c>
      <c r="D913" s="618" t="s">
        <v>14</v>
      </c>
      <c r="E913" s="653" t="s">
        <v>1893</v>
      </c>
      <c r="F913" s="653" t="s">
        <v>4939</v>
      </c>
      <c r="G913" s="620" t="s">
        <v>482</v>
      </c>
      <c r="H913" s="619" t="s">
        <v>3607</v>
      </c>
      <c r="I913" s="653" t="s">
        <v>3787</v>
      </c>
      <c r="J913" s="618">
        <v>2</v>
      </c>
      <c r="K913" s="618" t="s">
        <v>50</v>
      </c>
    </row>
    <row r="914" spans="1:11" ht="22.5">
      <c r="A914" s="1239"/>
      <c r="B914" s="657">
        <v>46189</v>
      </c>
      <c r="C914" s="618" t="s">
        <v>21</v>
      </c>
      <c r="D914" s="618" t="s">
        <v>17</v>
      </c>
      <c r="E914" s="619" t="s">
        <v>6095</v>
      </c>
      <c r="F914" s="664" t="s">
        <v>2713</v>
      </c>
      <c r="G914" s="643" t="s">
        <v>115</v>
      </c>
      <c r="H914" s="642" t="s">
        <v>6100</v>
      </c>
      <c r="I914" s="664"/>
      <c r="J914" s="618">
        <v>2</v>
      </c>
      <c r="K914" s="618" t="s">
        <v>50</v>
      </c>
    </row>
    <row r="915" spans="1:11" ht="22.5">
      <c r="A915" s="1239"/>
      <c r="B915" s="657">
        <v>46190</v>
      </c>
      <c r="C915" s="618" t="s">
        <v>21</v>
      </c>
      <c r="D915" s="618" t="s">
        <v>17</v>
      </c>
      <c r="E915" s="619" t="s">
        <v>6095</v>
      </c>
      <c r="F915" s="664" t="s">
        <v>2713</v>
      </c>
      <c r="G915" s="643" t="s">
        <v>23</v>
      </c>
      <c r="H915" s="642" t="s">
        <v>6099</v>
      </c>
      <c r="I915" s="664"/>
      <c r="J915" s="618">
        <v>2</v>
      </c>
      <c r="K915" s="618" t="s">
        <v>50</v>
      </c>
    </row>
    <row r="916" spans="1:11" ht="45">
      <c r="A916" s="1239"/>
      <c r="B916" s="657">
        <v>46191</v>
      </c>
      <c r="C916" s="641" t="s">
        <v>21</v>
      </c>
      <c r="D916" s="641" t="s">
        <v>14</v>
      </c>
      <c r="E916" s="642" t="s">
        <v>149</v>
      </c>
      <c r="F916" s="664" t="s">
        <v>4090</v>
      </c>
      <c r="G916" s="643" t="s">
        <v>4091</v>
      </c>
      <c r="H916" s="642" t="s">
        <v>6115</v>
      </c>
      <c r="I916" s="664"/>
      <c r="J916" s="618">
        <v>1</v>
      </c>
      <c r="K916" s="618" t="s">
        <v>6384</v>
      </c>
    </row>
    <row r="917" spans="1:11" ht="22.5">
      <c r="A917" s="1239"/>
      <c r="B917" s="748">
        <v>46197</v>
      </c>
      <c r="C917" s="618" t="s">
        <v>21</v>
      </c>
      <c r="D917" s="618" t="s">
        <v>14</v>
      </c>
      <c r="E917" s="619" t="s">
        <v>149</v>
      </c>
      <c r="F917" s="653" t="s">
        <v>4090</v>
      </c>
      <c r="G917" s="620" t="s">
        <v>4091</v>
      </c>
      <c r="H917" s="619" t="s">
        <v>6254</v>
      </c>
      <c r="I917" s="653" t="s">
        <v>252</v>
      </c>
      <c r="J917" s="618">
        <v>1</v>
      </c>
      <c r="K917" s="618" t="s">
        <v>6384</v>
      </c>
    </row>
    <row r="918" spans="1:11" ht="22.5">
      <c r="A918" s="1239"/>
      <c r="B918" s="748">
        <v>46198</v>
      </c>
      <c r="C918" s="618" t="s">
        <v>21</v>
      </c>
      <c r="D918" s="618" t="s">
        <v>17</v>
      </c>
      <c r="E918" s="619" t="s">
        <v>6095</v>
      </c>
      <c r="F918" s="653" t="s">
        <v>2713</v>
      </c>
      <c r="G918" s="620" t="s">
        <v>115</v>
      </c>
      <c r="H918" s="619" t="s">
        <v>6253</v>
      </c>
      <c r="I918" s="653"/>
      <c r="J918" s="619">
        <v>1</v>
      </c>
      <c r="K918" s="618" t="s">
        <v>50</v>
      </c>
    </row>
    <row r="919" spans="1:11">
      <c r="A919" s="1163" t="s">
        <v>1646</v>
      </c>
      <c r="B919" s="1163"/>
      <c r="C919" s="1163"/>
      <c r="D919" s="1163"/>
      <c r="E919" s="1163"/>
      <c r="F919" s="1163"/>
      <c r="G919" s="1163"/>
      <c r="H919" s="1163"/>
      <c r="I919" s="1163"/>
      <c r="J919" s="618">
        <f>SUM(J908:J918)</f>
        <v>17</v>
      </c>
      <c r="K919" s="654"/>
    </row>
    <row r="924" spans="1:11" ht="22.5">
      <c r="A924" s="612" t="s">
        <v>43</v>
      </c>
      <c r="B924" s="612" t="s">
        <v>1620</v>
      </c>
      <c r="C924" s="613" t="s">
        <v>2</v>
      </c>
      <c r="D924" s="613" t="s">
        <v>3</v>
      </c>
      <c r="E924" s="613" t="s">
        <v>4</v>
      </c>
      <c r="F924" s="613" t="s">
        <v>5</v>
      </c>
      <c r="G924" s="613" t="s">
        <v>6</v>
      </c>
      <c r="H924" s="614" t="s">
        <v>45</v>
      </c>
      <c r="I924" s="613" t="s">
        <v>8</v>
      </c>
      <c r="J924" s="615" t="s">
        <v>46</v>
      </c>
      <c r="K924" s="616" t="s">
        <v>47</v>
      </c>
    </row>
    <row r="925" spans="1:11">
      <c r="A925" s="1167" t="s">
        <v>6386</v>
      </c>
      <c r="B925" s="652">
        <v>46181</v>
      </c>
      <c r="C925" s="618" t="s">
        <v>21</v>
      </c>
      <c r="D925" s="618" t="s">
        <v>14</v>
      </c>
      <c r="E925" s="619" t="s">
        <v>149</v>
      </c>
      <c r="F925" s="653" t="s">
        <v>4090</v>
      </c>
      <c r="G925" s="620" t="s">
        <v>4091</v>
      </c>
      <c r="H925" s="619" t="s">
        <v>6105</v>
      </c>
      <c r="I925" s="653" t="s">
        <v>168</v>
      </c>
      <c r="J925" s="653">
        <v>1</v>
      </c>
      <c r="K925" s="618" t="s">
        <v>50</v>
      </c>
    </row>
    <row r="926" spans="1:11">
      <c r="A926" s="1168"/>
      <c r="B926" s="652">
        <v>46182</v>
      </c>
      <c r="C926" s="618" t="s">
        <v>21</v>
      </c>
      <c r="D926" s="618" t="s">
        <v>14</v>
      </c>
      <c r="E926" s="619" t="s">
        <v>149</v>
      </c>
      <c r="F926" s="653" t="s">
        <v>4090</v>
      </c>
      <c r="G926" s="620" t="s">
        <v>4091</v>
      </c>
      <c r="H926" s="619" t="s">
        <v>6105</v>
      </c>
      <c r="I926" s="653" t="s">
        <v>168</v>
      </c>
      <c r="J926" s="653">
        <v>1</v>
      </c>
      <c r="K926" s="618" t="s">
        <v>50</v>
      </c>
    </row>
    <row r="927" spans="1:11">
      <c r="A927" s="1168"/>
      <c r="B927" s="652">
        <v>46183</v>
      </c>
      <c r="C927" s="618" t="s">
        <v>21</v>
      </c>
      <c r="D927" s="618" t="s">
        <v>14</v>
      </c>
      <c r="E927" s="619" t="s">
        <v>149</v>
      </c>
      <c r="F927" s="653" t="s">
        <v>4090</v>
      </c>
      <c r="G927" s="620" t="s">
        <v>4091</v>
      </c>
      <c r="H927" s="619" t="s">
        <v>6117</v>
      </c>
      <c r="I927" s="653" t="s">
        <v>168</v>
      </c>
      <c r="J927" s="653">
        <v>1</v>
      </c>
      <c r="K927" s="618" t="s">
        <v>50</v>
      </c>
    </row>
    <row r="928" spans="1:11">
      <c r="A928" s="1168"/>
      <c r="B928" s="652">
        <v>46184</v>
      </c>
      <c r="C928" s="618" t="s">
        <v>21</v>
      </c>
      <c r="D928" s="618" t="s">
        <v>14</v>
      </c>
      <c r="E928" s="619" t="s">
        <v>149</v>
      </c>
      <c r="F928" s="653" t="s">
        <v>4090</v>
      </c>
      <c r="G928" s="620" t="s">
        <v>4091</v>
      </c>
      <c r="H928" s="619" t="s">
        <v>303</v>
      </c>
      <c r="I928" s="653" t="s">
        <v>168</v>
      </c>
      <c r="J928" s="653">
        <v>1</v>
      </c>
      <c r="K928" s="618" t="s">
        <v>50</v>
      </c>
    </row>
    <row r="929" spans="1:11" ht="17.25" customHeight="1">
      <c r="A929" s="1169"/>
      <c r="B929" s="738">
        <v>46196</v>
      </c>
      <c r="C929" s="618" t="s">
        <v>21</v>
      </c>
      <c r="D929" s="618" t="s">
        <v>14</v>
      </c>
      <c r="E929" s="653" t="s">
        <v>107</v>
      </c>
      <c r="F929" s="653" t="s">
        <v>3386</v>
      </c>
      <c r="G929" s="620" t="s">
        <v>115</v>
      </c>
      <c r="H929" s="619" t="s">
        <v>303</v>
      </c>
      <c r="I929" s="664" t="s">
        <v>120</v>
      </c>
      <c r="J929" s="664">
        <v>1</v>
      </c>
      <c r="K929" s="618" t="s">
        <v>50</v>
      </c>
    </row>
    <row r="930" spans="1:11">
      <c r="A930" s="1163" t="s">
        <v>1646</v>
      </c>
      <c r="B930" s="1163"/>
      <c r="C930" s="1163"/>
      <c r="D930" s="1163"/>
      <c r="E930" s="1163"/>
      <c r="F930" s="1163"/>
      <c r="G930" s="1163"/>
      <c r="H930" s="1163"/>
      <c r="I930" s="1163"/>
      <c r="J930" s="618">
        <f>SUM(J925:J929)</f>
        <v>5</v>
      </c>
      <c r="K930" s="654"/>
    </row>
    <row r="932" spans="1:11" ht="22.5">
      <c r="A932" s="612" t="s">
        <v>43</v>
      </c>
      <c r="B932" s="612" t="s">
        <v>1620</v>
      </c>
      <c r="C932" s="613" t="s">
        <v>2</v>
      </c>
      <c r="D932" s="613" t="s">
        <v>3</v>
      </c>
      <c r="E932" s="613" t="s">
        <v>4</v>
      </c>
      <c r="F932" s="613" t="s">
        <v>5</v>
      </c>
      <c r="G932" s="613" t="s">
        <v>6</v>
      </c>
      <c r="H932" s="614" t="s">
        <v>45</v>
      </c>
      <c r="I932" s="613" t="s">
        <v>8</v>
      </c>
      <c r="J932" s="615" t="s">
        <v>46</v>
      </c>
      <c r="K932" s="616" t="s">
        <v>47</v>
      </c>
    </row>
    <row r="933" spans="1:11" ht="16.5" customHeight="1">
      <c r="A933" s="1240" t="s">
        <v>6792</v>
      </c>
      <c r="B933" s="657">
        <v>46181</v>
      </c>
      <c r="C933" s="618" t="s">
        <v>21</v>
      </c>
      <c r="D933" s="618" t="s">
        <v>14</v>
      </c>
      <c r="E933" s="653" t="s">
        <v>1893</v>
      </c>
      <c r="F933" s="653" t="s">
        <v>4939</v>
      </c>
      <c r="G933" s="620" t="s">
        <v>482</v>
      </c>
      <c r="H933" s="619" t="s">
        <v>3607</v>
      </c>
      <c r="I933" s="653" t="s">
        <v>3787</v>
      </c>
      <c r="J933" s="619">
        <v>1</v>
      </c>
      <c r="K933" s="618" t="s">
        <v>50</v>
      </c>
    </row>
    <row r="934" spans="1:11">
      <c r="A934" s="1240"/>
      <c r="B934" s="657">
        <v>46183</v>
      </c>
      <c r="C934" s="618" t="s">
        <v>21</v>
      </c>
      <c r="D934" s="618" t="s">
        <v>14</v>
      </c>
      <c r="E934" s="653" t="s">
        <v>1893</v>
      </c>
      <c r="F934" s="653" t="s">
        <v>4939</v>
      </c>
      <c r="G934" s="620" t="s">
        <v>482</v>
      </c>
      <c r="H934" s="619" t="s">
        <v>3607</v>
      </c>
      <c r="I934" s="653" t="s">
        <v>3787</v>
      </c>
      <c r="J934" s="619">
        <v>1</v>
      </c>
      <c r="K934" s="618" t="s">
        <v>50</v>
      </c>
    </row>
    <row r="935" spans="1:11">
      <c r="A935" s="1240"/>
      <c r="B935" s="657">
        <v>46184</v>
      </c>
      <c r="C935" s="618" t="s">
        <v>21</v>
      </c>
      <c r="D935" s="618" t="s">
        <v>14</v>
      </c>
      <c r="E935" s="653" t="s">
        <v>1893</v>
      </c>
      <c r="F935" s="653" t="s">
        <v>4939</v>
      </c>
      <c r="G935" s="620" t="s">
        <v>482</v>
      </c>
      <c r="H935" s="619" t="s">
        <v>3607</v>
      </c>
      <c r="I935" s="653" t="s">
        <v>3787</v>
      </c>
      <c r="J935" s="619">
        <v>1</v>
      </c>
      <c r="K935" s="618" t="s">
        <v>50</v>
      </c>
    </row>
    <row r="936" spans="1:11">
      <c r="A936" s="1240"/>
      <c r="B936" s="657">
        <v>46185</v>
      </c>
      <c r="C936" s="618" t="s">
        <v>21</v>
      </c>
      <c r="D936" s="618" t="s">
        <v>14</v>
      </c>
      <c r="E936" s="653" t="s">
        <v>1893</v>
      </c>
      <c r="F936" s="653" t="s">
        <v>4939</v>
      </c>
      <c r="G936" s="620" t="s">
        <v>482</v>
      </c>
      <c r="H936" s="619" t="s">
        <v>3607</v>
      </c>
      <c r="I936" s="653" t="s">
        <v>3787</v>
      </c>
      <c r="J936" s="619">
        <v>1</v>
      </c>
      <c r="K936" s="618" t="s">
        <v>50</v>
      </c>
    </row>
    <row r="937" spans="1:11">
      <c r="A937" s="1240"/>
      <c r="B937" s="657">
        <v>46189</v>
      </c>
      <c r="C937" s="618" t="s">
        <v>21</v>
      </c>
      <c r="D937" s="618" t="s">
        <v>14</v>
      </c>
      <c r="E937" s="653" t="s">
        <v>1893</v>
      </c>
      <c r="F937" s="653" t="s">
        <v>4939</v>
      </c>
      <c r="G937" s="620" t="s">
        <v>482</v>
      </c>
      <c r="H937" s="619" t="s">
        <v>271</v>
      </c>
      <c r="I937" s="619" t="s">
        <v>493</v>
      </c>
      <c r="J937" s="619">
        <v>1</v>
      </c>
      <c r="K937" s="618" t="s">
        <v>50</v>
      </c>
    </row>
    <row r="938" spans="1:11">
      <c r="A938" s="1240"/>
      <c r="B938" s="657">
        <v>46190</v>
      </c>
      <c r="C938" s="618" t="s">
        <v>21</v>
      </c>
      <c r="D938" s="618" t="s">
        <v>14</v>
      </c>
      <c r="E938" s="653" t="s">
        <v>1893</v>
      </c>
      <c r="F938" s="653" t="s">
        <v>4939</v>
      </c>
      <c r="G938" s="620" t="s">
        <v>482</v>
      </c>
      <c r="H938" s="619" t="s">
        <v>271</v>
      </c>
      <c r="I938" s="619" t="s">
        <v>493</v>
      </c>
      <c r="J938" s="619">
        <v>1</v>
      </c>
      <c r="K938" s="618" t="s">
        <v>50</v>
      </c>
    </row>
    <row r="939" spans="1:11">
      <c r="A939" s="1240"/>
      <c r="B939" s="657">
        <v>46191</v>
      </c>
      <c r="C939" s="618" t="s">
        <v>21</v>
      </c>
      <c r="D939" s="618" t="s">
        <v>14</v>
      </c>
      <c r="E939" s="653" t="s">
        <v>1893</v>
      </c>
      <c r="F939" s="653" t="s">
        <v>4939</v>
      </c>
      <c r="G939" s="620" t="s">
        <v>482</v>
      </c>
      <c r="H939" s="619" t="s">
        <v>271</v>
      </c>
      <c r="I939" s="619" t="s">
        <v>493</v>
      </c>
      <c r="J939" s="619">
        <v>1</v>
      </c>
      <c r="K939" s="618" t="s">
        <v>50</v>
      </c>
    </row>
    <row r="940" spans="1:11">
      <c r="A940" s="1240"/>
      <c r="B940" s="657">
        <v>46192</v>
      </c>
      <c r="C940" s="618" t="s">
        <v>21</v>
      </c>
      <c r="D940" s="618" t="s">
        <v>14</v>
      </c>
      <c r="E940" s="653" t="s">
        <v>1893</v>
      </c>
      <c r="F940" s="653" t="s">
        <v>4939</v>
      </c>
      <c r="G940" s="620" t="s">
        <v>482</v>
      </c>
      <c r="H940" s="619" t="s">
        <v>271</v>
      </c>
      <c r="I940" s="619" t="s">
        <v>493</v>
      </c>
      <c r="J940" s="619">
        <v>1</v>
      </c>
      <c r="K940" s="618" t="s">
        <v>50</v>
      </c>
    </row>
    <row r="941" spans="1:11">
      <c r="A941" s="1240"/>
      <c r="B941" s="657">
        <v>46195</v>
      </c>
      <c r="C941" s="618" t="s">
        <v>21</v>
      </c>
      <c r="D941" s="618" t="s">
        <v>14</v>
      </c>
      <c r="E941" s="653" t="s">
        <v>1893</v>
      </c>
      <c r="F941" s="653" t="s">
        <v>4939</v>
      </c>
      <c r="G941" s="620" t="s">
        <v>482</v>
      </c>
      <c r="H941" s="619" t="s">
        <v>271</v>
      </c>
      <c r="I941" s="619" t="s">
        <v>493</v>
      </c>
      <c r="J941" s="619">
        <v>1</v>
      </c>
      <c r="K941" s="618" t="s">
        <v>50</v>
      </c>
    </row>
    <row r="942" spans="1:11">
      <c r="A942" s="1240"/>
      <c r="B942" s="652">
        <v>46198</v>
      </c>
      <c r="C942" s="618" t="s">
        <v>21</v>
      </c>
      <c r="D942" s="618" t="s">
        <v>14</v>
      </c>
      <c r="E942" s="653" t="s">
        <v>1893</v>
      </c>
      <c r="F942" s="653" t="s">
        <v>4939</v>
      </c>
      <c r="G942" s="620" t="s">
        <v>482</v>
      </c>
      <c r="H942" s="619" t="s">
        <v>271</v>
      </c>
      <c r="I942" s="619" t="s">
        <v>493</v>
      </c>
      <c r="J942" s="619">
        <v>1</v>
      </c>
      <c r="K942" s="618" t="s">
        <v>50</v>
      </c>
    </row>
    <row r="943" spans="1:11">
      <c r="A943" s="1240"/>
      <c r="B943" s="652">
        <v>46199</v>
      </c>
      <c r="C943" s="618" t="s">
        <v>21</v>
      </c>
      <c r="D943" s="618" t="s">
        <v>14</v>
      </c>
      <c r="E943" s="653" t="s">
        <v>1893</v>
      </c>
      <c r="F943" s="653" t="s">
        <v>4939</v>
      </c>
      <c r="G943" s="620" t="s">
        <v>482</v>
      </c>
      <c r="H943" s="619" t="s">
        <v>271</v>
      </c>
      <c r="I943" s="619" t="s">
        <v>493</v>
      </c>
      <c r="J943" s="619">
        <v>1</v>
      </c>
      <c r="K943" s="618" t="s">
        <v>50</v>
      </c>
    </row>
    <row r="944" spans="1:11">
      <c r="A944" s="1163" t="s">
        <v>1646</v>
      </c>
      <c r="B944" s="1163"/>
      <c r="C944" s="1163"/>
      <c r="D944" s="1163"/>
      <c r="E944" s="1163"/>
      <c r="F944" s="1163"/>
      <c r="G944" s="1163"/>
      <c r="H944" s="1163"/>
      <c r="I944" s="1163"/>
      <c r="J944" s="618">
        <f>SUM(J933:J943)</f>
        <v>11</v>
      </c>
      <c r="K944" s="654"/>
    </row>
    <row r="947" spans="1:11" ht="22.5">
      <c r="A947" s="612" t="s">
        <v>43</v>
      </c>
      <c r="B947" s="612" t="s">
        <v>1620</v>
      </c>
      <c r="C947" s="613" t="s">
        <v>2</v>
      </c>
      <c r="D947" s="613" t="s">
        <v>3</v>
      </c>
      <c r="E947" s="613" t="s">
        <v>4</v>
      </c>
      <c r="F947" s="613" t="s">
        <v>5</v>
      </c>
      <c r="G947" s="613" t="s">
        <v>6</v>
      </c>
      <c r="H947" s="614" t="s">
        <v>45</v>
      </c>
      <c r="I947" s="613" t="s">
        <v>8</v>
      </c>
      <c r="J947" s="615" t="s">
        <v>46</v>
      </c>
      <c r="K947" s="616" t="s">
        <v>47</v>
      </c>
    </row>
    <row r="948" spans="1:11">
      <c r="A948" s="1241" t="s">
        <v>6793</v>
      </c>
      <c r="B948" s="640" t="s">
        <v>6791</v>
      </c>
      <c r="C948" s="721" t="s">
        <v>19</v>
      </c>
      <c r="D948" s="632" t="s">
        <v>25</v>
      </c>
      <c r="E948" s="633" t="s">
        <v>5254</v>
      </c>
      <c r="F948" s="633" t="s">
        <v>5754</v>
      </c>
      <c r="G948" s="636" t="s">
        <v>18</v>
      </c>
      <c r="H948" s="634" t="s">
        <v>6319</v>
      </c>
      <c r="I948" s="633" t="s">
        <v>168</v>
      </c>
      <c r="J948" s="634">
        <v>2</v>
      </c>
      <c r="K948" s="618" t="s">
        <v>50</v>
      </c>
    </row>
    <row r="949" spans="1:11">
      <c r="A949" s="1242"/>
      <c r="B949" s="640" t="s">
        <v>6443</v>
      </c>
      <c r="C949" s="721" t="s">
        <v>219</v>
      </c>
      <c r="D949" s="632" t="s">
        <v>151</v>
      </c>
      <c r="E949" s="633" t="s">
        <v>5254</v>
      </c>
      <c r="F949" s="633" t="s">
        <v>6250</v>
      </c>
      <c r="G949" s="636" t="s">
        <v>34</v>
      </c>
      <c r="H949" s="634" t="s">
        <v>6456</v>
      </c>
      <c r="I949" s="633" t="s">
        <v>3661</v>
      </c>
      <c r="J949" s="634">
        <v>2</v>
      </c>
      <c r="K949" s="618" t="s">
        <v>50</v>
      </c>
    </row>
    <row r="950" spans="1:11">
      <c r="A950" s="1242"/>
      <c r="B950" s="640" t="s">
        <v>6452</v>
      </c>
      <c r="C950" s="721" t="s">
        <v>219</v>
      </c>
      <c r="D950" s="632" t="s">
        <v>151</v>
      </c>
      <c r="E950" s="633" t="s">
        <v>5254</v>
      </c>
      <c r="F950" s="633">
        <v>7065</v>
      </c>
      <c r="G950" s="636" t="s">
        <v>589</v>
      </c>
      <c r="H950" s="634" t="s">
        <v>3425</v>
      </c>
      <c r="I950" s="633" t="s">
        <v>737</v>
      </c>
      <c r="J950" s="634">
        <v>3</v>
      </c>
      <c r="K950" s="618" t="s">
        <v>50</v>
      </c>
    </row>
    <row r="951" spans="1:11">
      <c r="A951" s="1243"/>
      <c r="B951" s="640" t="s">
        <v>6555</v>
      </c>
      <c r="C951" s="721" t="s">
        <v>219</v>
      </c>
      <c r="D951" s="632" t="s">
        <v>1638</v>
      </c>
      <c r="E951" s="633" t="s">
        <v>5254</v>
      </c>
      <c r="F951" s="674" t="s">
        <v>6250</v>
      </c>
      <c r="G951" s="674" t="s">
        <v>6323</v>
      </c>
      <c r="H951" s="634" t="s">
        <v>378</v>
      </c>
      <c r="I951" s="633" t="s">
        <v>737</v>
      </c>
      <c r="J951" s="634">
        <v>2</v>
      </c>
      <c r="K951" s="618" t="s">
        <v>50</v>
      </c>
    </row>
    <row r="952" spans="1:11">
      <c r="A952" s="1163" t="s">
        <v>1646</v>
      </c>
      <c r="B952" s="1163"/>
      <c r="C952" s="1163"/>
      <c r="D952" s="1163"/>
      <c r="E952" s="1163"/>
      <c r="F952" s="1163"/>
      <c r="G952" s="1163"/>
      <c r="H952" s="1163"/>
      <c r="I952" s="1163"/>
      <c r="J952" s="618">
        <f>SUM(J948:J951)</f>
        <v>9</v>
      </c>
      <c r="K952" s="654"/>
    </row>
    <row r="954" spans="1:11" ht="22.5">
      <c r="A954" s="612" t="s">
        <v>43</v>
      </c>
      <c r="B954" s="612" t="s">
        <v>1620</v>
      </c>
      <c r="C954" s="613" t="s">
        <v>2</v>
      </c>
      <c r="D954" s="613" t="s">
        <v>3</v>
      </c>
      <c r="E954" s="613" t="s">
        <v>4</v>
      </c>
      <c r="F954" s="613" t="s">
        <v>5</v>
      </c>
      <c r="G954" s="613" t="s">
        <v>6</v>
      </c>
      <c r="H954" s="614" t="s">
        <v>45</v>
      </c>
      <c r="I954" s="613" t="s">
        <v>8</v>
      </c>
      <c r="J954" s="615" t="s">
        <v>46</v>
      </c>
      <c r="K954" s="616" t="s">
        <v>47</v>
      </c>
    </row>
    <row r="955" spans="1:11" ht="30" customHeight="1">
      <c r="A955" s="779" t="s">
        <v>6795</v>
      </c>
      <c r="B955" s="640">
        <v>46207</v>
      </c>
      <c r="C955" s="721" t="s">
        <v>219</v>
      </c>
      <c r="D955" s="632" t="s">
        <v>151</v>
      </c>
      <c r="E955" s="633" t="s">
        <v>5254</v>
      </c>
      <c r="F955" s="633" t="s">
        <v>5847</v>
      </c>
      <c r="G955" s="636" t="s">
        <v>6428</v>
      </c>
      <c r="H955" s="634" t="s">
        <v>1105</v>
      </c>
      <c r="I955" s="633" t="s">
        <v>2381</v>
      </c>
      <c r="J955" s="634">
        <v>1</v>
      </c>
      <c r="K955" s="618" t="s">
        <v>50</v>
      </c>
    </row>
    <row r="956" spans="1:11">
      <c r="A956" s="1163" t="s">
        <v>1646</v>
      </c>
      <c r="B956" s="1163"/>
      <c r="C956" s="1163"/>
      <c r="D956" s="1163"/>
      <c r="E956" s="1163"/>
      <c r="F956" s="1163"/>
      <c r="G956" s="1163"/>
      <c r="H956" s="1163"/>
      <c r="I956" s="1163"/>
      <c r="J956" s="618">
        <f>SUM(J955)</f>
        <v>1</v>
      </c>
      <c r="K956" s="654"/>
    </row>
    <row r="959" spans="1:11" ht="22.5">
      <c r="A959" s="612" t="s">
        <v>43</v>
      </c>
      <c r="B959" s="612" t="s">
        <v>1620</v>
      </c>
      <c r="C959" s="613" t="s">
        <v>2</v>
      </c>
      <c r="D959" s="613" t="s">
        <v>3</v>
      </c>
      <c r="E959" s="613" t="s">
        <v>4</v>
      </c>
      <c r="F959" s="613" t="s">
        <v>5</v>
      </c>
      <c r="G959" s="613" t="s">
        <v>6</v>
      </c>
      <c r="H959" s="614" t="s">
        <v>45</v>
      </c>
      <c r="I959" s="613" t="s">
        <v>8</v>
      </c>
      <c r="J959" s="615" t="s">
        <v>46</v>
      </c>
      <c r="K959" s="616" t="s">
        <v>47</v>
      </c>
    </row>
    <row r="960" spans="1:11">
      <c r="A960" s="953" t="s">
        <v>739</v>
      </c>
      <c r="B960" s="399">
        <v>46219</v>
      </c>
      <c r="C960" s="4" t="s">
        <v>21</v>
      </c>
      <c r="D960" s="4" t="s">
        <v>14</v>
      </c>
      <c r="E960" s="31" t="s">
        <v>1893</v>
      </c>
      <c r="F960" s="31" t="s">
        <v>4939</v>
      </c>
      <c r="G960" s="16" t="s">
        <v>34</v>
      </c>
      <c r="H960" s="193" t="s">
        <v>1279</v>
      </c>
      <c r="I960" s="31" t="s">
        <v>202</v>
      </c>
      <c r="J960" s="331">
        <v>2</v>
      </c>
      <c r="K960" s="618" t="s">
        <v>50</v>
      </c>
    </row>
    <row r="961" spans="1:11">
      <c r="A961" s="953"/>
      <c r="B961" s="399">
        <v>46224</v>
      </c>
      <c r="C961" s="4" t="s">
        <v>21</v>
      </c>
      <c r="D961" s="4" t="s">
        <v>14</v>
      </c>
      <c r="E961" s="31" t="s">
        <v>1893</v>
      </c>
      <c r="F961" s="31" t="s">
        <v>4939</v>
      </c>
      <c r="G961" s="16" t="s">
        <v>34</v>
      </c>
      <c r="H961" s="193" t="s">
        <v>1279</v>
      </c>
      <c r="I961" s="31" t="s">
        <v>202</v>
      </c>
      <c r="J961" s="31">
        <v>2</v>
      </c>
      <c r="K961" s="618" t="s">
        <v>50</v>
      </c>
    </row>
    <row r="962" spans="1:11">
      <c r="A962" s="953"/>
      <c r="B962" s="198">
        <v>46231</v>
      </c>
      <c r="C962" s="3" t="s">
        <v>21</v>
      </c>
      <c r="D962" s="3" t="s">
        <v>14</v>
      </c>
      <c r="E962" s="454" t="s">
        <v>1893</v>
      </c>
      <c r="F962" s="454" t="s">
        <v>4939</v>
      </c>
      <c r="G962" s="459" t="s">
        <v>482</v>
      </c>
      <c r="H962" s="453" t="s">
        <v>6670</v>
      </c>
      <c r="I962" s="31" t="s">
        <v>202</v>
      </c>
      <c r="J962" s="454">
        <v>1</v>
      </c>
      <c r="K962" s="618" t="s">
        <v>50</v>
      </c>
    </row>
    <row r="963" spans="1:11" ht="27">
      <c r="A963" s="953"/>
      <c r="B963" s="198">
        <v>46233</v>
      </c>
      <c r="C963" s="3" t="s">
        <v>21</v>
      </c>
      <c r="D963" s="3" t="s">
        <v>14</v>
      </c>
      <c r="E963" s="454" t="s">
        <v>1893</v>
      </c>
      <c r="F963" s="454" t="s">
        <v>4939</v>
      </c>
      <c r="G963" s="459" t="s">
        <v>482</v>
      </c>
      <c r="H963" s="453" t="s">
        <v>6699</v>
      </c>
      <c r="I963" s="31" t="s">
        <v>202</v>
      </c>
      <c r="J963" s="454">
        <v>1</v>
      </c>
      <c r="K963" s="618" t="s">
        <v>50</v>
      </c>
    </row>
    <row r="964" spans="1:11">
      <c r="A964" s="1163" t="s">
        <v>1646</v>
      </c>
      <c r="B964" s="1163"/>
      <c r="C964" s="1163"/>
      <c r="D964" s="1163"/>
      <c r="E964" s="1163"/>
      <c r="F964" s="1163"/>
      <c r="G964" s="1163"/>
      <c r="H964" s="1163"/>
      <c r="I964" s="1163"/>
      <c r="J964" s="618">
        <f>SUM(J960:J963)</f>
        <v>6</v>
      </c>
      <c r="K964" s="654"/>
    </row>
    <row r="966" spans="1:11" ht="22.5">
      <c r="A966" s="612" t="s">
        <v>43</v>
      </c>
      <c r="B966" s="612" t="s">
        <v>1620</v>
      </c>
      <c r="C966" s="613" t="s">
        <v>2</v>
      </c>
      <c r="D966" s="613" t="s">
        <v>3</v>
      </c>
      <c r="E966" s="613" t="s">
        <v>4</v>
      </c>
      <c r="F966" s="613" t="s">
        <v>5</v>
      </c>
      <c r="G966" s="613" t="s">
        <v>6</v>
      </c>
      <c r="H966" s="614" t="s">
        <v>45</v>
      </c>
      <c r="I966" s="613" t="s">
        <v>8</v>
      </c>
      <c r="J966" s="615" t="s">
        <v>46</v>
      </c>
      <c r="K966" s="616" t="s">
        <v>47</v>
      </c>
    </row>
    <row r="967" spans="1:11">
      <c r="A967" s="1177" t="s">
        <v>6795</v>
      </c>
      <c r="B967" s="640">
        <v>46203</v>
      </c>
      <c r="C967" s="632" t="s">
        <v>21</v>
      </c>
      <c r="D967" s="632" t="s">
        <v>17</v>
      </c>
      <c r="E967" s="633" t="s">
        <v>107</v>
      </c>
      <c r="F967" s="633" t="s">
        <v>2959</v>
      </c>
      <c r="G967" s="636" t="s">
        <v>109</v>
      </c>
      <c r="H967" s="634" t="s">
        <v>6222</v>
      </c>
      <c r="I967" s="750"/>
      <c r="J967" s="632">
        <v>2</v>
      </c>
      <c r="K967" s="618" t="s">
        <v>50</v>
      </c>
    </row>
    <row r="968" spans="1:11">
      <c r="A968" s="1178"/>
      <c r="B968" s="640">
        <v>46204</v>
      </c>
      <c r="C968" s="632" t="s">
        <v>21</v>
      </c>
      <c r="D968" s="632" t="s">
        <v>17</v>
      </c>
      <c r="E968" s="633" t="s">
        <v>107</v>
      </c>
      <c r="F968" s="633" t="s">
        <v>2959</v>
      </c>
      <c r="G968" s="636" t="s">
        <v>109</v>
      </c>
      <c r="H968" s="634" t="s">
        <v>4005</v>
      </c>
      <c r="I968" s="750"/>
      <c r="J968" s="632">
        <v>2</v>
      </c>
      <c r="K968" s="618" t="s">
        <v>50</v>
      </c>
    </row>
    <row r="969" spans="1:11">
      <c r="A969" s="1178"/>
      <c r="B969" s="640">
        <v>46211</v>
      </c>
      <c r="C969" s="632" t="s">
        <v>21</v>
      </c>
      <c r="D969" s="632" t="s">
        <v>14</v>
      </c>
      <c r="E969" s="633" t="s">
        <v>107</v>
      </c>
      <c r="F969" s="633" t="s">
        <v>2959</v>
      </c>
      <c r="G969" s="636" t="s">
        <v>1172</v>
      </c>
      <c r="H969" s="634" t="s">
        <v>6219</v>
      </c>
      <c r="I969" s="750" t="s">
        <v>6312</v>
      </c>
      <c r="J969" s="632">
        <v>1</v>
      </c>
      <c r="K969" s="618" t="s">
        <v>50</v>
      </c>
    </row>
    <row r="970" spans="1:11">
      <c r="A970" s="1178"/>
      <c r="B970" s="640">
        <v>46211</v>
      </c>
      <c r="C970" s="632" t="s">
        <v>21</v>
      </c>
      <c r="D970" s="632" t="s">
        <v>14</v>
      </c>
      <c r="E970" s="633" t="s">
        <v>107</v>
      </c>
      <c r="F970" s="633" t="s">
        <v>2959</v>
      </c>
      <c r="G970" s="636" t="s">
        <v>2210</v>
      </c>
      <c r="H970" s="634" t="s">
        <v>6422</v>
      </c>
      <c r="I970" s="750"/>
      <c r="J970" s="632">
        <v>2</v>
      </c>
      <c r="K970" s="618" t="s">
        <v>50</v>
      </c>
    </row>
    <row r="971" spans="1:11">
      <c r="A971" s="1178"/>
      <c r="B971" s="640">
        <v>46212</v>
      </c>
      <c r="C971" s="632" t="s">
        <v>21</v>
      </c>
      <c r="D971" s="632" t="s">
        <v>14</v>
      </c>
      <c r="E971" s="633" t="s">
        <v>107</v>
      </c>
      <c r="F971" s="633" t="s">
        <v>2959</v>
      </c>
      <c r="G971" s="636" t="s">
        <v>1172</v>
      </c>
      <c r="H971" s="634" t="s">
        <v>6219</v>
      </c>
      <c r="I971" s="750" t="s">
        <v>6312</v>
      </c>
      <c r="J971" s="632">
        <v>1</v>
      </c>
      <c r="K971" s="618" t="s">
        <v>50</v>
      </c>
    </row>
    <row r="972" spans="1:11" ht="36">
      <c r="A972" s="1178"/>
      <c r="B972" s="640">
        <v>46217</v>
      </c>
      <c r="C972" s="632" t="s">
        <v>21</v>
      </c>
      <c r="D972" s="632" t="s">
        <v>14</v>
      </c>
      <c r="E972" s="633" t="s">
        <v>1787</v>
      </c>
      <c r="F972" s="633" t="s">
        <v>2978</v>
      </c>
      <c r="G972" s="636" t="s">
        <v>23</v>
      </c>
      <c r="H972" s="649" t="s">
        <v>6486</v>
      </c>
      <c r="I972" s="648" t="s">
        <v>90</v>
      </c>
      <c r="J972" s="648">
        <v>1</v>
      </c>
      <c r="K972" s="618" t="s">
        <v>50</v>
      </c>
    </row>
    <row r="973" spans="1:11" ht="24">
      <c r="A973" s="1178"/>
      <c r="B973" s="640">
        <v>46224</v>
      </c>
      <c r="C973" s="646" t="s">
        <v>21</v>
      </c>
      <c r="D973" s="646" t="s">
        <v>14</v>
      </c>
      <c r="E973" s="649" t="s">
        <v>6475</v>
      </c>
      <c r="F973" s="648" t="s">
        <v>5796</v>
      </c>
      <c r="G973" s="651" t="s">
        <v>4091</v>
      </c>
      <c r="H973" s="649" t="s">
        <v>6605</v>
      </c>
      <c r="I973" s="649" t="s">
        <v>5552</v>
      </c>
      <c r="J973" s="648">
        <v>1</v>
      </c>
      <c r="K973" s="618" t="s">
        <v>50</v>
      </c>
    </row>
    <row r="974" spans="1:11">
      <c r="A974" s="1178"/>
      <c r="B974" s="640">
        <v>46226</v>
      </c>
      <c r="C974" s="646" t="s">
        <v>21</v>
      </c>
      <c r="D974" s="646" t="s">
        <v>14</v>
      </c>
      <c r="E974" s="648" t="s">
        <v>1787</v>
      </c>
      <c r="F974" s="648" t="s">
        <v>2978</v>
      </c>
      <c r="G974" s="651" t="s">
        <v>23</v>
      </c>
      <c r="H974" s="649" t="s">
        <v>146</v>
      </c>
      <c r="I974" s="648" t="s">
        <v>90</v>
      </c>
      <c r="J974" s="648">
        <v>1</v>
      </c>
      <c r="K974" s="618" t="s">
        <v>50</v>
      </c>
    </row>
    <row r="975" spans="1:11">
      <c r="A975" s="1179"/>
      <c r="B975" s="640">
        <v>46227</v>
      </c>
      <c r="C975" s="646" t="s">
        <v>21</v>
      </c>
      <c r="D975" s="646" t="s">
        <v>14</v>
      </c>
      <c r="E975" s="648" t="s">
        <v>1787</v>
      </c>
      <c r="F975" s="648" t="s">
        <v>2978</v>
      </c>
      <c r="G975" s="651" t="s">
        <v>23</v>
      </c>
      <c r="H975" s="649" t="s">
        <v>6571</v>
      </c>
      <c r="I975" s="648" t="s">
        <v>90</v>
      </c>
      <c r="J975" s="648">
        <v>1</v>
      </c>
      <c r="K975" s="618" t="s">
        <v>50</v>
      </c>
    </row>
    <row r="976" spans="1:11">
      <c r="A976" s="1163" t="s">
        <v>1646</v>
      </c>
      <c r="B976" s="1163"/>
      <c r="C976" s="1163"/>
      <c r="D976" s="1163"/>
      <c r="E976" s="1163"/>
      <c r="F976" s="1163"/>
      <c r="G976" s="1163"/>
      <c r="H976" s="1163"/>
      <c r="I976" s="1163"/>
      <c r="J976" s="618">
        <f>SUM(J967:J975)</f>
        <v>12</v>
      </c>
      <c r="K976" s="654"/>
    </row>
    <row r="978" spans="1:11" ht="22.5">
      <c r="A978" s="612" t="s">
        <v>43</v>
      </c>
      <c r="B978" s="612" t="s">
        <v>1620</v>
      </c>
      <c r="C978" s="613" t="s">
        <v>2</v>
      </c>
      <c r="D978" s="613" t="s">
        <v>3</v>
      </c>
      <c r="E978" s="613" t="s">
        <v>4</v>
      </c>
      <c r="F978" s="613" t="s">
        <v>5</v>
      </c>
      <c r="G978" s="613" t="s">
        <v>6</v>
      </c>
      <c r="H978" s="614" t="s">
        <v>45</v>
      </c>
      <c r="I978" s="613" t="s">
        <v>8</v>
      </c>
      <c r="J978" s="615" t="s">
        <v>46</v>
      </c>
      <c r="K978" s="616" t="s">
        <v>47</v>
      </c>
    </row>
    <row r="979" spans="1:11">
      <c r="A979" s="978" t="s">
        <v>6796</v>
      </c>
      <c r="B979" s="369">
        <v>46212</v>
      </c>
      <c r="C979" s="3" t="s">
        <v>21</v>
      </c>
      <c r="D979" s="3" t="s">
        <v>14</v>
      </c>
      <c r="E979" s="454" t="s">
        <v>1787</v>
      </c>
      <c r="F979" s="454" t="s">
        <v>2978</v>
      </c>
      <c r="G979" s="459" t="s">
        <v>6284</v>
      </c>
      <c r="H979" s="453" t="s">
        <v>4617</v>
      </c>
      <c r="I979" s="454"/>
      <c r="J979" s="453">
        <v>1</v>
      </c>
      <c r="K979" s="618" t="s">
        <v>50</v>
      </c>
    </row>
    <row r="980" spans="1:11" ht="27">
      <c r="A980" s="979"/>
      <c r="B980" s="369">
        <v>46224</v>
      </c>
      <c r="C980" s="4" t="s">
        <v>138</v>
      </c>
      <c r="D980" s="4" t="s">
        <v>17</v>
      </c>
      <c r="E980" s="193" t="s">
        <v>6095</v>
      </c>
      <c r="F980" s="31" t="s">
        <v>2713</v>
      </c>
      <c r="G980" s="16" t="s">
        <v>23</v>
      </c>
      <c r="H980" s="193" t="s">
        <v>6473</v>
      </c>
      <c r="I980" s="31" t="s">
        <v>168</v>
      </c>
      <c r="J980" s="193">
        <v>1</v>
      </c>
      <c r="K980" s="618" t="s">
        <v>50</v>
      </c>
    </row>
    <row r="981" spans="1:11" ht="27">
      <c r="A981" s="980"/>
      <c r="B981" s="369">
        <v>46225</v>
      </c>
      <c r="C981" s="4" t="s">
        <v>138</v>
      </c>
      <c r="D981" s="4" t="s">
        <v>17</v>
      </c>
      <c r="E981" s="193" t="s">
        <v>6095</v>
      </c>
      <c r="F981" s="31" t="s">
        <v>2713</v>
      </c>
      <c r="G981" s="16" t="s">
        <v>23</v>
      </c>
      <c r="H981" s="193" t="s">
        <v>6473</v>
      </c>
      <c r="I981" s="454" t="s">
        <v>168</v>
      </c>
      <c r="J981" s="453">
        <v>1</v>
      </c>
      <c r="K981" s="618" t="s">
        <v>50</v>
      </c>
    </row>
    <row r="982" spans="1:11">
      <c r="A982" s="1163" t="s">
        <v>1646</v>
      </c>
      <c r="B982" s="1163"/>
      <c r="C982" s="1163"/>
      <c r="D982" s="1163"/>
      <c r="E982" s="1163"/>
      <c r="F982" s="1163"/>
      <c r="G982" s="1163"/>
      <c r="H982" s="1163"/>
      <c r="I982" s="1163"/>
      <c r="J982" s="618">
        <f>SUM(J979:J981)</f>
        <v>3</v>
      </c>
      <c r="K982" s="654"/>
    </row>
    <row r="986" spans="1:11" ht="22.5">
      <c r="A986" s="612" t="s">
        <v>43</v>
      </c>
      <c r="B986" s="612" t="s">
        <v>1620</v>
      </c>
      <c r="C986" s="613" t="s">
        <v>2</v>
      </c>
      <c r="D986" s="613" t="s">
        <v>3</v>
      </c>
      <c r="E986" s="613" t="s">
        <v>4</v>
      </c>
      <c r="F986" s="613" t="s">
        <v>5</v>
      </c>
      <c r="G986" s="613" t="s">
        <v>6</v>
      </c>
      <c r="H986" s="614" t="s">
        <v>45</v>
      </c>
      <c r="I986" s="613" t="s">
        <v>8</v>
      </c>
      <c r="J986" s="615" t="s">
        <v>46</v>
      </c>
      <c r="K986" s="616" t="s">
        <v>47</v>
      </c>
    </row>
    <row r="987" spans="1:11">
      <c r="A987" s="953" t="s">
        <v>6798</v>
      </c>
      <c r="B987" s="369">
        <v>46219</v>
      </c>
      <c r="C987" s="4" t="s">
        <v>21</v>
      </c>
      <c r="D987" s="4" t="s">
        <v>14</v>
      </c>
      <c r="E987" s="31" t="s">
        <v>1893</v>
      </c>
      <c r="F987" s="31" t="s">
        <v>4939</v>
      </c>
      <c r="G987" s="16" t="s">
        <v>34</v>
      </c>
      <c r="H987" s="193" t="s">
        <v>1279</v>
      </c>
      <c r="I987" s="31" t="s">
        <v>202</v>
      </c>
      <c r="J987" s="31">
        <v>1</v>
      </c>
      <c r="K987" s="618" t="s">
        <v>50</v>
      </c>
    </row>
    <row r="988" spans="1:11">
      <c r="A988" s="953"/>
      <c r="B988" s="369">
        <v>46223</v>
      </c>
      <c r="C988" s="4" t="s">
        <v>21</v>
      </c>
      <c r="D988" s="4" t="s">
        <v>14</v>
      </c>
      <c r="E988" s="31" t="s">
        <v>1893</v>
      </c>
      <c r="F988" s="31" t="s">
        <v>4939</v>
      </c>
      <c r="G988" s="16" t="s">
        <v>6797</v>
      </c>
      <c r="H988" s="193" t="s">
        <v>1279</v>
      </c>
      <c r="I988" s="31" t="s">
        <v>202</v>
      </c>
      <c r="J988" s="31">
        <v>1</v>
      </c>
      <c r="K988" s="618" t="s">
        <v>50</v>
      </c>
    </row>
    <row r="989" spans="1:11">
      <c r="A989" s="1163" t="s">
        <v>1646</v>
      </c>
      <c r="B989" s="1163"/>
      <c r="C989" s="1163"/>
      <c r="D989" s="1163"/>
      <c r="E989" s="1163"/>
      <c r="F989" s="1163"/>
      <c r="G989" s="1163"/>
      <c r="H989" s="1163"/>
      <c r="I989" s="1163"/>
      <c r="J989" s="618">
        <f>SUM(J986:J988)</f>
        <v>2</v>
      </c>
      <c r="K989" s="654"/>
    </row>
    <row r="993" spans="1:11" ht="22.5">
      <c r="A993" s="612" t="s">
        <v>43</v>
      </c>
      <c r="B993" s="612" t="s">
        <v>1620</v>
      </c>
      <c r="C993" s="613" t="s">
        <v>2</v>
      </c>
      <c r="D993" s="613" t="s">
        <v>3</v>
      </c>
      <c r="E993" s="613" t="s">
        <v>4</v>
      </c>
      <c r="F993" s="613" t="s">
        <v>5</v>
      </c>
      <c r="G993" s="613" t="s">
        <v>6</v>
      </c>
      <c r="H993" s="614" t="s">
        <v>45</v>
      </c>
      <c r="I993" s="613" t="s">
        <v>8</v>
      </c>
      <c r="J993" s="615" t="s">
        <v>46</v>
      </c>
      <c r="K993" s="616" t="s">
        <v>47</v>
      </c>
    </row>
    <row r="994" spans="1:11" ht="16.5" customHeight="1">
      <c r="A994" s="1094" t="s">
        <v>6800</v>
      </c>
      <c r="B994" s="728">
        <v>46198</v>
      </c>
      <c r="C994" s="632" t="s">
        <v>21</v>
      </c>
      <c r="D994" s="632" t="s">
        <v>14</v>
      </c>
      <c r="E994" s="633" t="s">
        <v>427</v>
      </c>
      <c r="F994" s="633" t="s">
        <v>6135</v>
      </c>
      <c r="G994" s="636" t="s">
        <v>1172</v>
      </c>
      <c r="H994" s="634" t="s">
        <v>271</v>
      </c>
      <c r="I994" s="633" t="s">
        <v>812</v>
      </c>
      <c r="J994" s="750">
        <v>2</v>
      </c>
      <c r="K994" s="618" t="s">
        <v>50</v>
      </c>
    </row>
    <row r="995" spans="1:11">
      <c r="A995" s="1095"/>
      <c r="B995" s="728">
        <v>46199</v>
      </c>
      <c r="C995" s="632" t="s">
        <v>21</v>
      </c>
      <c r="D995" s="632" t="s">
        <v>14</v>
      </c>
      <c r="E995" s="633" t="s">
        <v>427</v>
      </c>
      <c r="F995" s="633" t="s">
        <v>6135</v>
      </c>
      <c r="G995" s="636" t="s">
        <v>1172</v>
      </c>
      <c r="H995" s="634" t="s">
        <v>271</v>
      </c>
      <c r="I995" s="633" t="s">
        <v>812</v>
      </c>
      <c r="J995" s="750">
        <v>2</v>
      </c>
      <c r="K995" s="618" t="s">
        <v>50</v>
      </c>
    </row>
    <row r="996" spans="1:11">
      <c r="A996" s="1095"/>
      <c r="B996" s="369">
        <v>46205</v>
      </c>
      <c r="C996" s="3" t="s">
        <v>21</v>
      </c>
      <c r="D996" s="3" t="s">
        <v>17</v>
      </c>
      <c r="E996" s="454" t="s">
        <v>107</v>
      </c>
      <c r="F996" s="454" t="s">
        <v>2959</v>
      </c>
      <c r="G996" s="459" t="s">
        <v>1172</v>
      </c>
      <c r="H996" s="453" t="s">
        <v>6294</v>
      </c>
      <c r="I996" s="68" t="s">
        <v>4168</v>
      </c>
      <c r="J996" s="136">
        <v>1</v>
      </c>
      <c r="K996" s="618" t="s">
        <v>50</v>
      </c>
    </row>
    <row r="997" spans="1:11">
      <c r="A997" s="1095"/>
      <c r="B997" s="369">
        <v>46206</v>
      </c>
      <c r="C997" s="3" t="s">
        <v>21</v>
      </c>
      <c r="D997" s="3" t="s">
        <v>17</v>
      </c>
      <c r="E997" s="454" t="s">
        <v>107</v>
      </c>
      <c r="F997" s="454" t="s">
        <v>2959</v>
      </c>
      <c r="G997" s="459" t="s">
        <v>1172</v>
      </c>
      <c r="H997" s="453" t="s">
        <v>6295</v>
      </c>
      <c r="I997" s="68" t="s">
        <v>4168</v>
      </c>
      <c r="J997" s="136">
        <v>1</v>
      </c>
      <c r="K997" s="618" t="s">
        <v>50</v>
      </c>
    </row>
    <row r="998" spans="1:11">
      <c r="A998" s="1095"/>
      <c r="B998" s="640">
        <v>46207</v>
      </c>
      <c r="C998" s="632" t="s">
        <v>1301</v>
      </c>
      <c r="D998" s="632" t="s">
        <v>14</v>
      </c>
      <c r="E998" s="633" t="s">
        <v>427</v>
      </c>
      <c r="F998" s="633" t="s">
        <v>3386</v>
      </c>
      <c r="G998" s="636" t="s">
        <v>943</v>
      </c>
      <c r="H998" s="649" t="s">
        <v>6392</v>
      </c>
      <c r="I998" s="649" t="s">
        <v>202</v>
      </c>
      <c r="J998" s="780">
        <v>1</v>
      </c>
      <c r="K998" s="618" t="s">
        <v>50</v>
      </c>
    </row>
    <row r="999" spans="1:11" ht="24">
      <c r="A999" s="1095"/>
      <c r="B999" s="640">
        <v>46212</v>
      </c>
      <c r="C999" s="632" t="s">
        <v>21</v>
      </c>
      <c r="D999" s="632" t="s">
        <v>17</v>
      </c>
      <c r="E999" s="633" t="s">
        <v>78</v>
      </c>
      <c r="F999" s="633">
        <v>7060</v>
      </c>
      <c r="G999" s="636" t="s">
        <v>36</v>
      </c>
      <c r="H999" s="649" t="s">
        <v>6439</v>
      </c>
      <c r="I999" s="633" t="s">
        <v>90</v>
      </c>
      <c r="J999" s="632">
        <v>1</v>
      </c>
      <c r="K999" s="618" t="s">
        <v>50</v>
      </c>
    </row>
    <row r="1000" spans="1:11">
      <c r="A1000" s="1095"/>
      <c r="B1000" s="640">
        <v>46214</v>
      </c>
      <c r="C1000" s="3" t="s">
        <v>21</v>
      </c>
      <c r="D1000" s="3" t="s">
        <v>14</v>
      </c>
      <c r="E1000" s="454" t="s">
        <v>107</v>
      </c>
      <c r="F1000" s="454" t="s">
        <v>3386</v>
      </c>
      <c r="G1000" s="459" t="s">
        <v>23</v>
      </c>
      <c r="H1000" s="193" t="s">
        <v>6511</v>
      </c>
      <c r="I1000" s="454" t="s">
        <v>3661</v>
      </c>
      <c r="J1000" s="136">
        <v>1</v>
      </c>
      <c r="K1000" s="618" t="s">
        <v>50</v>
      </c>
    </row>
    <row r="1001" spans="1:11">
      <c r="A1001" s="1095"/>
      <c r="B1001" s="369">
        <v>46218</v>
      </c>
      <c r="C1001" s="4" t="s">
        <v>64</v>
      </c>
      <c r="D1001" s="4" t="s">
        <v>14</v>
      </c>
      <c r="E1001" s="31" t="s">
        <v>107</v>
      </c>
      <c r="F1001" s="31" t="s">
        <v>2959</v>
      </c>
      <c r="G1001" s="16" t="s">
        <v>143</v>
      </c>
      <c r="H1001" s="193" t="s">
        <v>6529</v>
      </c>
      <c r="I1001" s="31" t="s">
        <v>6312</v>
      </c>
      <c r="J1001" s="6">
        <v>1</v>
      </c>
      <c r="K1001" s="618" t="s">
        <v>50</v>
      </c>
    </row>
    <row r="1002" spans="1:11" ht="22.5">
      <c r="A1002" s="1096"/>
      <c r="B1002" s="399">
        <v>46226</v>
      </c>
      <c r="C1002" s="4" t="s">
        <v>21</v>
      </c>
      <c r="D1002" s="4" t="s">
        <v>14</v>
      </c>
      <c r="E1002" s="31" t="s">
        <v>1787</v>
      </c>
      <c r="F1002" s="31" t="s">
        <v>2978</v>
      </c>
      <c r="G1002" s="16" t="s">
        <v>23</v>
      </c>
      <c r="H1002" s="193" t="s">
        <v>146</v>
      </c>
      <c r="I1002" s="31" t="s">
        <v>90</v>
      </c>
      <c r="J1002" s="6">
        <v>1</v>
      </c>
      <c r="K1002" s="618" t="s">
        <v>6799</v>
      </c>
    </row>
    <row r="1003" spans="1:11">
      <c r="A1003" s="1163" t="s">
        <v>1646</v>
      </c>
      <c r="B1003" s="1163"/>
      <c r="C1003" s="1163"/>
      <c r="D1003" s="1163"/>
      <c r="E1003" s="1163"/>
      <c r="F1003" s="1163"/>
      <c r="G1003" s="1163"/>
      <c r="H1003" s="1163"/>
      <c r="I1003" s="1163"/>
      <c r="J1003" s="618">
        <f>SUM(J994:J1002)</f>
        <v>11</v>
      </c>
      <c r="K1003" s="654"/>
    </row>
    <row r="1006" spans="1:11" ht="22.5">
      <c r="A1006" s="612" t="s">
        <v>43</v>
      </c>
      <c r="B1006" s="612" t="s">
        <v>1620</v>
      </c>
      <c r="C1006" s="613" t="s">
        <v>2</v>
      </c>
      <c r="D1006" s="613" t="s">
        <v>3</v>
      </c>
      <c r="E1006" s="613" t="s">
        <v>4</v>
      </c>
      <c r="F1006" s="613" t="s">
        <v>5</v>
      </c>
      <c r="G1006" s="613" t="s">
        <v>6</v>
      </c>
      <c r="H1006" s="614" t="s">
        <v>45</v>
      </c>
      <c r="I1006" s="613" t="s">
        <v>8</v>
      </c>
      <c r="J1006" s="615" t="s">
        <v>46</v>
      </c>
      <c r="K1006" s="616" t="s">
        <v>47</v>
      </c>
    </row>
    <row r="1007" spans="1:11">
      <c r="A1007" s="1170" t="s">
        <v>7093</v>
      </c>
      <c r="B1007" s="781">
        <v>46200</v>
      </c>
      <c r="C1007" s="721" t="s">
        <v>19</v>
      </c>
      <c r="D1007" s="632" t="s">
        <v>25</v>
      </c>
      <c r="E1007" s="750" t="s">
        <v>5254</v>
      </c>
      <c r="F1007" s="750" t="s">
        <v>6315</v>
      </c>
      <c r="G1007" s="721" t="s">
        <v>18</v>
      </c>
      <c r="H1007" s="632" t="s">
        <v>6316</v>
      </c>
      <c r="I1007" s="750" t="s">
        <v>2381</v>
      </c>
      <c r="J1007" s="632">
        <v>1</v>
      </c>
      <c r="K1007" s="618" t="s">
        <v>50</v>
      </c>
    </row>
    <row r="1008" spans="1:11">
      <c r="A1008" s="1171"/>
      <c r="B1008" s="781" t="s">
        <v>6318</v>
      </c>
      <c r="C1008" s="721" t="s">
        <v>19</v>
      </c>
      <c r="D1008" s="632" t="s">
        <v>25</v>
      </c>
      <c r="E1008" s="750" t="s">
        <v>5254</v>
      </c>
      <c r="F1008" s="750" t="s">
        <v>6315</v>
      </c>
      <c r="G1008" s="721" t="s">
        <v>18</v>
      </c>
      <c r="H1008" s="632" t="s">
        <v>6316</v>
      </c>
      <c r="I1008" s="750" t="s">
        <v>2381</v>
      </c>
      <c r="J1008" s="632">
        <v>3</v>
      </c>
      <c r="K1008" s="618" t="s">
        <v>50</v>
      </c>
    </row>
    <row r="1009" spans="1:11">
      <c r="A1009" s="1171"/>
      <c r="B1009" s="781" t="s">
        <v>6318</v>
      </c>
      <c r="C1009" s="721" t="s">
        <v>19</v>
      </c>
      <c r="D1009" s="632" t="s">
        <v>25</v>
      </c>
      <c r="E1009" s="750" t="s">
        <v>5254</v>
      </c>
      <c r="F1009" s="750">
        <v>7065</v>
      </c>
      <c r="G1009" s="721" t="s">
        <v>589</v>
      </c>
      <c r="H1009" s="632" t="s">
        <v>6324</v>
      </c>
      <c r="I1009" s="750" t="s">
        <v>90</v>
      </c>
      <c r="J1009" s="632">
        <v>3</v>
      </c>
      <c r="K1009" s="618" t="s">
        <v>50</v>
      </c>
    </row>
    <row r="1010" spans="1:11">
      <c r="A1010" s="1171"/>
      <c r="B1010" s="782" t="s">
        <v>6322</v>
      </c>
      <c r="C1010" s="721" t="s">
        <v>19</v>
      </c>
      <c r="D1010" s="632" t="s">
        <v>25</v>
      </c>
      <c r="E1010" s="750" t="s">
        <v>5254</v>
      </c>
      <c r="F1010" s="685" t="s">
        <v>6250</v>
      </c>
      <c r="G1010" s="685" t="s">
        <v>6323</v>
      </c>
      <c r="H1010" s="783" t="s">
        <v>1105</v>
      </c>
      <c r="I1010" s="750" t="s">
        <v>2381</v>
      </c>
      <c r="J1010" s="632">
        <v>2</v>
      </c>
      <c r="K1010" s="618" t="s">
        <v>50</v>
      </c>
    </row>
    <row r="1011" spans="1:11">
      <c r="A1011" s="1171"/>
      <c r="B1011" s="781" t="s">
        <v>6452</v>
      </c>
      <c r="C1011" s="721" t="s">
        <v>219</v>
      </c>
      <c r="D1011" s="632" t="s">
        <v>151</v>
      </c>
      <c r="E1011" s="750" t="s">
        <v>5254</v>
      </c>
      <c r="F1011" s="750" t="s">
        <v>5754</v>
      </c>
      <c r="G1011" s="721" t="s">
        <v>18</v>
      </c>
      <c r="H1011" s="632" t="s">
        <v>5856</v>
      </c>
      <c r="I1011" s="750"/>
      <c r="J1011" s="632">
        <v>3</v>
      </c>
      <c r="K1011" s="618" t="s">
        <v>50</v>
      </c>
    </row>
    <row r="1012" spans="1:11">
      <c r="A1012" s="1171"/>
      <c r="B1012" s="781" t="s">
        <v>6443</v>
      </c>
      <c r="C1012" s="721" t="s">
        <v>219</v>
      </c>
      <c r="D1012" s="632" t="s">
        <v>151</v>
      </c>
      <c r="E1012" s="750" t="s">
        <v>5254</v>
      </c>
      <c r="F1012" s="750" t="s">
        <v>5847</v>
      </c>
      <c r="G1012" s="721" t="s">
        <v>6133</v>
      </c>
      <c r="H1012" s="632" t="s">
        <v>6454</v>
      </c>
      <c r="I1012" s="750" t="s">
        <v>2381</v>
      </c>
      <c r="J1012" s="632">
        <v>2</v>
      </c>
      <c r="K1012" s="618" t="s">
        <v>50</v>
      </c>
    </row>
    <row r="1013" spans="1:11">
      <c r="A1013" s="1171"/>
      <c r="B1013" s="782" t="s">
        <v>6452</v>
      </c>
      <c r="C1013" s="721" t="s">
        <v>219</v>
      </c>
      <c r="D1013" s="632" t="s">
        <v>151</v>
      </c>
      <c r="E1013" s="750" t="s">
        <v>5254</v>
      </c>
      <c r="F1013" s="685" t="s">
        <v>6250</v>
      </c>
      <c r="G1013" s="685" t="s">
        <v>34</v>
      </c>
      <c r="H1013" s="783" t="s">
        <v>1105</v>
      </c>
      <c r="I1013" s="750" t="s">
        <v>2381</v>
      </c>
      <c r="J1013" s="632">
        <v>3</v>
      </c>
      <c r="K1013" s="618" t="s">
        <v>50</v>
      </c>
    </row>
    <row r="1014" spans="1:11">
      <c r="A1014" s="1171"/>
      <c r="B1014" s="781">
        <v>46214</v>
      </c>
      <c r="C1014" s="721" t="s">
        <v>219</v>
      </c>
      <c r="D1014" s="632" t="s">
        <v>1638</v>
      </c>
      <c r="E1014" s="750" t="s">
        <v>5254</v>
      </c>
      <c r="F1014" s="750" t="s">
        <v>4947</v>
      </c>
      <c r="G1014" s="721" t="s">
        <v>115</v>
      </c>
      <c r="H1014" s="632" t="s">
        <v>1105</v>
      </c>
      <c r="I1014" s="750" t="s">
        <v>2172</v>
      </c>
      <c r="J1014" s="632">
        <v>1</v>
      </c>
      <c r="K1014" s="618" t="s">
        <v>50</v>
      </c>
    </row>
    <row r="1015" spans="1:11">
      <c r="A1015" s="1171"/>
      <c r="B1015" s="781">
        <v>46216</v>
      </c>
      <c r="C1015" s="721" t="s">
        <v>219</v>
      </c>
      <c r="D1015" s="632" t="s">
        <v>1638</v>
      </c>
      <c r="E1015" s="750" t="s">
        <v>5254</v>
      </c>
      <c r="F1015" s="750" t="s">
        <v>6527</v>
      </c>
      <c r="G1015" s="721" t="s">
        <v>6528</v>
      </c>
      <c r="H1015" s="632" t="s">
        <v>1105</v>
      </c>
      <c r="I1015" s="750" t="s">
        <v>2172</v>
      </c>
      <c r="J1015" s="632">
        <v>1</v>
      </c>
      <c r="K1015" s="618" t="s">
        <v>50</v>
      </c>
    </row>
    <row r="1016" spans="1:11">
      <c r="A1016" s="1171"/>
      <c r="B1016" s="781" t="s">
        <v>6554</v>
      </c>
      <c r="C1016" s="721" t="s">
        <v>219</v>
      </c>
      <c r="D1016" s="632" t="s">
        <v>1638</v>
      </c>
      <c r="E1016" s="750" t="s">
        <v>5254</v>
      </c>
      <c r="F1016" s="750">
        <v>7065</v>
      </c>
      <c r="G1016" s="721" t="s">
        <v>589</v>
      </c>
      <c r="H1016" s="632" t="s">
        <v>378</v>
      </c>
      <c r="I1016" s="750" t="s">
        <v>126</v>
      </c>
      <c r="J1016" s="632">
        <v>3</v>
      </c>
      <c r="K1016" s="618" t="s">
        <v>50</v>
      </c>
    </row>
    <row r="1017" spans="1:11">
      <c r="A1017" s="1172"/>
      <c r="B1017" s="781" t="s">
        <v>6607</v>
      </c>
      <c r="C1017" s="721" t="s">
        <v>19</v>
      </c>
      <c r="D1017" s="632" t="s">
        <v>25</v>
      </c>
      <c r="E1017" s="750" t="s">
        <v>5254</v>
      </c>
      <c r="F1017" s="784" t="s">
        <v>6250</v>
      </c>
      <c r="G1017" s="784" t="s">
        <v>6323</v>
      </c>
      <c r="H1017" s="632" t="s">
        <v>6609</v>
      </c>
      <c r="I1017" s="750" t="s">
        <v>168</v>
      </c>
      <c r="J1017" s="632">
        <v>4</v>
      </c>
      <c r="K1017" s="618" t="s">
        <v>50</v>
      </c>
    </row>
    <row r="1018" spans="1:11">
      <c r="A1018" s="1163" t="s">
        <v>1646</v>
      </c>
      <c r="B1018" s="1163"/>
      <c r="C1018" s="1163"/>
      <c r="D1018" s="1163"/>
      <c r="E1018" s="1163"/>
      <c r="F1018" s="1163"/>
      <c r="G1018" s="1163"/>
      <c r="H1018" s="1163"/>
      <c r="I1018" s="1163"/>
      <c r="J1018" s="618">
        <f>SUM(J1007:J1017)</f>
        <v>26</v>
      </c>
      <c r="K1018" s="654"/>
    </row>
    <row r="1022" spans="1:11" ht="22.5">
      <c r="A1022" s="612" t="s">
        <v>43</v>
      </c>
      <c r="B1022" s="612" t="s">
        <v>1620</v>
      </c>
      <c r="C1022" s="613" t="s">
        <v>2</v>
      </c>
      <c r="D1022" s="613" t="s">
        <v>3</v>
      </c>
      <c r="E1022" s="613" t="s">
        <v>4</v>
      </c>
      <c r="F1022" s="613" t="s">
        <v>5</v>
      </c>
      <c r="G1022" s="613" t="s">
        <v>6</v>
      </c>
      <c r="H1022" s="614" t="s">
        <v>45</v>
      </c>
      <c r="I1022" s="613" t="s">
        <v>8</v>
      </c>
      <c r="J1022" s="615" t="s">
        <v>46</v>
      </c>
      <c r="K1022" s="616" t="s">
        <v>47</v>
      </c>
    </row>
    <row r="1023" spans="1:11">
      <c r="A1023" s="978" t="s">
        <v>7094</v>
      </c>
      <c r="B1023" s="640" t="s">
        <v>6655</v>
      </c>
      <c r="C1023" s="721" t="s">
        <v>19</v>
      </c>
      <c r="D1023" s="632" t="s">
        <v>25</v>
      </c>
      <c r="E1023" s="633" t="s">
        <v>5254</v>
      </c>
      <c r="F1023" s="806" t="s">
        <v>3790</v>
      </c>
      <c r="G1023" s="807"/>
      <c r="H1023" s="815" t="s">
        <v>6662</v>
      </c>
      <c r="I1023" s="633" t="s">
        <v>4918</v>
      </c>
      <c r="J1023" s="815">
        <v>2</v>
      </c>
      <c r="K1023" s="618" t="s">
        <v>50</v>
      </c>
    </row>
    <row r="1024" spans="1:11">
      <c r="A1024" s="979"/>
      <c r="B1024" s="369" t="s">
        <v>6719</v>
      </c>
      <c r="C1024" s="721" t="s">
        <v>124</v>
      </c>
      <c r="D1024" s="632" t="s">
        <v>151</v>
      </c>
      <c r="E1024" s="633" t="s">
        <v>5254</v>
      </c>
      <c r="F1024" s="649">
        <v>7065</v>
      </c>
      <c r="G1024" s="807" t="s">
        <v>145</v>
      </c>
      <c r="H1024" s="815" t="s">
        <v>6715</v>
      </c>
      <c r="I1024" s="633" t="s">
        <v>120</v>
      </c>
      <c r="J1024" s="815">
        <v>1</v>
      </c>
      <c r="K1024" s="618" t="s">
        <v>50</v>
      </c>
    </row>
    <row r="1025" spans="1:11">
      <c r="A1025" s="979"/>
      <c r="B1025" s="369" t="s">
        <v>6821</v>
      </c>
      <c r="C1025" s="721" t="s">
        <v>219</v>
      </c>
      <c r="D1025" s="632" t="s">
        <v>151</v>
      </c>
      <c r="E1025" s="633" t="s">
        <v>5254</v>
      </c>
      <c r="F1025" s="649" t="s">
        <v>5847</v>
      </c>
      <c r="G1025" s="807" t="s">
        <v>3758</v>
      </c>
      <c r="H1025" s="815" t="s">
        <v>3715</v>
      </c>
      <c r="I1025" s="633" t="s">
        <v>4918</v>
      </c>
      <c r="J1025" s="815">
        <v>2</v>
      </c>
      <c r="K1025" s="618" t="s">
        <v>50</v>
      </c>
    </row>
    <row r="1026" spans="1:11">
      <c r="A1026" s="979"/>
      <c r="B1026" s="807" t="s">
        <v>6905</v>
      </c>
      <c r="C1026" s="808" t="s">
        <v>306</v>
      </c>
      <c r="D1026" s="808" t="s">
        <v>322</v>
      </c>
      <c r="E1026" s="809" t="s">
        <v>5400</v>
      </c>
      <c r="F1026" s="649" t="s">
        <v>6893</v>
      </c>
      <c r="G1026" s="807" t="s">
        <v>329</v>
      </c>
      <c r="H1026" s="809" t="s">
        <v>6906</v>
      </c>
      <c r="I1026" s="809" t="s">
        <v>1534</v>
      </c>
      <c r="J1026" s="809">
        <v>2</v>
      </c>
      <c r="K1026" s="618" t="s">
        <v>50</v>
      </c>
    </row>
    <row r="1027" spans="1:11">
      <c r="A1027" s="979"/>
      <c r="B1027" s="807" t="s">
        <v>6907</v>
      </c>
      <c r="C1027" s="808" t="s">
        <v>306</v>
      </c>
      <c r="D1027" s="808" t="s">
        <v>322</v>
      </c>
      <c r="E1027" s="809" t="s">
        <v>5400</v>
      </c>
      <c r="F1027" s="649" t="s">
        <v>5766</v>
      </c>
      <c r="G1027" s="807" t="s">
        <v>6908</v>
      </c>
      <c r="H1027" s="809" t="s">
        <v>4915</v>
      </c>
      <c r="I1027" s="809" t="s">
        <v>1534</v>
      </c>
      <c r="J1027" s="809">
        <v>2</v>
      </c>
      <c r="K1027" s="618" t="s">
        <v>50</v>
      </c>
    </row>
    <row r="1028" spans="1:11">
      <c r="A1028" s="979"/>
      <c r="B1028" s="369" t="s">
        <v>6892</v>
      </c>
      <c r="C1028" s="721" t="s">
        <v>19</v>
      </c>
      <c r="D1028" s="632" t="s">
        <v>25</v>
      </c>
      <c r="E1028" s="633" t="s">
        <v>5254</v>
      </c>
      <c r="F1028" s="807">
        <v>7062</v>
      </c>
      <c r="G1028" s="807" t="s">
        <v>143</v>
      </c>
      <c r="H1028" s="815" t="s">
        <v>1105</v>
      </c>
      <c r="I1028" s="633" t="s">
        <v>1259</v>
      </c>
      <c r="J1028" s="815">
        <v>4</v>
      </c>
      <c r="K1028" s="618" t="s">
        <v>50</v>
      </c>
    </row>
    <row r="1029" spans="1:11">
      <c r="A1029" s="979"/>
      <c r="B1029" s="369">
        <v>46263</v>
      </c>
      <c r="C1029" s="721" t="s">
        <v>6707</v>
      </c>
      <c r="D1029" s="632" t="s">
        <v>1604</v>
      </c>
      <c r="E1029" s="633" t="s">
        <v>5254</v>
      </c>
      <c r="F1029" s="807" t="s">
        <v>5754</v>
      </c>
      <c r="G1029" s="807" t="s">
        <v>18</v>
      </c>
      <c r="H1029" s="815" t="s">
        <v>3402</v>
      </c>
      <c r="I1029" s="633" t="s">
        <v>2172</v>
      </c>
      <c r="J1029" s="815">
        <v>1</v>
      </c>
      <c r="K1029" s="618" t="s">
        <v>50</v>
      </c>
    </row>
    <row r="1030" spans="1:11">
      <c r="A1030" s="979"/>
      <c r="B1030" s="369" t="s">
        <v>7021</v>
      </c>
      <c r="C1030" s="721" t="s">
        <v>6707</v>
      </c>
      <c r="D1030" s="632" t="s">
        <v>1604</v>
      </c>
      <c r="E1030" s="633" t="s">
        <v>5254</v>
      </c>
      <c r="F1030" s="807" t="s">
        <v>5754</v>
      </c>
      <c r="G1030" s="807" t="s">
        <v>18</v>
      </c>
      <c r="H1030" s="815" t="s">
        <v>3402</v>
      </c>
      <c r="I1030" s="633" t="s">
        <v>2172</v>
      </c>
      <c r="J1030" s="815">
        <v>2</v>
      </c>
      <c r="K1030" s="618" t="s">
        <v>50</v>
      </c>
    </row>
    <row r="1031" spans="1:11">
      <c r="A1031" s="980"/>
      <c r="B1031" s="369" t="s">
        <v>7022</v>
      </c>
      <c r="C1031" s="721" t="s">
        <v>6707</v>
      </c>
      <c r="D1031" s="632" t="s">
        <v>1604</v>
      </c>
      <c r="E1031" s="633" t="s">
        <v>5254</v>
      </c>
      <c r="F1031" s="807" t="s">
        <v>6075</v>
      </c>
      <c r="G1031" s="807" t="s">
        <v>6071</v>
      </c>
      <c r="H1031" s="815" t="s">
        <v>3402</v>
      </c>
      <c r="I1031" s="633" t="s">
        <v>2172</v>
      </c>
      <c r="J1031" s="815">
        <v>2</v>
      </c>
      <c r="K1031" s="618" t="s">
        <v>50</v>
      </c>
    </row>
    <row r="1032" spans="1:11">
      <c r="A1032" s="1163" t="s">
        <v>1646</v>
      </c>
      <c r="B1032" s="1163"/>
      <c r="C1032" s="1163"/>
      <c r="D1032" s="1163"/>
      <c r="E1032" s="1163"/>
      <c r="F1032" s="1163"/>
      <c r="G1032" s="1163"/>
      <c r="H1032" s="1163"/>
      <c r="I1032" s="1163"/>
      <c r="J1032" s="618">
        <f>SUM(J1023:J1031)</f>
        <v>18</v>
      </c>
      <c r="K1032" s="654"/>
    </row>
    <row r="1034" spans="1:11">
      <c r="I1034" s="109">
        <f>J1032*250000</f>
        <v>4500000</v>
      </c>
    </row>
    <row r="1038" spans="1:11" ht="22.5">
      <c r="A1038" s="612" t="s">
        <v>43</v>
      </c>
      <c r="B1038" s="612" t="s">
        <v>1620</v>
      </c>
      <c r="C1038" s="613" t="s">
        <v>2</v>
      </c>
      <c r="D1038" s="613" t="s">
        <v>3</v>
      </c>
      <c r="E1038" s="613" t="s">
        <v>4</v>
      </c>
      <c r="F1038" s="613" t="s">
        <v>5</v>
      </c>
      <c r="G1038" s="613" t="s">
        <v>6</v>
      </c>
      <c r="H1038" s="614" t="s">
        <v>45</v>
      </c>
      <c r="I1038" s="613" t="s">
        <v>8</v>
      </c>
      <c r="J1038" s="615" t="s">
        <v>46</v>
      </c>
      <c r="K1038" s="616" t="s">
        <v>47</v>
      </c>
    </row>
    <row r="1039" spans="1:11" ht="22.5">
      <c r="A1039" s="1240" t="s">
        <v>7094</v>
      </c>
      <c r="B1039" s="657">
        <v>46259</v>
      </c>
      <c r="C1039" s="618" t="s">
        <v>21</v>
      </c>
      <c r="D1039" s="618" t="s">
        <v>14</v>
      </c>
      <c r="E1039" s="653" t="s">
        <v>149</v>
      </c>
      <c r="F1039" s="653" t="s">
        <v>3415</v>
      </c>
      <c r="G1039" s="620" t="s">
        <v>23</v>
      </c>
      <c r="H1039" s="865" t="s">
        <v>6864</v>
      </c>
      <c r="I1039" s="870" t="s">
        <v>126</v>
      </c>
      <c r="J1039" s="870">
        <v>4</v>
      </c>
      <c r="K1039" s="618" t="s">
        <v>7349</v>
      </c>
    </row>
    <row r="1040" spans="1:11" ht="16.5" customHeight="1">
      <c r="A1040" s="1240"/>
      <c r="B1040" s="657">
        <v>46265</v>
      </c>
      <c r="C1040" s="862" t="s">
        <v>138</v>
      </c>
      <c r="D1040" s="862" t="s">
        <v>14</v>
      </c>
      <c r="E1040" s="870" t="s">
        <v>107</v>
      </c>
      <c r="F1040" s="870">
        <v>179</v>
      </c>
      <c r="G1040" s="643" t="s">
        <v>746</v>
      </c>
      <c r="H1040" s="871" t="s">
        <v>7008</v>
      </c>
      <c r="I1040" s="870" t="s">
        <v>126</v>
      </c>
      <c r="J1040" s="870">
        <v>1</v>
      </c>
      <c r="K1040" s="618" t="s">
        <v>50</v>
      </c>
    </row>
    <row r="1041" spans="1:11">
      <c r="A1041" s="1240"/>
      <c r="B1041" s="657">
        <v>46265</v>
      </c>
      <c r="C1041" s="618" t="s">
        <v>21</v>
      </c>
      <c r="D1041" s="618" t="s">
        <v>14</v>
      </c>
      <c r="E1041" s="653" t="s">
        <v>211</v>
      </c>
      <c r="F1041" s="653" t="s">
        <v>2916</v>
      </c>
      <c r="G1041" s="620" t="s">
        <v>2917</v>
      </c>
      <c r="H1041" s="865" t="s">
        <v>1314</v>
      </c>
      <c r="I1041" s="865" t="s">
        <v>1948</v>
      </c>
      <c r="J1041" s="865">
        <v>1</v>
      </c>
      <c r="K1041" s="618" t="s">
        <v>50</v>
      </c>
    </row>
    <row r="1042" spans="1:11" ht="22.5">
      <c r="A1042" s="1240"/>
      <c r="B1042" s="657">
        <v>46268</v>
      </c>
      <c r="C1042" s="618" t="s">
        <v>21</v>
      </c>
      <c r="D1042" s="618" t="s">
        <v>17</v>
      </c>
      <c r="E1042" s="865" t="s">
        <v>6517</v>
      </c>
      <c r="F1042" s="653" t="s">
        <v>2653</v>
      </c>
      <c r="G1042" s="620" t="s">
        <v>102</v>
      </c>
      <c r="H1042" s="865" t="s">
        <v>6990</v>
      </c>
      <c r="I1042" s="865" t="s">
        <v>126</v>
      </c>
      <c r="J1042" s="884">
        <v>1</v>
      </c>
      <c r="K1042" s="618" t="s">
        <v>50</v>
      </c>
    </row>
    <row r="1043" spans="1:11" ht="33.75">
      <c r="A1043" s="1240"/>
      <c r="B1043" s="657">
        <v>46269</v>
      </c>
      <c r="C1043" s="618" t="s">
        <v>21</v>
      </c>
      <c r="D1043" s="618" t="s">
        <v>17</v>
      </c>
      <c r="E1043" s="653" t="s">
        <v>5632</v>
      </c>
      <c r="F1043" s="865" t="s">
        <v>6995</v>
      </c>
      <c r="G1043" s="620" t="s">
        <v>23</v>
      </c>
      <c r="H1043" s="865" t="s">
        <v>6994</v>
      </c>
      <c r="I1043" s="865" t="s">
        <v>126</v>
      </c>
      <c r="J1043" s="653">
        <v>1</v>
      </c>
      <c r="K1043" s="618" t="s">
        <v>50</v>
      </c>
    </row>
    <row r="1044" spans="1:11">
      <c r="A1044" s="1240"/>
      <c r="B1044" s="657">
        <v>46274</v>
      </c>
      <c r="C1044" s="618" t="s">
        <v>21</v>
      </c>
      <c r="D1044" s="618" t="s">
        <v>14</v>
      </c>
      <c r="E1044" s="653" t="s">
        <v>211</v>
      </c>
      <c r="F1044" s="653" t="s">
        <v>2916</v>
      </c>
      <c r="G1044" s="620" t="s">
        <v>2917</v>
      </c>
      <c r="H1044" s="871" t="s">
        <v>230</v>
      </c>
      <c r="I1044" s="870" t="s">
        <v>7040</v>
      </c>
      <c r="J1044" s="871">
        <v>1</v>
      </c>
      <c r="K1044" s="618" t="s">
        <v>50</v>
      </c>
    </row>
    <row r="1045" spans="1:11">
      <c r="A1045" s="1163" t="s">
        <v>1646</v>
      </c>
      <c r="B1045" s="1163"/>
      <c r="C1045" s="1163"/>
      <c r="D1045" s="1163"/>
      <c r="E1045" s="1163"/>
      <c r="F1045" s="1163"/>
      <c r="G1045" s="1163"/>
      <c r="H1045" s="1163"/>
      <c r="I1045" s="1163"/>
      <c r="J1045" s="618">
        <f>SUM(J1039:J1044)</f>
        <v>9</v>
      </c>
      <c r="K1045" s="654"/>
    </row>
    <row r="1049" spans="1:11" ht="22.5">
      <c r="A1049" s="612" t="s">
        <v>43</v>
      </c>
      <c r="B1049" s="612" t="s">
        <v>1620</v>
      </c>
      <c r="C1049" s="613" t="s">
        <v>2</v>
      </c>
      <c r="D1049" s="613" t="s">
        <v>3</v>
      </c>
      <c r="E1049" s="613" t="s">
        <v>4</v>
      </c>
      <c r="F1049" s="613" t="s">
        <v>5</v>
      </c>
      <c r="G1049" s="613" t="s">
        <v>6</v>
      </c>
      <c r="H1049" s="614" t="s">
        <v>45</v>
      </c>
      <c r="I1049" s="613" t="s">
        <v>8</v>
      </c>
      <c r="J1049" s="615" t="s">
        <v>46</v>
      </c>
      <c r="K1049" s="616" t="s">
        <v>47</v>
      </c>
    </row>
    <row r="1050" spans="1:11" ht="16.5" customHeight="1">
      <c r="A1050" s="1240" t="s">
        <v>7095</v>
      </c>
      <c r="B1050" s="657">
        <v>46240</v>
      </c>
      <c r="C1050" s="618" t="s">
        <v>21</v>
      </c>
      <c r="D1050" s="618" t="s">
        <v>17</v>
      </c>
      <c r="E1050" s="653" t="s">
        <v>78</v>
      </c>
      <c r="F1050" s="653" t="s">
        <v>1645</v>
      </c>
      <c r="G1050" s="620" t="s">
        <v>23</v>
      </c>
      <c r="H1050" s="812" t="s">
        <v>6518</v>
      </c>
      <c r="I1050" s="814" t="s">
        <v>202</v>
      </c>
      <c r="J1050" s="814">
        <v>1</v>
      </c>
      <c r="K1050" s="618" t="s">
        <v>50</v>
      </c>
    </row>
    <row r="1051" spans="1:11">
      <c r="A1051" s="1240"/>
      <c r="B1051" s="644" t="s">
        <v>6909</v>
      </c>
      <c r="C1051" s="811" t="s">
        <v>311</v>
      </c>
      <c r="D1051" s="811" t="s">
        <v>320</v>
      </c>
      <c r="E1051" s="644" t="s">
        <v>709</v>
      </c>
      <c r="F1051" s="644" t="s">
        <v>3098</v>
      </c>
      <c r="G1051" s="644" t="s">
        <v>3099</v>
      </c>
      <c r="H1051" s="644" t="s">
        <v>6911</v>
      </c>
      <c r="I1051" s="644"/>
      <c r="J1051" s="644">
        <v>1</v>
      </c>
      <c r="K1051" s="618" t="s">
        <v>50</v>
      </c>
    </row>
    <row r="1052" spans="1:11" ht="22.5">
      <c r="A1052" s="1240"/>
      <c r="B1052" s="644" t="s">
        <v>6913</v>
      </c>
      <c r="C1052" s="811" t="s">
        <v>311</v>
      </c>
      <c r="D1052" s="811" t="s">
        <v>320</v>
      </c>
      <c r="E1052" s="644" t="s">
        <v>709</v>
      </c>
      <c r="F1052" s="644" t="s">
        <v>3098</v>
      </c>
      <c r="G1052" s="644" t="s">
        <v>3099</v>
      </c>
      <c r="H1052" s="644" t="s">
        <v>6914</v>
      </c>
      <c r="I1052" s="644"/>
      <c r="J1052" s="644">
        <v>2</v>
      </c>
      <c r="K1052" s="618" t="s">
        <v>50</v>
      </c>
    </row>
    <row r="1053" spans="1:11">
      <c r="A1053" s="1240"/>
      <c r="B1053" s="657">
        <v>46258</v>
      </c>
      <c r="C1053" s="811" t="s">
        <v>21</v>
      </c>
      <c r="D1053" s="811" t="s">
        <v>14</v>
      </c>
      <c r="E1053" s="814" t="s">
        <v>78</v>
      </c>
      <c r="F1053" s="814" t="s">
        <v>3833</v>
      </c>
      <c r="G1053" s="643" t="s">
        <v>207</v>
      </c>
      <c r="H1053" s="813" t="s">
        <v>6878</v>
      </c>
      <c r="I1053" s="814" t="s">
        <v>202</v>
      </c>
      <c r="J1053" s="814">
        <v>1</v>
      </c>
      <c r="K1053" s="618" t="s">
        <v>50</v>
      </c>
    </row>
    <row r="1054" spans="1:11">
      <c r="A1054" s="1240"/>
      <c r="B1054" s="652">
        <v>46261</v>
      </c>
      <c r="C1054" s="618" t="s">
        <v>21</v>
      </c>
      <c r="D1054" s="618" t="s">
        <v>14</v>
      </c>
      <c r="E1054" s="653" t="s">
        <v>6927</v>
      </c>
      <c r="F1054" s="653" t="s">
        <v>3589</v>
      </c>
      <c r="G1054" s="620" t="s">
        <v>6929</v>
      </c>
      <c r="H1054" s="812" t="s">
        <v>6930</v>
      </c>
      <c r="I1054" s="653" t="s">
        <v>202</v>
      </c>
      <c r="J1054" s="812">
        <v>1</v>
      </c>
      <c r="K1054" s="618" t="s">
        <v>50</v>
      </c>
    </row>
    <row r="1055" spans="1:11">
      <c r="A1055" s="1240"/>
      <c r="B1055" s="657">
        <v>46262</v>
      </c>
      <c r="C1055" s="618" t="s">
        <v>21</v>
      </c>
      <c r="D1055" s="618" t="s">
        <v>14</v>
      </c>
      <c r="E1055" s="653" t="s">
        <v>6927</v>
      </c>
      <c r="F1055" s="653" t="s">
        <v>3589</v>
      </c>
      <c r="G1055" s="620" t="s">
        <v>6929</v>
      </c>
      <c r="H1055" s="812" t="s">
        <v>6930</v>
      </c>
      <c r="I1055" s="653" t="s">
        <v>202</v>
      </c>
      <c r="J1055" s="812">
        <v>1</v>
      </c>
      <c r="K1055" s="618" t="s">
        <v>50</v>
      </c>
    </row>
    <row r="1056" spans="1:11">
      <c r="A1056" s="1163" t="s">
        <v>1646</v>
      </c>
      <c r="B1056" s="1163"/>
      <c r="C1056" s="1163"/>
      <c r="D1056" s="1163"/>
      <c r="E1056" s="1163"/>
      <c r="F1056" s="1163"/>
      <c r="G1056" s="1163"/>
      <c r="H1056" s="1163"/>
      <c r="I1056" s="1163"/>
      <c r="J1056" s="618">
        <f>SUM(J1050:J1055)</f>
        <v>7</v>
      </c>
      <c r="K1056" s="654"/>
    </row>
    <row r="1059" spans="1:11" ht="22.5">
      <c r="A1059" s="612" t="s">
        <v>43</v>
      </c>
      <c r="B1059" s="612" t="s">
        <v>1620</v>
      </c>
      <c r="C1059" s="613" t="s">
        <v>2</v>
      </c>
      <c r="D1059" s="613" t="s">
        <v>3</v>
      </c>
      <c r="E1059" s="613" t="s">
        <v>4</v>
      </c>
      <c r="F1059" s="613" t="s">
        <v>5</v>
      </c>
      <c r="G1059" s="613" t="s">
        <v>6</v>
      </c>
      <c r="H1059" s="614" t="s">
        <v>45</v>
      </c>
      <c r="I1059" s="613" t="s">
        <v>8</v>
      </c>
      <c r="J1059" s="615" t="s">
        <v>46</v>
      </c>
      <c r="K1059" s="616" t="s">
        <v>47</v>
      </c>
    </row>
    <row r="1060" spans="1:11">
      <c r="A1060" s="1164" t="s">
        <v>7286</v>
      </c>
      <c r="B1060" s="657" t="s">
        <v>6815</v>
      </c>
      <c r="C1060" s="742" t="s">
        <v>219</v>
      </c>
      <c r="D1060" s="618" t="s">
        <v>151</v>
      </c>
      <c r="E1060" s="653" t="s">
        <v>5254</v>
      </c>
      <c r="F1060" s="644" t="s">
        <v>6816</v>
      </c>
      <c r="G1060" s="644" t="s">
        <v>263</v>
      </c>
      <c r="H1060" s="812" t="s">
        <v>3743</v>
      </c>
      <c r="I1060" s="653" t="s">
        <v>737</v>
      </c>
      <c r="J1060" s="812">
        <v>5</v>
      </c>
      <c r="K1060" s="618" t="s">
        <v>50</v>
      </c>
    </row>
    <row r="1061" spans="1:11">
      <c r="A1061" s="1165"/>
      <c r="B1061" s="644" t="s">
        <v>6902</v>
      </c>
      <c r="C1061" s="654" t="s">
        <v>306</v>
      </c>
      <c r="D1061" s="654" t="s">
        <v>322</v>
      </c>
      <c r="E1061" s="658" t="s">
        <v>5400</v>
      </c>
      <c r="F1061" s="644">
        <v>7065</v>
      </c>
      <c r="G1061" s="644" t="s">
        <v>6903</v>
      </c>
      <c r="H1061" s="658" t="s">
        <v>6904</v>
      </c>
      <c r="I1061" s="658" t="s">
        <v>664</v>
      </c>
      <c r="J1061" s="658">
        <v>4</v>
      </c>
      <c r="K1061" s="618" t="s">
        <v>50</v>
      </c>
    </row>
    <row r="1062" spans="1:11">
      <c r="A1062" s="1165"/>
      <c r="B1062" s="657" t="s">
        <v>6888</v>
      </c>
      <c r="C1062" s="742" t="s">
        <v>19</v>
      </c>
      <c r="D1062" s="618" t="s">
        <v>25</v>
      </c>
      <c r="E1062" s="653" t="s">
        <v>5254</v>
      </c>
      <c r="F1062" s="644">
        <v>7065</v>
      </c>
      <c r="G1062" s="644" t="s">
        <v>6889</v>
      </c>
      <c r="H1062" s="812" t="s">
        <v>3020</v>
      </c>
      <c r="I1062" s="653" t="s">
        <v>168</v>
      </c>
      <c r="J1062" s="812">
        <v>5</v>
      </c>
      <c r="K1062" s="618" t="s">
        <v>50</v>
      </c>
    </row>
    <row r="1063" spans="1:11">
      <c r="A1063" s="1166"/>
      <c r="B1063" s="657">
        <v>46265</v>
      </c>
      <c r="C1063" s="742" t="s">
        <v>6707</v>
      </c>
      <c r="D1063" s="618" t="s">
        <v>1604</v>
      </c>
      <c r="E1063" s="653" t="s">
        <v>5254</v>
      </c>
      <c r="F1063" s="644">
        <v>7065</v>
      </c>
      <c r="G1063" s="644" t="s">
        <v>7018</v>
      </c>
      <c r="H1063" s="812" t="s">
        <v>3020</v>
      </c>
      <c r="I1063" s="653" t="s">
        <v>1629</v>
      </c>
      <c r="J1063" s="812">
        <v>1</v>
      </c>
      <c r="K1063" s="618" t="s">
        <v>50</v>
      </c>
    </row>
    <row r="1064" spans="1:11">
      <c r="A1064" s="1163" t="s">
        <v>1646</v>
      </c>
      <c r="B1064" s="1163"/>
      <c r="C1064" s="1163"/>
      <c r="D1064" s="1163"/>
      <c r="E1064" s="1163"/>
      <c r="F1064" s="1163"/>
      <c r="G1064" s="1163"/>
      <c r="H1064" s="1163"/>
      <c r="I1064" s="1163"/>
      <c r="J1064" s="618">
        <f>SUM(J1060:J1063)</f>
        <v>15</v>
      </c>
      <c r="K1064" s="654"/>
    </row>
    <row r="1067" spans="1:11" ht="22.5">
      <c r="A1067" s="612" t="s">
        <v>43</v>
      </c>
      <c r="B1067" s="612" t="s">
        <v>1620</v>
      </c>
      <c r="C1067" s="613" t="s">
        <v>2</v>
      </c>
      <c r="D1067" s="613" t="s">
        <v>3</v>
      </c>
      <c r="E1067" s="613" t="s">
        <v>4</v>
      </c>
      <c r="F1067" s="613" t="s">
        <v>5</v>
      </c>
      <c r="G1067" s="613" t="s">
        <v>6</v>
      </c>
      <c r="H1067" s="614" t="s">
        <v>45</v>
      </c>
      <c r="I1067" s="613" t="s">
        <v>8</v>
      </c>
      <c r="J1067" s="615" t="s">
        <v>46</v>
      </c>
      <c r="K1067" s="616" t="s">
        <v>47</v>
      </c>
    </row>
    <row r="1068" spans="1:11">
      <c r="A1068" s="1164" t="s">
        <v>7096</v>
      </c>
      <c r="B1068" s="657">
        <v>46230</v>
      </c>
      <c r="C1068" s="618" t="s">
        <v>21</v>
      </c>
      <c r="D1068" s="618" t="s">
        <v>14</v>
      </c>
      <c r="E1068" s="653" t="s">
        <v>1787</v>
      </c>
      <c r="F1068" s="653" t="s">
        <v>2978</v>
      </c>
      <c r="G1068" s="620" t="s">
        <v>23</v>
      </c>
      <c r="H1068" s="813" t="s">
        <v>303</v>
      </c>
      <c r="I1068" s="814" t="s">
        <v>90</v>
      </c>
      <c r="J1068" s="814">
        <v>1</v>
      </c>
      <c r="K1068" s="618" t="s">
        <v>50</v>
      </c>
    </row>
    <row r="1069" spans="1:11">
      <c r="A1069" s="1165"/>
      <c r="B1069" s="657">
        <v>46230</v>
      </c>
      <c r="C1069" s="811" t="s">
        <v>21</v>
      </c>
      <c r="D1069" s="811" t="s">
        <v>14</v>
      </c>
      <c r="E1069" s="814" t="s">
        <v>1893</v>
      </c>
      <c r="F1069" s="814" t="s">
        <v>4939</v>
      </c>
      <c r="G1069" s="643" t="s">
        <v>482</v>
      </c>
      <c r="H1069" s="813" t="s">
        <v>6542</v>
      </c>
      <c r="I1069" s="814"/>
      <c r="J1069" s="814">
        <v>1</v>
      </c>
      <c r="K1069" s="618" t="s">
        <v>50</v>
      </c>
    </row>
    <row r="1070" spans="1:11">
      <c r="A1070" s="1165"/>
      <c r="B1070" s="657">
        <v>46234</v>
      </c>
      <c r="C1070" s="811" t="s">
        <v>21</v>
      </c>
      <c r="D1070" s="811" t="s">
        <v>14</v>
      </c>
      <c r="E1070" s="814" t="s">
        <v>1787</v>
      </c>
      <c r="F1070" s="814" t="s">
        <v>2978</v>
      </c>
      <c r="G1070" s="643" t="s">
        <v>205</v>
      </c>
      <c r="H1070" s="813" t="s">
        <v>5250</v>
      </c>
      <c r="I1070" s="814"/>
      <c r="J1070" s="814">
        <v>1</v>
      </c>
      <c r="K1070" s="618" t="s">
        <v>50</v>
      </c>
    </row>
    <row r="1071" spans="1:11">
      <c r="A1071" s="1165"/>
      <c r="B1071" s="652">
        <v>46231</v>
      </c>
      <c r="C1071" s="618" t="s">
        <v>21</v>
      </c>
      <c r="D1071" s="618" t="s">
        <v>14</v>
      </c>
      <c r="E1071" s="653" t="s">
        <v>1893</v>
      </c>
      <c r="F1071" s="653" t="s">
        <v>4939</v>
      </c>
      <c r="G1071" s="620" t="s">
        <v>482</v>
      </c>
      <c r="H1071" s="812" t="s">
        <v>6670</v>
      </c>
      <c r="I1071" s="653"/>
      <c r="J1071" s="653">
        <v>1</v>
      </c>
      <c r="K1071" s="618" t="s">
        <v>50</v>
      </c>
    </row>
    <row r="1072" spans="1:11">
      <c r="A1072" s="1165"/>
      <c r="B1072" s="652">
        <v>46233</v>
      </c>
      <c r="C1072" s="618" t="s">
        <v>21</v>
      </c>
      <c r="D1072" s="618" t="s">
        <v>14</v>
      </c>
      <c r="E1072" s="653" t="s">
        <v>1893</v>
      </c>
      <c r="F1072" s="653" t="s">
        <v>4939</v>
      </c>
      <c r="G1072" s="620" t="s">
        <v>482</v>
      </c>
      <c r="H1072" s="812" t="s">
        <v>6699</v>
      </c>
      <c r="I1072" s="653"/>
      <c r="J1072" s="653">
        <v>1</v>
      </c>
      <c r="K1072" s="618" t="s">
        <v>50</v>
      </c>
    </row>
    <row r="1073" spans="1:11">
      <c r="A1073" s="1165"/>
      <c r="B1073" s="657">
        <v>46247</v>
      </c>
      <c r="C1073" s="811" t="s">
        <v>21</v>
      </c>
      <c r="D1073" s="811" t="s">
        <v>14</v>
      </c>
      <c r="E1073" s="814" t="s">
        <v>1787</v>
      </c>
      <c r="F1073" s="814" t="s">
        <v>5408</v>
      </c>
      <c r="G1073" s="643" t="s">
        <v>4903</v>
      </c>
      <c r="H1073" s="813" t="s">
        <v>6781</v>
      </c>
      <c r="I1073" s="814"/>
      <c r="J1073" s="814">
        <v>2</v>
      </c>
      <c r="K1073" s="618" t="s">
        <v>50</v>
      </c>
    </row>
    <row r="1074" spans="1:11" ht="22.5">
      <c r="A1074" s="1165"/>
      <c r="B1074" s="657">
        <v>46249</v>
      </c>
      <c r="C1074" s="811" t="s">
        <v>21</v>
      </c>
      <c r="D1074" s="811" t="s">
        <v>14</v>
      </c>
      <c r="E1074" s="814" t="s">
        <v>107</v>
      </c>
      <c r="F1074" s="814" t="s">
        <v>5269</v>
      </c>
      <c r="G1074" s="643" t="s">
        <v>23</v>
      </c>
      <c r="H1074" s="813" t="s">
        <v>6814</v>
      </c>
      <c r="I1074" s="814" t="s">
        <v>6325</v>
      </c>
      <c r="J1074" s="814">
        <v>2</v>
      </c>
      <c r="K1074" s="618" t="s">
        <v>50</v>
      </c>
    </row>
    <row r="1075" spans="1:11">
      <c r="A1075" s="1165"/>
      <c r="B1075" s="644" t="s">
        <v>6909</v>
      </c>
      <c r="C1075" s="811" t="s">
        <v>311</v>
      </c>
      <c r="D1075" s="811" t="s">
        <v>320</v>
      </c>
      <c r="E1075" s="644" t="s">
        <v>337</v>
      </c>
      <c r="F1075" s="644" t="s">
        <v>3054</v>
      </c>
      <c r="G1075" s="644" t="s">
        <v>3057</v>
      </c>
      <c r="H1075" s="644" t="s">
        <v>6910</v>
      </c>
      <c r="I1075" s="644" t="s">
        <v>5447</v>
      </c>
      <c r="J1075" s="644">
        <v>1</v>
      </c>
      <c r="K1075" s="618" t="s">
        <v>50</v>
      </c>
    </row>
    <row r="1076" spans="1:11">
      <c r="A1076" s="1165"/>
      <c r="B1076" s="644" t="s">
        <v>6913</v>
      </c>
      <c r="C1076" s="811" t="s">
        <v>311</v>
      </c>
      <c r="D1076" s="811" t="s">
        <v>320</v>
      </c>
      <c r="E1076" s="644" t="s">
        <v>337</v>
      </c>
      <c r="F1076" s="644" t="s">
        <v>3054</v>
      </c>
      <c r="G1076" s="644" t="s">
        <v>6915</v>
      </c>
      <c r="H1076" s="644" t="s">
        <v>6910</v>
      </c>
      <c r="I1076" s="644" t="s">
        <v>5447</v>
      </c>
      <c r="J1076" s="644">
        <v>1</v>
      </c>
      <c r="K1076" s="618" t="s">
        <v>50</v>
      </c>
    </row>
    <row r="1077" spans="1:11" ht="22.5">
      <c r="A1077" s="1165"/>
      <c r="B1077" s="644" t="s">
        <v>6916</v>
      </c>
      <c r="C1077" s="811" t="s">
        <v>311</v>
      </c>
      <c r="D1077" s="811" t="s">
        <v>320</v>
      </c>
      <c r="E1077" s="644" t="s">
        <v>709</v>
      </c>
      <c r="F1077" s="644" t="s">
        <v>3098</v>
      </c>
      <c r="G1077" s="644" t="s">
        <v>3099</v>
      </c>
      <c r="H1077" s="644" t="s">
        <v>6843</v>
      </c>
      <c r="I1077" s="644"/>
      <c r="J1077" s="644">
        <v>1</v>
      </c>
      <c r="K1077" s="618" t="s">
        <v>50</v>
      </c>
    </row>
    <row r="1078" spans="1:11">
      <c r="A1078" s="1165"/>
      <c r="B1078" s="644" t="s">
        <v>6916</v>
      </c>
      <c r="C1078" s="811" t="s">
        <v>311</v>
      </c>
      <c r="D1078" s="811" t="s">
        <v>320</v>
      </c>
      <c r="E1078" s="644" t="s">
        <v>337</v>
      </c>
      <c r="F1078" s="644" t="s">
        <v>3054</v>
      </c>
      <c r="G1078" s="644" t="s">
        <v>354</v>
      </c>
      <c r="H1078" s="644" t="s">
        <v>6910</v>
      </c>
      <c r="I1078" s="644" t="s">
        <v>5447</v>
      </c>
      <c r="J1078" s="644">
        <v>1</v>
      </c>
      <c r="K1078" s="618" t="s">
        <v>50</v>
      </c>
    </row>
    <row r="1079" spans="1:11">
      <c r="A1079" s="1165"/>
      <c r="B1079" s="644" t="s">
        <v>6918</v>
      </c>
      <c r="C1079" s="811" t="s">
        <v>311</v>
      </c>
      <c r="D1079" s="811" t="s">
        <v>320</v>
      </c>
      <c r="E1079" s="644" t="s">
        <v>690</v>
      </c>
      <c r="F1079" s="644" t="s">
        <v>5060</v>
      </c>
      <c r="G1079" s="644" t="s">
        <v>347</v>
      </c>
      <c r="H1079" s="644" t="s">
        <v>6885</v>
      </c>
      <c r="I1079" s="644"/>
      <c r="J1079" s="644">
        <v>2</v>
      </c>
      <c r="K1079" s="618" t="s">
        <v>50</v>
      </c>
    </row>
    <row r="1080" spans="1:11">
      <c r="A1080" s="1165"/>
      <c r="B1080" s="657">
        <v>46258</v>
      </c>
      <c r="C1080" s="811" t="s">
        <v>21</v>
      </c>
      <c r="D1080" s="811" t="s">
        <v>14</v>
      </c>
      <c r="E1080" s="814" t="s">
        <v>149</v>
      </c>
      <c r="F1080" s="814" t="s">
        <v>3415</v>
      </c>
      <c r="G1080" s="643" t="s">
        <v>23</v>
      </c>
      <c r="H1080" s="813" t="s">
        <v>6883</v>
      </c>
      <c r="I1080" s="814"/>
      <c r="J1080" s="814">
        <v>2</v>
      </c>
      <c r="K1080" s="618" t="s">
        <v>50</v>
      </c>
    </row>
    <row r="1081" spans="1:11">
      <c r="A1081" s="1166"/>
      <c r="B1081" s="657">
        <v>46259</v>
      </c>
      <c r="C1081" s="618" t="s">
        <v>21</v>
      </c>
      <c r="D1081" s="618" t="s">
        <v>14</v>
      </c>
      <c r="E1081" s="653" t="s">
        <v>149</v>
      </c>
      <c r="F1081" s="653" t="s">
        <v>3415</v>
      </c>
      <c r="G1081" s="620" t="s">
        <v>23</v>
      </c>
      <c r="H1081" s="812" t="s">
        <v>6864</v>
      </c>
      <c r="I1081" s="814"/>
      <c r="J1081" s="814">
        <v>2</v>
      </c>
      <c r="K1081" s="618" t="s">
        <v>50</v>
      </c>
    </row>
    <row r="1082" spans="1:11">
      <c r="A1082" s="1163" t="s">
        <v>1646</v>
      </c>
      <c r="B1082" s="1163"/>
      <c r="C1082" s="1163"/>
      <c r="D1082" s="1163"/>
      <c r="E1082" s="1163"/>
      <c r="F1082" s="1163"/>
      <c r="G1082" s="1163"/>
      <c r="H1082" s="1163"/>
      <c r="I1082" s="1163"/>
      <c r="J1082" s="618">
        <f>SUM(J1068:J1081)</f>
        <v>19</v>
      </c>
      <c r="K1082" s="654"/>
    </row>
    <row r="1085" spans="1:11" ht="22.5">
      <c r="A1085" s="612" t="s">
        <v>43</v>
      </c>
      <c r="B1085" s="612" t="s">
        <v>1620</v>
      </c>
      <c r="C1085" s="613" t="s">
        <v>2</v>
      </c>
      <c r="D1085" s="613" t="s">
        <v>3</v>
      </c>
      <c r="E1085" s="613" t="s">
        <v>4</v>
      </c>
      <c r="F1085" s="613" t="s">
        <v>5</v>
      </c>
      <c r="G1085" s="613" t="s">
        <v>6</v>
      </c>
      <c r="H1085" s="614" t="s">
        <v>45</v>
      </c>
      <c r="I1085" s="613" t="s">
        <v>8</v>
      </c>
      <c r="J1085" s="615" t="s">
        <v>46</v>
      </c>
      <c r="K1085" s="616" t="s">
        <v>47</v>
      </c>
    </row>
    <row r="1086" spans="1:11">
      <c r="A1086" s="1164" t="s">
        <v>7097</v>
      </c>
      <c r="B1086" s="656">
        <v>46279</v>
      </c>
      <c r="C1086" s="646" t="s">
        <v>21</v>
      </c>
      <c r="D1086" s="646" t="s">
        <v>17</v>
      </c>
      <c r="E1086" s="648" t="s">
        <v>78</v>
      </c>
      <c r="F1086" s="648">
        <v>7060</v>
      </c>
      <c r="G1086" s="651" t="s">
        <v>36</v>
      </c>
      <c r="H1086" s="649" t="s">
        <v>7147</v>
      </c>
      <c r="I1086" s="648" t="s">
        <v>6312</v>
      </c>
      <c r="J1086" s="648">
        <v>1</v>
      </c>
      <c r="K1086" s="618" t="s">
        <v>50</v>
      </c>
    </row>
    <row r="1087" spans="1:11" ht="24">
      <c r="A1087" s="1165"/>
      <c r="B1087" s="656">
        <v>46281</v>
      </c>
      <c r="C1087" s="646" t="s">
        <v>64</v>
      </c>
      <c r="D1087" s="646" t="s">
        <v>70</v>
      </c>
      <c r="E1087" s="648" t="s">
        <v>7138</v>
      </c>
      <c r="F1087" s="648" t="s">
        <v>3415</v>
      </c>
      <c r="G1087" s="651" t="s">
        <v>23</v>
      </c>
      <c r="H1087" s="649" t="s">
        <v>7160</v>
      </c>
      <c r="I1087" s="648"/>
      <c r="J1087" s="649">
        <v>2</v>
      </c>
      <c r="K1087" s="618" t="s">
        <v>50</v>
      </c>
    </row>
    <row r="1088" spans="1:11">
      <c r="A1088" s="1165"/>
      <c r="B1088" s="656">
        <v>46282</v>
      </c>
      <c r="C1088" s="646" t="s">
        <v>64</v>
      </c>
      <c r="D1088" s="646" t="s">
        <v>70</v>
      </c>
      <c r="E1088" s="648" t="s">
        <v>7138</v>
      </c>
      <c r="F1088" s="648" t="s">
        <v>3415</v>
      </c>
      <c r="G1088" s="651" t="s">
        <v>23</v>
      </c>
      <c r="H1088" s="649" t="s">
        <v>5397</v>
      </c>
      <c r="I1088" s="648"/>
      <c r="J1088" s="649">
        <v>2</v>
      </c>
      <c r="K1088" s="618" t="s">
        <v>50</v>
      </c>
    </row>
    <row r="1089" spans="1:11">
      <c r="A1089" s="1165"/>
      <c r="B1089" s="882">
        <v>46287</v>
      </c>
      <c r="C1089" s="784" t="s">
        <v>21</v>
      </c>
      <c r="D1089" s="646" t="s">
        <v>14</v>
      </c>
      <c r="E1089" s="648" t="s">
        <v>1893</v>
      </c>
      <c r="F1089" s="648" t="s">
        <v>3589</v>
      </c>
      <c r="G1089" s="651" t="s">
        <v>7177</v>
      </c>
      <c r="H1089" s="649" t="s">
        <v>7181</v>
      </c>
      <c r="I1089" s="648" t="s">
        <v>202</v>
      </c>
      <c r="J1089" s="649">
        <v>2</v>
      </c>
      <c r="K1089" s="618" t="s">
        <v>50</v>
      </c>
    </row>
    <row r="1090" spans="1:11">
      <c r="A1090" s="1163" t="s">
        <v>1646</v>
      </c>
      <c r="B1090" s="1163"/>
      <c r="C1090" s="1163"/>
      <c r="D1090" s="1163"/>
      <c r="E1090" s="1163"/>
      <c r="F1090" s="1163"/>
      <c r="G1090" s="1163"/>
      <c r="H1090" s="1163"/>
      <c r="I1090" s="1163"/>
      <c r="J1090" s="618">
        <f>SUM(J1086:J1089)</f>
        <v>7</v>
      </c>
      <c r="K1090" s="654"/>
    </row>
    <row r="1095" spans="1:11" ht="22.5">
      <c r="A1095" s="612" t="s">
        <v>43</v>
      </c>
      <c r="B1095" s="612" t="s">
        <v>1620</v>
      </c>
      <c r="C1095" s="613" t="s">
        <v>2</v>
      </c>
      <c r="D1095" s="613" t="s">
        <v>3</v>
      </c>
      <c r="E1095" s="613" t="s">
        <v>4</v>
      </c>
      <c r="F1095" s="613" t="s">
        <v>5</v>
      </c>
      <c r="G1095" s="613" t="s">
        <v>6</v>
      </c>
      <c r="H1095" s="614" t="s">
        <v>45</v>
      </c>
      <c r="I1095" s="613" t="s">
        <v>8</v>
      </c>
      <c r="J1095" s="615" t="s">
        <v>46</v>
      </c>
      <c r="K1095" s="616" t="s">
        <v>47</v>
      </c>
    </row>
    <row r="1096" spans="1:11">
      <c r="A1096" s="1094" t="s">
        <v>7287</v>
      </c>
      <c r="B1096" s="369" t="s">
        <v>7288</v>
      </c>
      <c r="C1096" s="721" t="s">
        <v>6707</v>
      </c>
      <c r="D1096" s="632" t="s">
        <v>25</v>
      </c>
      <c r="E1096" s="633" t="s">
        <v>5254</v>
      </c>
      <c r="F1096" s="850">
        <v>7065</v>
      </c>
      <c r="G1096" s="850" t="s">
        <v>7018</v>
      </c>
      <c r="H1096" s="851" t="s">
        <v>378</v>
      </c>
      <c r="I1096" s="633" t="s">
        <v>168</v>
      </c>
      <c r="J1096" s="632">
        <v>5</v>
      </c>
      <c r="K1096" s="618" t="s">
        <v>50</v>
      </c>
    </row>
    <row r="1097" spans="1:11">
      <c r="A1097" s="1095"/>
      <c r="B1097" s="369" t="s">
        <v>7084</v>
      </c>
      <c r="C1097" s="721" t="s">
        <v>6707</v>
      </c>
      <c r="D1097" s="632" t="s">
        <v>25</v>
      </c>
      <c r="E1097" s="633" t="s">
        <v>5254</v>
      </c>
      <c r="F1097" s="850">
        <v>7065</v>
      </c>
      <c r="G1097" s="850" t="s">
        <v>6889</v>
      </c>
      <c r="H1097" s="851" t="s">
        <v>378</v>
      </c>
      <c r="I1097" s="633" t="s">
        <v>168</v>
      </c>
      <c r="J1097" s="632">
        <v>2</v>
      </c>
      <c r="K1097" s="618" t="s">
        <v>50</v>
      </c>
    </row>
    <row r="1098" spans="1:11">
      <c r="A1098" s="1095"/>
      <c r="B1098" s="369" t="s">
        <v>7085</v>
      </c>
      <c r="C1098" s="721" t="s">
        <v>6707</v>
      </c>
      <c r="D1098" s="632" t="s">
        <v>25</v>
      </c>
      <c r="E1098" s="633" t="s">
        <v>5254</v>
      </c>
      <c r="F1098" s="850">
        <v>7065</v>
      </c>
      <c r="G1098" s="850" t="s">
        <v>7018</v>
      </c>
      <c r="H1098" s="851" t="s">
        <v>378</v>
      </c>
      <c r="I1098" s="633" t="s">
        <v>168</v>
      </c>
      <c r="J1098" s="632">
        <v>3</v>
      </c>
      <c r="K1098" s="618" t="s">
        <v>50</v>
      </c>
    </row>
    <row r="1099" spans="1:11">
      <c r="A1099" s="1095"/>
      <c r="B1099" s="369" t="s">
        <v>7173</v>
      </c>
      <c r="C1099" s="721" t="s">
        <v>6707</v>
      </c>
      <c r="D1099" s="632" t="s">
        <v>25</v>
      </c>
      <c r="E1099" s="633" t="s">
        <v>5254</v>
      </c>
      <c r="F1099" s="850">
        <v>7065</v>
      </c>
      <c r="G1099" s="850" t="s">
        <v>1391</v>
      </c>
      <c r="H1099" s="851" t="s">
        <v>378</v>
      </c>
      <c r="I1099" s="633" t="s">
        <v>168</v>
      </c>
      <c r="J1099" s="632">
        <v>5</v>
      </c>
      <c r="K1099" s="618" t="s">
        <v>50</v>
      </c>
    </row>
    <row r="1100" spans="1:11">
      <c r="A1100" s="1095"/>
      <c r="B1100" s="369" t="s">
        <v>7230</v>
      </c>
      <c r="C1100" s="721" t="s">
        <v>6707</v>
      </c>
      <c r="D1100" s="632" t="s">
        <v>25</v>
      </c>
      <c r="E1100" s="633" t="s">
        <v>5254</v>
      </c>
      <c r="F1100" s="850" t="s">
        <v>6816</v>
      </c>
      <c r="G1100" s="850" t="s">
        <v>115</v>
      </c>
      <c r="H1100" s="851" t="s">
        <v>378</v>
      </c>
      <c r="I1100" s="633" t="s">
        <v>168</v>
      </c>
      <c r="J1100" s="632">
        <v>3</v>
      </c>
      <c r="K1100" s="618" t="s">
        <v>50</v>
      </c>
    </row>
    <row r="1101" spans="1:11">
      <c r="A1101" s="1096"/>
      <c r="B1101" s="369" t="s">
        <v>7289</v>
      </c>
      <c r="C1101" s="721" t="s">
        <v>6707</v>
      </c>
      <c r="D1101" s="632" t="s">
        <v>25</v>
      </c>
      <c r="E1101" s="633" t="s">
        <v>5254</v>
      </c>
      <c r="F1101" s="850">
        <v>7065</v>
      </c>
      <c r="G1101" s="850" t="s">
        <v>23</v>
      </c>
      <c r="H1101" s="851" t="s">
        <v>378</v>
      </c>
      <c r="I1101" s="633" t="s">
        <v>168</v>
      </c>
      <c r="J1101" s="632">
        <v>3</v>
      </c>
      <c r="K1101" s="618" t="s">
        <v>50</v>
      </c>
    </row>
    <row r="1102" spans="1:11">
      <c r="A1102" s="1163" t="s">
        <v>1646</v>
      </c>
      <c r="B1102" s="1163"/>
      <c r="C1102" s="1163"/>
      <c r="D1102" s="1163"/>
      <c r="E1102" s="1163"/>
      <c r="F1102" s="1163"/>
      <c r="G1102" s="1163"/>
      <c r="H1102" s="1163"/>
      <c r="I1102" s="1163"/>
      <c r="J1102" s="618">
        <f>SUM(J1094:J1101)</f>
        <v>21</v>
      </c>
      <c r="K1102" s="654"/>
    </row>
    <row r="1105" spans="1:11" ht="22.5">
      <c r="A1105" s="612" t="s">
        <v>43</v>
      </c>
      <c r="B1105" s="612" t="s">
        <v>1620</v>
      </c>
      <c r="C1105" s="613" t="s">
        <v>2</v>
      </c>
      <c r="D1105" s="613" t="s">
        <v>3</v>
      </c>
      <c r="E1105" s="613" t="s">
        <v>4</v>
      </c>
      <c r="F1105" s="613" t="s">
        <v>5</v>
      </c>
      <c r="G1105" s="613" t="s">
        <v>6</v>
      </c>
      <c r="H1105" s="614" t="s">
        <v>45</v>
      </c>
      <c r="I1105" s="613" t="s">
        <v>8</v>
      </c>
      <c r="J1105" s="615" t="s">
        <v>46</v>
      </c>
      <c r="K1105" s="616" t="s">
        <v>47</v>
      </c>
    </row>
    <row r="1106" spans="1:11">
      <c r="A1106" s="1164" t="s">
        <v>7347</v>
      </c>
      <c r="B1106" s="657">
        <v>46262</v>
      </c>
      <c r="C1106" s="862" t="s">
        <v>64</v>
      </c>
      <c r="D1106" s="862" t="s">
        <v>17</v>
      </c>
      <c r="E1106" s="870" t="s">
        <v>100</v>
      </c>
      <c r="F1106" s="870" t="s">
        <v>6666</v>
      </c>
      <c r="G1106" s="643" t="s">
        <v>207</v>
      </c>
      <c r="H1106" s="871" t="s">
        <v>6867</v>
      </c>
      <c r="I1106" s="870"/>
      <c r="J1106" s="871">
        <v>2</v>
      </c>
      <c r="K1106" s="618" t="s">
        <v>50</v>
      </c>
    </row>
    <row r="1107" spans="1:11">
      <c r="A1107" s="1165"/>
      <c r="B1107" s="657">
        <v>46262</v>
      </c>
      <c r="C1107" s="618" t="s">
        <v>21</v>
      </c>
      <c r="D1107" s="618" t="s">
        <v>14</v>
      </c>
      <c r="E1107" s="653" t="s">
        <v>6927</v>
      </c>
      <c r="F1107" s="653" t="s">
        <v>3589</v>
      </c>
      <c r="G1107" s="620" t="s">
        <v>6929</v>
      </c>
      <c r="H1107" s="865" t="s">
        <v>6930</v>
      </c>
      <c r="I1107" s="653" t="s">
        <v>202</v>
      </c>
      <c r="J1107" s="865">
        <v>2</v>
      </c>
      <c r="K1107" s="618" t="s">
        <v>50</v>
      </c>
    </row>
    <row r="1108" spans="1:11">
      <c r="A1108" s="1165"/>
      <c r="B1108" s="657">
        <v>46265</v>
      </c>
      <c r="C1108" s="862" t="s">
        <v>138</v>
      </c>
      <c r="D1108" s="862" t="s">
        <v>14</v>
      </c>
      <c r="E1108" s="870" t="s">
        <v>107</v>
      </c>
      <c r="F1108" s="870">
        <v>179</v>
      </c>
      <c r="G1108" s="643" t="s">
        <v>746</v>
      </c>
      <c r="H1108" s="871" t="s">
        <v>7008</v>
      </c>
      <c r="I1108" s="870" t="s">
        <v>126</v>
      </c>
      <c r="J1108" s="870">
        <v>1</v>
      </c>
      <c r="K1108" s="618" t="s">
        <v>50</v>
      </c>
    </row>
    <row r="1109" spans="1:11">
      <c r="A1109" s="1165"/>
      <c r="B1109" s="657">
        <v>46266</v>
      </c>
      <c r="C1109" s="862" t="s">
        <v>21</v>
      </c>
      <c r="D1109" s="862" t="s">
        <v>14</v>
      </c>
      <c r="E1109" s="870" t="s">
        <v>107</v>
      </c>
      <c r="F1109" s="870" t="s">
        <v>2959</v>
      </c>
      <c r="G1109" s="643" t="s">
        <v>1376</v>
      </c>
      <c r="H1109" s="871" t="s">
        <v>6949</v>
      </c>
      <c r="I1109" s="870" t="s">
        <v>1948</v>
      </c>
      <c r="J1109" s="870">
        <v>1</v>
      </c>
      <c r="K1109" s="618" t="s">
        <v>50</v>
      </c>
    </row>
    <row r="1110" spans="1:11">
      <c r="A1110" s="1165"/>
      <c r="B1110" s="657">
        <v>46267</v>
      </c>
      <c r="C1110" s="862" t="s">
        <v>21</v>
      </c>
      <c r="D1110" s="862" t="s">
        <v>14</v>
      </c>
      <c r="E1110" s="870" t="s">
        <v>107</v>
      </c>
      <c r="F1110" s="870" t="s">
        <v>2959</v>
      </c>
      <c r="G1110" s="643" t="s">
        <v>143</v>
      </c>
      <c r="H1110" s="871" t="s">
        <v>6949</v>
      </c>
      <c r="I1110" s="870"/>
      <c r="J1110" s="870">
        <v>3</v>
      </c>
      <c r="K1110" s="618" t="s">
        <v>50</v>
      </c>
    </row>
    <row r="1111" spans="1:11">
      <c r="A1111" s="1165"/>
      <c r="B1111" s="657">
        <v>46268</v>
      </c>
      <c r="C1111" s="862" t="s">
        <v>21</v>
      </c>
      <c r="D1111" s="862" t="s">
        <v>14</v>
      </c>
      <c r="E1111" s="870" t="s">
        <v>107</v>
      </c>
      <c r="F1111" s="870" t="s">
        <v>2959</v>
      </c>
      <c r="G1111" s="643" t="s">
        <v>1895</v>
      </c>
      <c r="H1111" s="871" t="s">
        <v>6949</v>
      </c>
      <c r="I1111" s="870"/>
      <c r="J1111" s="870">
        <v>3</v>
      </c>
      <c r="K1111" s="618" t="s">
        <v>50</v>
      </c>
    </row>
    <row r="1112" spans="1:11" ht="22.5">
      <c r="A1112" s="1165"/>
      <c r="B1112" s="657">
        <v>46269</v>
      </c>
      <c r="C1112" s="618" t="s">
        <v>21</v>
      </c>
      <c r="D1112" s="618" t="s">
        <v>14</v>
      </c>
      <c r="E1112" s="653" t="s">
        <v>1787</v>
      </c>
      <c r="F1112" s="653" t="s">
        <v>2978</v>
      </c>
      <c r="G1112" s="620" t="s">
        <v>23</v>
      </c>
      <c r="H1112" s="865" t="s">
        <v>7001</v>
      </c>
      <c r="I1112" s="653" t="s">
        <v>1948</v>
      </c>
      <c r="J1112" s="870">
        <v>3</v>
      </c>
      <c r="K1112" s="618" t="s">
        <v>50</v>
      </c>
    </row>
    <row r="1113" spans="1:11">
      <c r="A1113" s="1165"/>
      <c r="B1113" s="657">
        <v>46269</v>
      </c>
      <c r="C1113" s="618" t="s">
        <v>21</v>
      </c>
      <c r="D1113" s="618" t="s">
        <v>14</v>
      </c>
      <c r="E1113" s="653" t="s">
        <v>1787</v>
      </c>
      <c r="F1113" s="653" t="s">
        <v>2978</v>
      </c>
      <c r="G1113" s="620" t="s">
        <v>23</v>
      </c>
      <c r="H1113" s="865" t="s">
        <v>7076</v>
      </c>
      <c r="I1113" s="653"/>
      <c r="J1113" s="870">
        <v>3</v>
      </c>
      <c r="K1113" s="618" t="s">
        <v>50</v>
      </c>
    </row>
    <row r="1114" spans="1:11">
      <c r="A1114" s="1165"/>
      <c r="B1114" s="657">
        <v>46272</v>
      </c>
      <c r="C1114" s="862" t="s">
        <v>21</v>
      </c>
      <c r="D1114" s="862" t="s">
        <v>14</v>
      </c>
      <c r="E1114" s="870" t="s">
        <v>107</v>
      </c>
      <c r="F1114" s="870" t="s">
        <v>2959</v>
      </c>
      <c r="G1114" s="643" t="s">
        <v>143</v>
      </c>
      <c r="H1114" s="871" t="s">
        <v>6949</v>
      </c>
      <c r="I1114" s="870" t="s">
        <v>90</v>
      </c>
      <c r="J1114" s="870">
        <v>1</v>
      </c>
      <c r="K1114" s="618" t="s">
        <v>50</v>
      </c>
    </row>
    <row r="1115" spans="1:11">
      <c r="A1115" s="1165"/>
      <c r="B1115" s="657">
        <v>46273</v>
      </c>
      <c r="C1115" s="862" t="s">
        <v>21</v>
      </c>
      <c r="D1115" s="862" t="s">
        <v>14</v>
      </c>
      <c r="E1115" s="870" t="s">
        <v>107</v>
      </c>
      <c r="F1115" s="870" t="s">
        <v>2959</v>
      </c>
      <c r="G1115" s="643" t="s">
        <v>143</v>
      </c>
      <c r="H1115" s="871" t="s">
        <v>6949</v>
      </c>
      <c r="I1115" s="870" t="s">
        <v>90</v>
      </c>
      <c r="J1115" s="870">
        <v>1</v>
      </c>
      <c r="K1115" s="618" t="s">
        <v>50</v>
      </c>
    </row>
    <row r="1116" spans="1:11">
      <c r="A1116" s="1165"/>
      <c r="B1116" s="657">
        <v>46274</v>
      </c>
      <c r="C1116" s="862" t="s">
        <v>21</v>
      </c>
      <c r="D1116" s="862" t="s">
        <v>14</v>
      </c>
      <c r="E1116" s="870" t="s">
        <v>107</v>
      </c>
      <c r="F1116" s="870" t="s">
        <v>2959</v>
      </c>
      <c r="G1116" s="643" t="s">
        <v>376</v>
      </c>
      <c r="H1116" s="871" t="s">
        <v>7045</v>
      </c>
      <c r="I1116" s="870" t="s">
        <v>90</v>
      </c>
      <c r="J1116" s="870">
        <v>1</v>
      </c>
      <c r="K1116" s="618" t="s">
        <v>50</v>
      </c>
    </row>
    <row r="1117" spans="1:11">
      <c r="A1117" s="1165"/>
      <c r="B1117" s="657">
        <v>46276</v>
      </c>
      <c r="C1117" s="862" t="s">
        <v>21</v>
      </c>
      <c r="D1117" s="862" t="s">
        <v>14</v>
      </c>
      <c r="E1117" s="870" t="s">
        <v>1787</v>
      </c>
      <c r="F1117" s="870" t="s">
        <v>2978</v>
      </c>
      <c r="G1117" s="643" t="s">
        <v>23</v>
      </c>
      <c r="H1117" s="871" t="s">
        <v>5434</v>
      </c>
      <c r="I1117" s="870"/>
      <c r="J1117" s="870">
        <v>2</v>
      </c>
      <c r="K1117" s="618" t="s">
        <v>50</v>
      </c>
    </row>
    <row r="1118" spans="1:11">
      <c r="A1118" s="1165"/>
      <c r="B1118" s="657">
        <v>46279</v>
      </c>
      <c r="C1118" s="862" t="s">
        <v>64</v>
      </c>
      <c r="D1118" s="862" t="s">
        <v>14</v>
      </c>
      <c r="E1118" s="870" t="s">
        <v>107</v>
      </c>
      <c r="F1118" s="870" t="s">
        <v>3386</v>
      </c>
      <c r="G1118" s="643" t="s">
        <v>746</v>
      </c>
      <c r="H1118" s="871" t="s">
        <v>230</v>
      </c>
      <c r="I1118" s="870" t="s">
        <v>90</v>
      </c>
      <c r="J1118" s="870">
        <v>1</v>
      </c>
      <c r="K1118" s="618" t="s">
        <v>50</v>
      </c>
    </row>
    <row r="1119" spans="1:11">
      <c r="A1119" s="1165"/>
      <c r="B1119" s="657">
        <v>46282</v>
      </c>
      <c r="C1119" s="862" t="s">
        <v>21</v>
      </c>
      <c r="D1119" s="862" t="s">
        <v>14</v>
      </c>
      <c r="E1119" s="870" t="s">
        <v>1787</v>
      </c>
      <c r="F1119" s="870" t="s">
        <v>2978</v>
      </c>
      <c r="G1119" s="643" t="s">
        <v>67</v>
      </c>
      <c r="H1119" s="643" t="s">
        <v>7161</v>
      </c>
      <c r="I1119" s="870" t="s">
        <v>90</v>
      </c>
      <c r="J1119" s="870">
        <v>1</v>
      </c>
      <c r="K1119" s="618" t="s">
        <v>50</v>
      </c>
    </row>
    <row r="1120" spans="1:11" ht="22.5">
      <c r="A1120" s="1166"/>
      <c r="B1120" s="657">
        <v>46280</v>
      </c>
      <c r="C1120" s="862" t="s">
        <v>64</v>
      </c>
      <c r="D1120" s="862" t="s">
        <v>14</v>
      </c>
      <c r="E1120" s="870" t="s">
        <v>107</v>
      </c>
      <c r="F1120" s="870" t="s">
        <v>3386</v>
      </c>
      <c r="G1120" s="643" t="s">
        <v>263</v>
      </c>
      <c r="H1120" s="871" t="s">
        <v>7183</v>
      </c>
      <c r="I1120" s="870" t="s">
        <v>90</v>
      </c>
      <c r="J1120" s="870">
        <v>1</v>
      </c>
      <c r="K1120" s="618" t="s">
        <v>50</v>
      </c>
    </row>
    <row r="1121" spans="1:11">
      <c r="A1121" s="1163" t="s">
        <v>1646</v>
      </c>
      <c r="B1121" s="1163"/>
      <c r="C1121" s="1163"/>
      <c r="D1121" s="1163"/>
      <c r="E1121" s="1163"/>
      <c r="F1121" s="1163"/>
      <c r="G1121" s="1163"/>
      <c r="H1121" s="1163"/>
      <c r="I1121" s="1163"/>
      <c r="J1121" s="618">
        <f>SUM(J1106:J1120)</f>
        <v>26</v>
      </c>
      <c r="K1121" s="654"/>
    </row>
    <row r="1123" spans="1:11" ht="22.5">
      <c r="A1123" s="612" t="s">
        <v>43</v>
      </c>
      <c r="B1123" s="612" t="s">
        <v>1620</v>
      </c>
      <c r="C1123" s="613" t="s">
        <v>2</v>
      </c>
      <c r="D1123" s="613" t="s">
        <v>3</v>
      </c>
      <c r="E1123" s="613" t="s">
        <v>4</v>
      </c>
      <c r="F1123" s="613" t="s">
        <v>5</v>
      </c>
      <c r="G1123" s="613" t="s">
        <v>6</v>
      </c>
      <c r="H1123" s="614" t="s">
        <v>45</v>
      </c>
      <c r="I1123" s="613" t="s">
        <v>8</v>
      </c>
      <c r="J1123" s="615" t="s">
        <v>46</v>
      </c>
      <c r="K1123" s="616" t="s">
        <v>47</v>
      </c>
    </row>
    <row r="1124" spans="1:11">
      <c r="A1124" s="1167" t="s">
        <v>7350</v>
      </c>
      <c r="B1124" s="657" t="s">
        <v>6891</v>
      </c>
      <c r="C1124" s="620" t="s">
        <v>19</v>
      </c>
      <c r="D1124" s="865" t="s">
        <v>25</v>
      </c>
      <c r="E1124" s="653" t="s">
        <v>5254</v>
      </c>
      <c r="F1124" s="871">
        <v>2688</v>
      </c>
      <c r="G1124" s="871" t="s">
        <v>18</v>
      </c>
      <c r="H1124" s="865" t="s">
        <v>6890</v>
      </c>
      <c r="I1124" s="653" t="s">
        <v>168</v>
      </c>
      <c r="J1124" s="865">
        <v>3</v>
      </c>
      <c r="K1124" s="618" t="s">
        <v>50</v>
      </c>
    </row>
    <row r="1125" spans="1:11">
      <c r="A1125" s="1168"/>
      <c r="B1125" s="657" t="s">
        <v>6891</v>
      </c>
      <c r="C1125" s="620" t="s">
        <v>49</v>
      </c>
      <c r="D1125" s="865" t="s">
        <v>25</v>
      </c>
      <c r="E1125" s="653" t="s">
        <v>5254</v>
      </c>
      <c r="F1125" s="871">
        <v>7062</v>
      </c>
      <c r="G1125" s="871" t="s">
        <v>143</v>
      </c>
      <c r="H1125" s="865" t="s">
        <v>1105</v>
      </c>
      <c r="I1125" s="653" t="s">
        <v>1259</v>
      </c>
      <c r="J1125" s="865">
        <v>3</v>
      </c>
      <c r="K1125" s="618" t="s">
        <v>50</v>
      </c>
    </row>
    <row r="1126" spans="1:11">
      <c r="A1126" s="1168"/>
      <c r="B1126" s="657">
        <v>46263</v>
      </c>
      <c r="C1126" s="620" t="s">
        <v>6707</v>
      </c>
      <c r="D1126" s="865" t="s">
        <v>748</v>
      </c>
      <c r="E1126" s="653" t="s">
        <v>5254</v>
      </c>
      <c r="F1126" s="871" t="s">
        <v>5754</v>
      </c>
      <c r="G1126" s="871" t="s">
        <v>18</v>
      </c>
      <c r="H1126" s="865" t="s">
        <v>3402</v>
      </c>
      <c r="I1126" s="653" t="s">
        <v>1259</v>
      </c>
      <c r="J1126" s="865">
        <v>1</v>
      </c>
      <c r="K1126" s="618" t="s">
        <v>50</v>
      </c>
    </row>
    <row r="1127" spans="1:11">
      <c r="A1127" s="1168"/>
      <c r="B1127" s="657" t="s">
        <v>7021</v>
      </c>
      <c r="C1127" s="620" t="s">
        <v>6707</v>
      </c>
      <c r="D1127" s="865" t="s">
        <v>748</v>
      </c>
      <c r="E1127" s="653" t="s">
        <v>5254</v>
      </c>
      <c r="F1127" s="871" t="s">
        <v>5754</v>
      </c>
      <c r="G1127" s="871" t="s">
        <v>18</v>
      </c>
      <c r="H1127" s="865" t="s">
        <v>3402</v>
      </c>
      <c r="I1127" s="653" t="s">
        <v>1259</v>
      </c>
      <c r="J1127" s="865">
        <v>2</v>
      </c>
      <c r="K1127" s="618" t="s">
        <v>50</v>
      </c>
    </row>
    <row r="1128" spans="1:11">
      <c r="A1128" s="1168"/>
      <c r="B1128" s="657" t="s">
        <v>7022</v>
      </c>
      <c r="C1128" s="620" t="s">
        <v>6707</v>
      </c>
      <c r="D1128" s="865" t="s">
        <v>748</v>
      </c>
      <c r="E1128" s="653" t="s">
        <v>5254</v>
      </c>
      <c r="F1128" s="871" t="s">
        <v>6075</v>
      </c>
      <c r="G1128" s="871" t="s">
        <v>145</v>
      </c>
      <c r="H1128" s="865" t="s">
        <v>3402</v>
      </c>
      <c r="I1128" s="653" t="s">
        <v>1259</v>
      </c>
      <c r="J1128" s="865">
        <v>2</v>
      </c>
      <c r="K1128" s="618" t="s">
        <v>50</v>
      </c>
    </row>
    <row r="1129" spans="1:11">
      <c r="A1129" s="1168"/>
      <c r="B1129" s="657">
        <v>46270</v>
      </c>
      <c r="C1129" s="620" t="s">
        <v>6707</v>
      </c>
      <c r="D1129" s="865" t="s">
        <v>25</v>
      </c>
      <c r="E1129" s="653" t="s">
        <v>5254</v>
      </c>
      <c r="F1129" s="871" t="s">
        <v>6315</v>
      </c>
      <c r="G1129" s="871" t="s">
        <v>361</v>
      </c>
      <c r="H1129" s="865" t="s">
        <v>3402</v>
      </c>
      <c r="I1129" s="653" t="s">
        <v>4616</v>
      </c>
      <c r="J1129" s="865">
        <v>1</v>
      </c>
      <c r="K1129" s="618" t="s">
        <v>50</v>
      </c>
    </row>
    <row r="1130" spans="1:11">
      <c r="A1130" s="1168"/>
      <c r="B1130" s="657" t="s">
        <v>7079</v>
      </c>
      <c r="C1130" s="620" t="s">
        <v>6707</v>
      </c>
      <c r="D1130" s="865" t="s">
        <v>25</v>
      </c>
      <c r="E1130" s="653" t="s">
        <v>5254</v>
      </c>
      <c r="F1130" s="871" t="s">
        <v>6315</v>
      </c>
      <c r="G1130" s="871" t="s">
        <v>361</v>
      </c>
      <c r="H1130" s="865" t="s">
        <v>3402</v>
      </c>
      <c r="I1130" s="653" t="s">
        <v>4616</v>
      </c>
      <c r="J1130" s="865">
        <v>3</v>
      </c>
      <c r="K1130" s="618" t="s">
        <v>50</v>
      </c>
    </row>
    <row r="1131" spans="1:11">
      <c r="A1131" s="1168"/>
      <c r="B1131" s="657" t="s">
        <v>7082</v>
      </c>
      <c r="C1131" s="620" t="s">
        <v>6707</v>
      </c>
      <c r="D1131" s="865" t="s">
        <v>25</v>
      </c>
      <c r="E1131" s="653" t="s">
        <v>5254</v>
      </c>
      <c r="F1131" s="871" t="s">
        <v>6315</v>
      </c>
      <c r="G1131" s="871" t="s">
        <v>264</v>
      </c>
      <c r="H1131" s="865" t="s">
        <v>3402</v>
      </c>
      <c r="I1131" s="653" t="s">
        <v>4616</v>
      </c>
      <c r="J1131" s="865">
        <v>2</v>
      </c>
      <c r="K1131" s="618" t="s">
        <v>50</v>
      </c>
    </row>
    <row r="1132" spans="1:11">
      <c r="A1132" s="1168"/>
      <c r="B1132" s="657" t="s">
        <v>7089</v>
      </c>
      <c r="C1132" s="620" t="s">
        <v>6707</v>
      </c>
      <c r="D1132" s="865" t="s">
        <v>25</v>
      </c>
      <c r="E1132" s="653" t="s">
        <v>5254</v>
      </c>
      <c r="F1132" s="871" t="s">
        <v>5754</v>
      </c>
      <c r="G1132" s="871" t="s">
        <v>18</v>
      </c>
      <c r="H1132" s="865" t="s">
        <v>216</v>
      </c>
      <c r="I1132" s="653" t="s">
        <v>168</v>
      </c>
      <c r="J1132" s="865">
        <v>4</v>
      </c>
      <c r="K1132" s="618" t="s">
        <v>50</v>
      </c>
    </row>
    <row r="1133" spans="1:11">
      <c r="A1133" s="1168"/>
      <c r="B1133" s="657">
        <v>46277</v>
      </c>
      <c r="C1133" s="620" t="s">
        <v>6707</v>
      </c>
      <c r="D1133" s="865" t="s">
        <v>25</v>
      </c>
      <c r="E1133" s="653" t="s">
        <v>5254</v>
      </c>
      <c r="F1133" s="871" t="s">
        <v>6075</v>
      </c>
      <c r="G1133" s="871" t="s">
        <v>145</v>
      </c>
      <c r="H1133" s="865" t="s">
        <v>1105</v>
      </c>
      <c r="I1133" s="653" t="s">
        <v>1259</v>
      </c>
      <c r="J1133" s="865">
        <v>1</v>
      </c>
      <c r="K1133" s="618" t="s">
        <v>50</v>
      </c>
    </row>
    <row r="1134" spans="1:11">
      <c r="A1134" s="1168"/>
      <c r="B1134" s="657" t="s">
        <v>7169</v>
      </c>
      <c r="C1134" s="620" t="s">
        <v>6707</v>
      </c>
      <c r="D1134" s="865" t="s">
        <v>25</v>
      </c>
      <c r="E1134" s="653" t="s">
        <v>5254</v>
      </c>
      <c r="F1134" s="871" t="s">
        <v>6075</v>
      </c>
      <c r="G1134" s="871" t="s">
        <v>145</v>
      </c>
      <c r="H1134" s="865" t="s">
        <v>1105</v>
      </c>
      <c r="I1134" s="653" t="s">
        <v>1259</v>
      </c>
      <c r="J1134" s="865">
        <v>2</v>
      </c>
      <c r="K1134" s="618" t="s">
        <v>50</v>
      </c>
    </row>
    <row r="1135" spans="1:11">
      <c r="A1135" s="1168"/>
      <c r="B1135" s="657">
        <v>46281</v>
      </c>
      <c r="C1135" s="620" t="s">
        <v>6707</v>
      </c>
      <c r="D1135" s="865" t="s">
        <v>25</v>
      </c>
      <c r="E1135" s="653" t="s">
        <v>5254</v>
      </c>
      <c r="F1135" s="871" t="s">
        <v>6315</v>
      </c>
      <c r="G1135" s="871" t="s">
        <v>361</v>
      </c>
      <c r="H1135" s="865" t="s">
        <v>6316</v>
      </c>
      <c r="I1135" s="653" t="s">
        <v>1259</v>
      </c>
      <c r="J1135" s="865">
        <v>1</v>
      </c>
      <c r="K1135" s="618" t="s">
        <v>50</v>
      </c>
    </row>
    <row r="1136" spans="1:11">
      <c r="A1136" s="1168"/>
      <c r="B1136" s="657" t="s">
        <v>7172</v>
      </c>
      <c r="C1136" s="620" t="s">
        <v>6707</v>
      </c>
      <c r="D1136" s="865" t="s">
        <v>25</v>
      </c>
      <c r="E1136" s="653" t="s">
        <v>5254</v>
      </c>
      <c r="F1136" s="871" t="s">
        <v>6315</v>
      </c>
      <c r="G1136" s="871" t="s">
        <v>264</v>
      </c>
      <c r="H1136" s="865" t="s">
        <v>6316</v>
      </c>
      <c r="I1136" s="653" t="s">
        <v>1259</v>
      </c>
      <c r="J1136" s="865">
        <v>2</v>
      </c>
      <c r="K1136" s="618" t="s">
        <v>50</v>
      </c>
    </row>
    <row r="1137" spans="1:11">
      <c r="A1137" s="1168"/>
      <c r="B1137" s="657" t="s">
        <v>7171</v>
      </c>
      <c r="C1137" s="620" t="s">
        <v>6707</v>
      </c>
      <c r="D1137" s="865" t="s">
        <v>25</v>
      </c>
      <c r="E1137" s="653" t="s">
        <v>5254</v>
      </c>
      <c r="F1137" s="871" t="s">
        <v>5754</v>
      </c>
      <c r="G1137" s="871" t="s">
        <v>18</v>
      </c>
      <c r="H1137" s="865" t="s">
        <v>216</v>
      </c>
      <c r="I1137" s="653" t="s">
        <v>168</v>
      </c>
      <c r="J1137" s="865">
        <v>3</v>
      </c>
      <c r="K1137" s="618" t="s">
        <v>50</v>
      </c>
    </row>
    <row r="1138" spans="1:11">
      <c r="A1138" s="1168"/>
      <c r="B1138" s="657" t="s">
        <v>7172</v>
      </c>
      <c r="C1138" s="620" t="s">
        <v>6707</v>
      </c>
      <c r="D1138" s="865" t="s">
        <v>25</v>
      </c>
      <c r="E1138" s="653" t="s">
        <v>5254</v>
      </c>
      <c r="F1138" s="871">
        <v>7065</v>
      </c>
      <c r="G1138" s="871" t="s">
        <v>6889</v>
      </c>
      <c r="H1138" s="865" t="s">
        <v>7174</v>
      </c>
      <c r="I1138" s="653" t="s">
        <v>168</v>
      </c>
      <c r="J1138" s="865">
        <v>2</v>
      </c>
      <c r="K1138" s="618" t="s">
        <v>50</v>
      </c>
    </row>
    <row r="1139" spans="1:11">
      <c r="A1139" s="1168"/>
      <c r="B1139" s="657">
        <v>46284</v>
      </c>
      <c r="C1139" s="620" t="s">
        <v>6707</v>
      </c>
      <c r="D1139" s="865" t="s">
        <v>25</v>
      </c>
      <c r="E1139" s="653" t="s">
        <v>5254</v>
      </c>
      <c r="F1139" s="871">
        <v>7065</v>
      </c>
      <c r="G1139" s="871" t="s">
        <v>7018</v>
      </c>
      <c r="H1139" s="865" t="s">
        <v>7222</v>
      </c>
      <c r="I1139" s="653" t="s">
        <v>168</v>
      </c>
      <c r="J1139" s="865">
        <v>2</v>
      </c>
      <c r="K1139" s="618" t="s">
        <v>50</v>
      </c>
    </row>
    <row r="1140" spans="1:11">
      <c r="A1140" s="1168"/>
      <c r="B1140" s="657" t="s">
        <v>7230</v>
      </c>
      <c r="C1140" s="620" t="s">
        <v>6707</v>
      </c>
      <c r="D1140" s="865" t="s">
        <v>25</v>
      </c>
      <c r="E1140" s="653" t="s">
        <v>5254</v>
      </c>
      <c r="F1140" s="871">
        <v>7065</v>
      </c>
      <c r="G1140" s="871" t="s">
        <v>1895</v>
      </c>
      <c r="H1140" s="865" t="s">
        <v>378</v>
      </c>
      <c r="I1140" s="653" t="s">
        <v>7351</v>
      </c>
      <c r="J1140" s="865">
        <v>3</v>
      </c>
      <c r="K1140" s="618" t="s">
        <v>50</v>
      </c>
    </row>
    <row r="1141" spans="1:11">
      <c r="A1141" s="1169"/>
      <c r="B1141" s="657" t="s">
        <v>7230</v>
      </c>
      <c r="C1141" s="620" t="s">
        <v>6707</v>
      </c>
      <c r="D1141" s="865" t="s">
        <v>25</v>
      </c>
      <c r="E1141" s="653" t="s">
        <v>5254</v>
      </c>
      <c r="F1141" s="871" t="s">
        <v>6315</v>
      </c>
      <c r="G1141" s="871" t="s">
        <v>762</v>
      </c>
      <c r="H1141" s="865" t="s">
        <v>3402</v>
      </c>
      <c r="I1141" s="653" t="s">
        <v>7352</v>
      </c>
      <c r="J1141" s="865">
        <v>3</v>
      </c>
      <c r="K1141" s="618" t="s">
        <v>50</v>
      </c>
    </row>
    <row r="1142" spans="1:11">
      <c r="A1142" s="1163" t="s">
        <v>1646</v>
      </c>
      <c r="B1142" s="1163"/>
      <c r="C1142" s="1163"/>
      <c r="D1142" s="1163"/>
      <c r="E1142" s="1163"/>
      <c r="F1142" s="1163"/>
      <c r="G1142" s="1163"/>
      <c r="H1142" s="1163"/>
      <c r="I1142" s="1163"/>
      <c r="J1142" s="865">
        <f>SUM(J1124:J1141)</f>
        <v>40</v>
      </c>
      <c r="K1142" s="654"/>
    </row>
  </sheetData>
  <autoFilter ref="A349:L357"/>
  <mergeCells count="378">
    <mergeCell ref="A1064:I1064"/>
    <mergeCell ref="A1060:A1063"/>
    <mergeCell ref="A930:I930"/>
    <mergeCell ref="A925:A929"/>
    <mergeCell ref="A944:I944"/>
    <mergeCell ref="A933:A943"/>
    <mergeCell ref="A845:A852"/>
    <mergeCell ref="A853:I853"/>
    <mergeCell ref="A876:I876"/>
    <mergeCell ref="A856:A875"/>
    <mergeCell ref="A880:A886"/>
    <mergeCell ref="A887:I887"/>
    <mergeCell ref="A904:I904"/>
    <mergeCell ref="A893:A903"/>
    <mergeCell ref="A952:I952"/>
    <mergeCell ref="A948:A951"/>
    <mergeCell ref="A956:I956"/>
    <mergeCell ref="A964:I964"/>
    <mergeCell ref="A960:A963"/>
    <mergeCell ref="A976:I976"/>
    <mergeCell ref="A967:A975"/>
    <mergeCell ref="A1039:A1044"/>
    <mergeCell ref="A1056:I1056"/>
    <mergeCell ref="A1050:A1055"/>
    <mergeCell ref="A806:A811"/>
    <mergeCell ref="A819:I819"/>
    <mergeCell ref="A817:A818"/>
    <mergeCell ref="A834:I834"/>
    <mergeCell ref="A841:I841"/>
    <mergeCell ref="A824:A833"/>
    <mergeCell ref="A838:A840"/>
    <mergeCell ref="A908:A918"/>
    <mergeCell ref="A919:I919"/>
    <mergeCell ref="J494:J495"/>
    <mergeCell ref="A493:A499"/>
    <mergeCell ref="B494:B495"/>
    <mergeCell ref="A479:I479"/>
    <mergeCell ref="A482:A486"/>
    <mergeCell ref="A487:I487"/>
    <mergeCell ref="A500:I500"/>
    <mergeCell ref="C494:C495"/>
    <mergeCell ref="D494:D495"/>
    <mergeCell ref="E494:E495"/>
    <mergeCell ref="F494:F495"/>
    <mergeCell ref="G494:G495"/>
    <mergeCell ref="H494:H495"/>
    <mergeCell ref="I494:I495"/>
    <mergeCell ref="J468:J469"/>
    <mergeCell ref="K468:K469"/>
    <mergeCell ref="L468:L469"/>
    <mergeCell ref="A472:I472"/>
    <mergeCell ref="A476:A478"/>
    <mergeCell ref="B476:B477"/>
    <mergeCell ref="C476:C477"/>
    <mergeCell ref="D476:D477"/>
    <mergeCell ref="E476:E477"/>
    <mergeCell ref="F476:F477"/>
    <mergeCell ref="G476:G477"/>
    <mergeCell ref="I476:I477"/>
    <mergeCell ref="J476:J477"/>
    <mergeCell ref="K476:K477"/>
    <mergeCell ref="L476:L477"/>
    <mergeCell ref="J463:J464"/>
    <mergeCell ref="K463:K464"/>
    <mergeCell ref="L463:L464"/>
    <mergeCell ref="B465:B466"/>
    <mergeCell ref="C465:C466"/>
    <mergeCell ref="D465:D466"/>
    <mergeCell ref="E465:E466"/>
    <mergeCell ref="F465:F466"/>
    <mergeCell ref="G465:G466"/>
    <mergeCell ref="H465:H466"/>
    <mergeCell ref="I465:I466"/>
    <mergeCell ref="J465:J466"/>
    <mergeCell ref="K465:K466"/>
    <mergeCell ref="L465:L466"/>
    <mergeCell ref="A450:I450"/>
    <mergeCell ref="A456:A458"/>
    <mergeCell ref="A459:I459"/>
    <mergeCell ref="A462:A471"/>
    <mergeCell ref="B463:B464"/>
    <mergeCell ref="C463:C464"/>
    <mergeCell ref="D463:D464"/>
    <mergeCell ref="E463:E464"/>
    <mergeCell ref="F463:F464"/>
    <mergeCell ref="G463:G464"/>
    <mergeCell ref="I463:I464"/>
    <mergeCell ref="B468:B469"/>
    <mergeCell ref="C468:C469"/>
    <mergeCell ref="D468:D469"/>
    <mergeCell ref="E468:E469"/>
    <mergeCell ref="F468:F469"/>
    <mergeCell ref="G468:G469"/>
    <mergeCell ref="I468:I469"/>
    <mergeCell ref="J438:J439"/>
    <mergeCell ref="K438:K439"/>
    <mergeCell ref="L438:L439"/>
    <mergeCell ref="C440:C441"/>
    <mergeCell ref="D440:D441"/>
    <mergeCell ref="E440:E441"/>
    <mergeCell ref="F440:F441"/>
    <mergeCell ref="G440:G441"/>
    <mergeCell ref="H440:H441"/>
    <mergeCell ref="I440:I441"/>
    <mergeCell ref="J440:J441"/>
    <mergeCell ref="K440:K441"/>
    <mergeCell ref="L440:L441"/>
    <mergeCell ref="A423:I423"/>
    <mergeCell ref="A427:A430"/>
    <mergeCell ref="A431:I431"/>
    <mergeCell ref="A433:A434"/>
    <mergeCell ref="A435:I435"/>
    <mergeCell ref="A438:A449"/>
    <mergeCell ref="C438:C439"/>
    <mergeCell ref="D438:D439"/>
    <mergeCell ref="E438:E439"/>
    <mergeCell ref="F438:F439"/>
    <mergeCell ref="G438:G439"/>
    <mergeCell ref="H438:H439"/>
    <mergeCell ref="I438:I439"/>
    <mergeCell ref="J418:J419"/>
    <mergeCell ref="K418:K419"/>
    <mergeCell ref="L418:L419"/>
    <mergeCell ref="C420:C421"/>
    <mergeCell ref="D420:D421"/>
    <mergeCell ref="E420:E421"/>
    <mergeCell ref="F420:F421"/>
    <mergeCell ref="G420:G421"/>
    <mergeCell ref="H420:H421"/>
    <mergeCell ref="I420:I421"/>
    <mergeCell ref="J420:J421"/>
    <mergeCell ref="K420:K421"/>
    <mergeCell ref="L420:L421"/>
    <mergeCell ref="A414:I414"/>
    <mergeCell ref="A417:A422"/>
    <mergeCell ref="C418:C419"/>
    <mergeCell ref="D418:D419"/>
    <mergeCell ref="E418:E419"/>
    <mergeCell ref="F418:F419"/>
    <mergeCell ref="G418:G419"/>
    <mergeCell ref="H418:H419"/>
    <mergeCell ref="I418:I419"/>
    <mergeCell ref="J405:J406"/>
    <mergeCell ref="K405:K406"/>
    <mergeCell ref="L405:L406"/>
    <mergeCell ref="A409:I409"/>
    <mergeCell ref="A412:A413"/>
    <mergeCell ref="B412:B413"/>
    <mergeCell ref="C412:C413"/>
    <mergeCell ref="D412:D413"/>
    <mergeCell ref="E412:E413"/>
    <mergeCell ref="F412:F413"/>
    <mergeCell ref="G412:G413"/>
    <mergeCell ref="H412:H413"/>
    <mergeCell ref="I412:I413"/>
    <mergeCell ref="J412:J413"/>
    <mergeCell ref="K412:K413"/>
    <mergeCell ref="L412:L413"/>
    <mergeCell ref="A397:A400"/>
    <mergeCell ref="A401:I401"/>
    <mergeCell ref="A405:A408"/>
    <mergeCell ref="B405:B406"/>
    <mergeCell ref="C405:C406"/>
    <mergeCell ref="D405:D406"/>
    <mergeCell ref="E405:E406"/>
    <mergeCell ref="F405:F406"/>
    <mergeCell ref="G405:G406"/>
    <mergeCell ref="H405:H406"/>
    <mergeCell ref="I405:I406"/>
    <mergeCell ref="L381:L382"/>
    <mergeCell ref="B381:B382"/>
    <mergeCell ref="C381:C382"/>
    <mergeCell ref="D381:D382"/>
    <mergeCell ref="F381:F382"/>
    <mergeCell ref="G381:G382"/>
    <mergeCell ref="H381:H382"/>
    <mergeCell ref="I381:I382"/>
    <mergeCell ref="J381:J382"/>
    <mergeCell ref="K381:K382"/>
    <mergeCell ref="A373:A377"/>
    <mergeCell ref="A378:J378"/>
    <mergeCell ref="A112:I112"/>
    <mergeCell ref="A64:I64"/>
    <mergeCell ref="A70:I70"/>
    <mergeCell ref="A92:I92"/>
    <mergeCell ref="A97:A100"/>
    <mergeCell ref="A101:I101"/>
    <mergeCell ref="A76:A77"/>
    <mergeCell ref="A78:I78"/>
    <mergeCell ref="A82:A85"/>
    <mergeCell ref="A86:I86"/>
    <mergeCell ref="B107:B108"/>
    <mergeCell ref="A106:A111"/>
    <mergeCell ref="A68:A69"/>
    <mergeCell ref="A220:A225"/>
    <mergeCell ref="A226:I226"/>
    <mergeCell ref="A229:A235"/>
    <mergeCell ref="A236:I236"/>
    <mergeCell ref="A183:I183"/>
    <mergeCell ref="A173:A182"/>
    <mergeCell ref="A203:I203"/>
    <mergeCell ref="A207:A213"/>
    <mergeCell ref="A214:I214"/>
    <mergeCell ref="I129:I130"/>
    <mergeCell ref="A5:A20"/>
    <mergeCell ref="A48:I48"/>
    <mergeCell ref="A54:I54"/>
    <mergeCell ref="A35:I35"/>
    <mergeCell ref="A30:A34"/>
    <mergeCell ref="A42:I42"/>
    <mergeCell ref="A21:I21"/>
    <mergeCell ref="A26:I26"/>
    <mergeCell ref="A39:A41"/>
    <mergeCell ref="A52:A53"/>
    <mergeCell ref="A271:I271"/>
    <mergeCell ref="H266:H268"/>
    <mergeCell ref="A265:A270"/>
    <mergeCell ref="B61:B63"/>
    <mergeCell ref="A58:A63"/>
    <mergeCell ref="J129:J130"/>
    <mergeCell ref="B133:B134"/>
    <mergeCell ref="J133:J134"/>
    <mergeCell ref="I133:I134"/>
    <mergeCell ref="A167:I167"/>
    <mergeCell ref="A142:A144"/>
    <mergeCell ref="B142:B143"/>
    <mergeCell ref="A126:A136"/>
    <mergeCell ref="A149:A153"/>
    <mergeCell ref="B129:B130"/>
    <mergeCell ref="A137:I137"/>
    <mergeCell ref="A145:I145"/>
    <mergeCell ref="B150:B151"/>
    <mergeCell ref="A163:I163"/>
    <mergeCell ref="A154:I154"/>
    <mergeCell ref="A158:A162"/>
    <mergeCell ref="B119:B120"/>
    <mergeCell ref="A121:I121"/>
    <mergeCell ref="A119:A120"/>
    <mergeCell ref="A314:I314"/>
    <mergeCell ref="A318:A320"/>
    <mergeCell ref="A321:I321"/>
    <mergeCell ref="B189:B190"/>
    <mergeCell ref="B191:B192"/>
    <mergeCell ref="A199:A202"/>
    <mergeCell ref="A189:A192"/>
    <mergeCell ref="A193:I193"/>
    <mergeCell ref="A301:A304"/>
    <mergeCell ref="A305:I305"/>
    <mergeCell ref="A309:I309"/>
    <mergeCell ref="A312:A313"/>
    <mergeCell ref="A257:I257"/>
    <mergeCell ref="A240:A243"/>
    <mergeCell ref="A244:I244"/>
    <mergeCell ref="A247:A249"/>
    <mergeCell ref="A250:I250"/>
    <mergeCell ref="A253:A256"/>
    <mergeCell ref="A279:A283"/>
    <mergeCell ref="A288:A295"/>
    <mergeCell ref="A296:I296"/>
    <mergeCell ref="A275:I275"/>
    <mergeCell ref="A260:A261"/>
    <mergeCell ref="A262:I262"/>
    <mergeCell ref="A343:A346"/>
    <mergeCell ref="C343:C344"/>
    <mergeCell ref="D343:D344"/>
    <mergeCell ref="E343:E344"/>
    <mergeCell ref="F343:F344"/>
    <mergeCell ref="A325:A329"/>
    <mergeCell ref="A330:I330"/>
    <mergeCell ref="A333:A337"/>
    <mergeCell ref="A338:I338"/>
    <mergeCell ref="K494:K495"/>
    <mergeCell ref="A394:I394"/>
    <mergeCell ref="A364:A369"/>
    <mergeCell ref="A370:I370"/>
    <mergeCell ref="A347:I347"/>
    <mergeCell ref="A350:A356"/>
    <mergeCell ref="A357:I357"/>
    <mergeCell ref="A361:I361"/>
    <mergeCell ref="L343:L344"/>
    <mergeCell ref="C345:C346"/>
    <mergeCell ref="D345:D346"/>
    <mergeCell ref="E345:E346"/>
    <mergeCell ref="F345:F346"/>
    <mergeCell ref="G345:G346"/>
    <mergeCell ref="H345:H346"/>
    <mergeCell ref="I345:I346"/>
    <mergeCell ref="J345:J346"/>
    <mergeCell ref="K345:K346"/>
    <mergeCell ref="L345:L346"/>
    <mergeCell ref="G343:G344"/>
    <mergeCell ref="H343:H344"/>
    <mergeCell ref="I343:I344"/>
    <mergeCell ref="J343:J344"/>
    <mergeCell ref="K343:K344"/>
    <mergeCell ref="A506:A510"/>
    <mergeCell ref="A511:I511"/>
    <mergeCell ref="A515:A521"/>
    <mergeCell ref="A522:I522"/>
    <mergeCell ref="A528:I528"/>
    <mergeCell ref="A532:A534"/>
    <mergeCell ref="A535:I535"/>
    <mergeCell ref="A540:I540"/>
    <mergeCell ref="A544:A545"/>
    <mergeCell ref="A688:I688"/>
    <mergeCell ref="A686:A687"/>
    <mergeCell ref="A699:I699"/>
    <mergeCell ref="K569:K570"/>
    <mergeCell ref="A546:I546"/>
    <mergeCell ref="A550:I550"/>
    <mergeCell ref="A554:A564"/>
    <mergeCell ref="A565:I565"/>
    <mergeCell ref="C569:C570"/>
    <mergeCell ref="D569:D570"/>
    <mergeCell ref="E569:E570"/>
    <mergeCell ref="F569:F570"/>
    <mergeCell ref="G569:G570"/>
    <mergeCell ref="H569:H570"/>
    <mergeCell ref="I569:I570"/>
    <mergeCell ref="A692:A698"/>
    <mergeCell ref="A633:A646"/>
    <mergeCell ref="A649:A654"/>
    <mergeCell ref="A655:I655"/>
    <mergeCell ref="A660:A673"/>
    <mergeCell ref="A674:I674"/>
    <mergeCell ref="A677:A680"/>
    <mergeCell ref="A681:I681"/>
    <mergeCell ref="J569:J570"/>
    <mergeCell ref="A613:I613"/>
    <mergeCell ref="A617:A626"/>
    <mergeCell ref="A627:I627"/>
    <mergeCell ref="A575:A581"/>
    <mergeCell ref="A582:I582"/>
    <mergeCell ref="A586:A587"/>
    <mergeCell ref="A588:I588"/>
    <mergeCell ref="A592:I592"/>
    <mergeCell ref="A595:A600"/>
    <mergeCell ref="A601:I601"/>
    <mergeCell ref="A606:I606"/>
    <mergeCell ref="A610:A612"/>
    <mergeCell ref="A703:A716"/>
    <mergeCell ref="A717:I717"/>
    <mergeCell ref="A778:I778"/>
    <mergeCell ref="A773:A777"/>
    <mergeCell ref="A790:I790"/>
    <mergeCell ref="A782:A789"/>
    <mergeCell ref="A731:I731"/>
    <mergeCell ref="A723:A730"/>
    <mergeCell ref="A749:I749"/>
    <mergeCell ref="A736:A748"/>
    <mergeCell ref="A762:I762"/>
    <mergeCell ref="A753:A761"/>
    <mergeCell ref="A770:I770"/>
    <mergeCell ref="A765:A769"/>
    <mergeCell ref="A794:A801"/>
    <mergeCell ref="A802:I802"/>
    <mergeCell ref="A812:I812"/>
    <mergeCell ref="A1121:I1121"/>
    <mergeCell ref="A1106:A1120"/>
    <mergeCell ref="A1142:I1142"/>
    <mergeCell ref="A1124:A1141"/>
    <mergeCell ref="A982:I982"/>
    <mergeCell ref="A979:A981"/>
    <mergeCell ref="A989:I989"/>
    <mergeCell ref="A987:A988"/>
    <mergeCell ref="A1003:I1003"/>
    <mergeCell ref="A994:A1002"/>
    <mergeCell ref="A1018:I1018"/>
    <mergeCell ref="A1007:A1017"/>
    <mergeCell ref="A1102:I1102"/>
    <mergeCell ref="A1096:A1101"/>
    <mergeCell ref="A1082:I1082"/>
    <mergeCell ref="A1068:A1081"/>
    <mergeCell ref="A1090:I1090"/>
    <mergeCell ref="A1086:A1089"/>
    <mergeCell ref="A1032:I1032"/>
    <mergeCell ref="A1023:A1031"/>
    <mergeCell ref="A1045:I1045"/>
  </mergeCells>
  <phoneticPr fontId="2" type="noConversion"/>
  <pageMargins left="0.7" right="0.7" top="0.75" bottom="0.75" header="0.3" footer="0.3"/>
  <pageSetup paperSize="9" scale="10" orientation="landscape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4:M26"/>
  <sheetViews>
    <sheetView topLeftCell="A7" workbookViewId="0">
      <selection activeCell="A23" sqref="A23:C26"/>
    </sheetView>
  </sheetViews>
  <sheetFormatPr defaultRowHeight="16.5"/>
  <cols>
    <col min="1" max="1" width="9.625" bestFit="1" customWidth="1"/>
    <col min="2" max="2" width="11" bestFit="1" customWidth="1"/>
    <col min="3" max="3" width="19.25" customWidth="1"/>
    <col min="4" max="4" width="14.375" customWidth="1"/>
    <col min="8" max="8" width="11.875" customWidth="1"/>
    <col min="9" max="9" width="13.625" customWidth="1"/>
    <col min="10" max="10" width="9.375" bestFit="1" customWidth="1"/>
    <col min="11" max="11" width="9.375" customWidth="1"/>
    <col min="12" max="12" width="10.875" bestFit="1" customWidth="1"/>
    <col min="13" max="13" width="32.5" customWidth="1"/>
  </cols>
  <sheetData>
    <row r="4" spans="2:13">
      <c r="C4" t="s">
        <v>5371</v>
      </c>
      <c r="D4" t="s">
        <v>5372</v>
      </c>
    </row>
    <row r="5" spans="2:13">
      <c r="B5" t="s">
        <v>5367</v>
      </c>
      <c r="C5" s="109">
        <v>160000</v>
      </c>
      <c r="D5" s="109"/>
    </row>
    <row r="6" spans="2:13">
      <c r="B6" t="s">
        <v>5368</v>
      </c>
      <c r="C6" s="109">
        <f>59500*2</f>
        <v>119000</v>
      </c>
      <c r="D6" s="109">
        <f>186000*2</f>
        <v>372000</v>
      </c>
      <c r="H6" t="s">
        <v>5387</v>
      </c>
    </row>
    <row r="7" spans="2:13">
      <c r="B7" t="s">
        <v>5369</v>
      </c>
      <c r="C7" s="109">
        <v>250000</v>
      </c>
      <c r="D7" s="109"/>
      <c r="H7" s="55" t="s">
        <v>162</v>
      </c>
      <c r="I7" s="55" t="s">
        <v>5376</v>
      </c>
      <c r="J7" s="55" t="s">
        <v>5377</v>
      </c>
      <c r="K7" s="55" t="s">
        <v>5383</v>
      </c>
      <c r="L7" s="55" t="s">
        <v>1458</v>
      </c>
      <c r="M7" s="55" t="s">
        <v>3320</v>
      </c>
    </row>
    <row r="8" spans="2:13">
      <c r="B8" t="s">
        <v>5370</v>
      </c>
      <c r="C8" s="109">
        <v>500000</v>
      </c>
      <c r="D8" s="109"/>
      <c r="H8" s="55" t="s">
        <v>5379</v>
      </c>
      <c r="I8" s="373">
        <f>C6+D6</f>
        <v>491000</v>
      </c>
      <c r="J8" s="373">
        <f>(C5*2)+60000</f>
        <v>380000</v>
      </c>
      <c r="K8" s="373"/>
      <c r="L8" s="373">
        <f>SUM(I8:J8)</f>
        <v>871000</v>
      </c>
      <c r="M8" s="55" t="s">
        <v>5392</v>
      </c>
    </row>
    <row r="9" spans="2:13">
      <c r="C9" s="109"/>
      <c r="D9" s="109"/>
      <c r="H9" s="55" t="s">
        <v>5380</v>
      </c>
      <c r="I9" s="373">
        <f>70000*2</f>
        <v>140000</v>
      </c>
      <c r="J9" s="373"/>
      <c r="K9" s="373"/>
      <c r="L9" s="373">
        <f>SUM(I9:J9)</f>
        <v>140000</v>
      </c>
      <c r="M9" s="55" t="s">
        <v>5391</v>
      </c>
    </row>
    <row r="10" spans="2:13">
      <c r="C10" s="109"/>
      <c r="D10" s="109"/>
      <c r="H10" s="55" t="s">
        <v>5373</v>
      </c>
      <c r="I10" s="558">
        <f>250000*6</f>
        <v>1500000</v>
      </c>
      <c r="J10" s="558"/>
      <c r="K10" s="558">
        <f>46875*13</f>
        <v>609375</v>
      </c>
      <c r="L10" s="373">
        <f>SUM(I10:K10)</f>
        <v>2109375</v>
      </c>
      <c r="M10" s="55" t="s">
        <v>5393</v>
      </c>
    </row>
    <row r="11" spans="2:13">
      <c r="C11" s="109"/>
      <c r="D11" s="109"/>
      <c r="H11" s="55" t="s">
        <v>5374</v>
      </c>
      <c r="I11" s="373">
        <v>550000</v>
      </c>
      <c r="J11" s="55"/>
      <c r="K11" s="558"/>
      <c r="L11" s="373">
        <f>SUM(I11:J11)</f>
        <v>550000</v>
      </c>
      <c r="M11" s="55" t="s">
        <v>5375</v>
      </c>
    </row>
    <row r="12" spans="2:13">
      <c r="C12" s="109"/>
      <c r="D12" s="109"/>
      <c r="H12" s="953" t="s">
        <v>5385</v>
      </c>
      <c r="I12" s="953"/>
      <c r="J12" s="953"/>
      <c r="K12" s="953"/>
      <c r="L12" s="559">
        <f>SUM(L8:L11)</f>
        <v>3670375</v>
      </c>
    </row>
    <row r="13" spans="2:13">
      <c r="C13" s="109"/>
      <c r="D13" s="109"/>
    </row>
    <row r="14" spans="2:13">
      <c r="C14" s="109"/>
      <c r="D14" s="109"/>
      <c r="H14" t="s">
        <v>5388</v>
      </c>
    </row>
    <row r="15" spans="2:13">
      <c r="H15" s="55" t="s">
        <v>162</v>
      </c>
      <c r="I15" s="55" t="s">
        <v>5376</v>
      </c>
      <c r="J15" s="55" t="s">
        <v>5377</v>
      </c>
      <c r="K15" s="55" t="s">
        <v>5384</v>
      </c>
      <c r="L15" s="55" t="s">
        <v>1458</v>
      </c>
      <c r="M15" s="55" t="s">
        <v>3320</v>
      </c>
    </row>
    <row r="16" spans="2:13">
      <c r="H16" s="55" t="s">
        <v>5379</v>
      </c>
      <c r="I16" s="373">
        <f>(C6*2)+D6</f>
        <v>610000</v>
      </c>
      <c r="J16" s="373">
        <f>C5</f>
        <v>160000</v>
      </c>
      <c r="K16" s="373"/>
      <c r="L16" s="373">
        <f>SUM(I16:J16)</f>
        <v>770000</v>
      </c>
      <c r="M16" s="55" t="s">
        <v>5378</v>
      </c>
    </row>
    <row r="17" spans="1:13">
      <c r="H17" s="55" t="s">
        <v>5381</v>
      </c>
      <c r="I17" s="373">
        <f>70000*2</f>
        <v>140000</v>
      </c>
      <c r="J17" s="373"/>
      <c r="K17" s="373"/>
      <c r="L17" s="373">
        <f>SUM(I17:J17)</f>
        <v>140000</v>
      </c>
      <c r="M17" s="55" t="s">
        <v>5390</v>
      </c>
    </row>
    <row r="18" spans="1:13">
      <c r="H18" s="55" t="s">
        <v>5373</v>
      </c>
      <c r="I18" s="558">
        <f>250000*8</f>
        <v>2000000</v>
      </c>
      <c r="J18" s="558"/>
      <c r="K18" s="558">
        <f>46875*4</f>
        <v>187500</v>
      </c>
      <c r="L18" s="373">
        <f>SUM(I18:K18)</f>
        <v>2187500</v>
      </c>
      <c r="M18" s="55" t="s">
        <v>5382</v>
      </c>
    </row>
    <row r="19" spans="1:13">
      <c r="H19" s="55" t="s">
        <v>5374</v>
      </c>
      <c r="I19" s="373">
        <v>550000</v>
      </c>
      <c r="J19" s="55"/>
      <c r="K19" s="55"/>
      <c r="L19" s="373">
        <f>SUM(I19:J19)</f>
        <v>550000</v>
      </c>
      <c r="M19" s="55" t="s">
        <v>5375</v>
      </c>
    </row>
    <row r="20" spans="1:13">
      <c r="H20" s="953" t="s">
        <v>5386</v>
      </c>
      <c r="I20" s="953"/>
      <c r="J20" s="953"/>
      <c r="K20" s="953"/>
      <c r="L20" s="559">
        <f>SUM(L16:L19)</f>
        <v>3647500</v>
      </c>
    </row>
    <row r="22" spans="1:13">
      <c r="H22" s="560" t="s">
        <v>5389</v>
      </c>
      <c r="I22" s="559">
        <f>L12-L20</f>
        <v>22875</v>
      </c>
    </row>
    <row r="23" spans="1:13">
      <c r="A23" s="701" t="s">
        <v>2</v>
      </c>
      <c r="B23" s="701" t="s">
        <v>6124</v>
      </c>
      <c r="C23" s="701" t="s">
        <v>6125</v>
      </c>
    </row>
    <row r="24" spans="1:13">
      <c r="A24" s="701" t="s">
        <v>6126</v>
      </c>
      <c r="B24" s="700">
        <v>10500000</v>
      </c>
      <c r="C24" s="701" t="s">
        <v>6127</v>
      </c>
    </row>
    <row r="25" spans="1:13">
      <c r="A25" s="701" t="s">
        <v>6128</v>
      </c>
      <c r="B25" s="700">
        <v>4500000</v>
      </c>
      <c r="C25" s="701" t="s">
        <v>6129</v>
      </c>
    </row>
    <row r="26" spans="1:13">
      <c r="A26" s="701" t="s">
        <v>6130</v>
      </c>
      <c r="B26" s="700">
        <v>15000000</v>
      </c>
      <c r="C26" s="701" t="s">
        <v>6131</v>
      </c>
    </row>
  </sheetData>
  <mergeCells count="2">
    <mergeCell ref="H12:K12"/>
    <mergeCell ref="H20:K20"/>
  </mergeCells>
  <phoneticPr fontId="2" type="noConversion"/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I18"/>
  <sheetViews>
    <sheetView topLeftCell="A7" workbookViewId="0">
      <selection activeCell="J11" sqref="J11"/>
    </sheetView>
  </sheetViews>
  <sheetFormatPr defaultRowHeight="16.5"/>
  <cols>
    <col min="4" max="4" width="13.875" customWidth="1"/>
    <col min="5" max="5" width="19.25" customWidth="1"/>
    <col min="6" max="6" width="22.75" customWidth="1"/>
    <col min="7" max="7" width="25.875" customWidth="1"/>
    <col min="8" max="8" width="29.125" customWidth="1"/>
    <col min="9" max="9" width="27" customWidth="1"/>
  </cols>
  <sheetData>
    <row r="4" spans="4:9">
      <c r="D4" s="706" t="s">
        <v>6146</v>
      </c>
      <c r="E4" s="702" t="s">
        <v>6147</v>
      </c>
      <c r="F4" s="702" t="s">
        <v>6</v>
      </c>
      <c r="G4" s="702" t="s">
        <v>6148</v>
      </c>
      <c r="H4" s="702" t="s">
        <v>6149</v>
      </c>
      <c r="I4" s="702" t="s">
        <v>6150</v>
      </c>
    </row>
    <row r="5" spans="4:9" ht="66">
      <c r="D5" s="707">
        <v>5</v>
      </c>
      <c r="E5" s="704">
        <v>45701</v>
      </c>
      <c r="F5" s="705" t="s">
        <v>6151</v>
      </c>
      <c r="G5" s="705" t="s">
        <v>6152</v>
      </c>
      <c r="H5" s="705" t="s">
        <v>6153</v>
      </c>
      <c r="I5" s="705" t="s">
        <v>6154</v>
      </c>
    </row>
    <row r="6" spans="4:9" ht="82.5">
      <c r="D6" s="707">
        <v>51</v>
      </c>
      <c r="E6" s="704">
        <v>45746</v>
      </c>
      <c r="F6" s="705" t="s">
        <v>6155</v>
      </c>
      <c r="G6" s="705" t="s">
        <v>6156</v>
      </c>
      <c r="H6" s="705" t="s">
        <v>6157</v>
      </c>
      <c r="I6" s="705" t="s">
        <v>6158</v>
      </c>
    </row>
    <row r="7" spans="4:9" ht="49.5">
      <c r="D7" s="707">
        <v>61</v>
      </c>
      <c r="E7" s="704">
        <v>45783</v>
      </c>
      <c r="F7" s="705" t="s">
        <v>6159</v>
      </c>
      <c r="G7" s="705" t="s">
        <v>6160</v>
      </c>
      <c r="H7" s="705" t="s">
        <v>6161</v>
      </c>
      <c r="I7" s="705" t="s">
        <v>6162</v>
      </c>
    </row>
    <row r="8" spans="4:9" ht="66">
      <c r="D8" s="707">
        <v>87</v>
      </c>
      <c r="E8" s="704">
        <v>45859</v>
      </c>
      <c r="F8" s="705" t="s">
        <v>6163</v>
      </c>
      <c r="G8" s="705" t="s">
        <v>6164</v>
      </c>
      <c r="H8" s="705" t="s">
        <v>6165</v>
      </c>
      <c r="I8" s="705" t="s">
        <v>6166</v>
      </c>
    </row>
    <row r="9" spans="4:9" ht="49.5">
      <c r="D9" s="707">
        <v>88</v>
      </c>
      <c r="E9" s="704">
        <v>45859</v>
      </c>
      <c r="F9" s="705" t="s">
        <v>6167</v>
      </c>
      <c r="G9" s="705" t="s">
        <v>6168</v>
      </c>
      <c r="H9" s="705" t="s">
        <v>6169</v>
      </c>
      <c r="I9" s="705" t="s">
        <v>6170</v>
      </c>
    </row>
    <row r="10" spans="4:9" ht="33">
      <c r="D10" s="707">
        <v>96</v>
      </c>
      <c r="E10" s="704">
        <v>45872</v>
      </c>
      <c r="F10" s="705" t="s">
        <v>6171</v>
      </c>
      <c r="G10" s="705" t="s">
        <v>6172</v>
      </c>
      <c r="H10" s="705" t="s">
        <v>6173</v>
      </c>
      <c r="I10" s="705" t="s">
        <v>6174</v>
      </c>
    </row>
    <row r="11" spans="4:9" ht="49.5">
      <c r="D11" s="707">
        <v>114</v>
      </c>
      <c r="E11" s="704">
        <v>45899</v>
      </c>
      <c r="F11" s="705" t="s">
        <v>6171</v>
      </c>
      <c r="G11" s="705" t="s">
        <v>6175</v>
      </c>
      <c r="H11" s="705" t="s">
        <v>6176</v>
      </c>
      <c r="I11" s="705" t="s">
        <v>6177</v>
      </c>
    </row>
    <row r="12" spans="4:9" ht="49.5">
      <c r="D12" s="707">
        <v>130</v>
      </c>
      <c r="E12" s="703" t="s">
        <v>6178</v>
      </c>
      <c r="F12" s="705" t="s">
        <v>6179</v>
      </c>
      <c r="G12" s="705" t="s">
        <v>6180</v>
      </c>
      <c r="H12" s="705" t="s">
        <v>6181</v>
      </c>
      <c r="I12" s="705" t="s">
        <v>6182</v>
      </c>
    </row>
    <row r="13" spans="4:9" ht="33">
      <c r="D13" s="707">
        <v>150</v>
      </c>
      <c r="E13" s="703" t="s">
        <v>6178</v>
      </c>
      <c r="F13" s="705" t="s">
        <v>6183</v>
      </c>
      <c r="G13" s="705" t="s">
        <v>6184</v>
      </c>
      <c r="H13" s="705" t="s">
        <v>6185</v>
      </c>
      <c r="I13" s="705" t="s">
        <v>6186</v>
      </c>
    </row>
    <row r="14" spans="4:9" ht="33">
      <c r="D14" s="707">
        <v>158</v>
      </c>
      <c r="E14" s="703" t="s">
        <v>6178</v>
      </c>
      <c r="F14" s="705" t="s">
        <v>6187</v>
      </c>
      <c r="G14" s="705" t="s">
        <v>6188</v>
      </c>
      <c r="H14" s="705" t="s">
        <v>6189</v>
      </c>
      <c r="I14" s="705" t="s">
        <v>6190</v>
      </c>
    </row>
    <row r="15" spans="4:9" ht="66">
      <c r="D15" s="707">
        <v>166</v>
      </c>
      <c r="E15" s="704">
        <v>46051</v>
      </c>
      <c r="F15" s="705" t="s">
        <v>6191</v>
      </c>
      <c r="G15" s="705" t="s">
        <v>6192</v>
      </c>
      <c r="H15" s="705" t="s">
        <v>6193</v>
      </c>
      <c r="I15" s="705" t="s">
        <v>6194</v>
      </c>
    </row>
    <row r="16" spans="4:9" ht="49.5">
      <c r="D16" s="707">
        <v>168</v>
      </c>
      <c r="E16" s="703" t="s">
        <v>6178</v>
      </c>
      <c r="F16" s="705" t="s">
        <v>6195</v>
      </c>
      <c r="G16" s="705" t="s">
        <v>6196</v>
      </c>
      <c r="H16" s="705" t="s">
        <v>6197</v>
      </c>
      <c r="I16" s="705" t="s">
        <v>6198</v>
      </c>
    </row>
    <row r="17" spans="4:9" ht="33">
      <c r="D17" s="707">
        <v>176</v>
      </c>
      <c r="E17" s="703" t="s">
        <v>6178</v>
      </c>
      <c r="F17" s="705" t="s">
        <v>6199</v>
      </c>
      <c r="G17" s="705" t="s">
        <v>6200</v>
      </c>
      <c r="H17" s="705" t="s">
        <v>6201</v>
      </c>
      <c r="I17" s="705" t="s">
        <v>6202</v>
      </c>
    </row>
    <row r="18" spans="4:9" ht="49.5">
      <c r="D18" s="707">
        <v>177</v>
      </c>
      <c r="E18" s="703" t="s">
        <v>6178</v>
      </c>
      <c r="F18" s="705" t="s">
        <v>6203</v>
      </c>
      <c r="G18" s="705" t="s">
        <v>6204</v>
      </c>
      <c r="H18" s="705" t="s">
        <v>6205</v>
      </c>
      <c r="I18" s="705" t="s">
        <v>6206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3</vt:i4>
      </vt:variant>
    </vt:vector>
  </HeadingPairs>
  <TitlesOfParts>
    <vt:vector size="10" baseType="lpstr">
      <vt:lpstr>스케줄(2026)</vt:lpstr>
      <vt:lpstr>사전품의내역</vt:lpstr>
      <vt:lpstr>사전품의보고</vt:lpstr>
      <vt:lpstr>사전품의양식 (12)</vt:lpstr>
      <vt:lpstr>발주양식</vt:lpstr>
      <vt:lpstr>Sheet1</vt:lpstr>
      <vt:lpstr>Sheet2</vt:lpstr>
      <vt:lpstr>발주양식!Print_Area</vt:lpstr>
      <vt:lpstr>사전품의내역!Print_Area</vt:lpstr>
      <vt:lpstr>'사전품의양식 (12)'!Print_Area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2026-10-23T05:33:14Z</cp:lastPrinted>
  <dcterms:created xsi:type="dcterms:W3CDTF">2022-12-21T07:00:17Z</dcterms:created>
  <dcterms:modified xsi:type="dcterms:W3CDTF">2026-10-30T05:22:02Z</dcterms:modified>
</cp:coreProperties>
</file>