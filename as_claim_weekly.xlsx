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L8" i="129"/>
  <c r="C17" i="130" l="1"/>
  <c r="B17" i="130"/>
  <c r="L17" i="129"/>
  <c r="L16" i="129"/>
  <c r="L9" i="129"/>
  <c r="L7" i="129" l="1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<sst xmlns="http://schemas.openxmlformats.org/spreadsheetml/2006/main" count="20436" uniqueCount="5595">
  <si>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</si>
  <si>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</si>
  <si>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</si>
  <si>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</si>
  <si>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</si>
  <si>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</si>
  <si>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</si>
  <si>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</si>
  <si>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</si>
  <si>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</si>
  <si>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</si>
  <si>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</si>
  <si>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</si>
  <si>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</si>
  <si>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</si>
  <si>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</si>
  <si>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</si>
  <si>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</si>
  <si>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</si>
  <si>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</si>
  <si>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</si>
  <si>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</si>
  <si>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</si>
  <si>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</si>
  <si>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</si>
  <si>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</si>
  <si>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</si>
  <si>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</si>
  <si>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</si>
  <si>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</si>
  <si>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</si>
  <si>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</si>
  <si>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</si>
  <si>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</si>
  <si>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</si>
  <si>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</si>
  <si>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</si>
  <si>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</si>
  <si>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</si>
  <si>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</si>
  <si>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</si>
  <si>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</si>
  <si>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</si>
  <si>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</si>
  <si>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</si>
  <si>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</si>
  <si>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</si>
  <si>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</si>
  <si>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</si>
  <si>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</si>
  <si>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</si>
  <si>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</si>
  <si>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</si>
  <si>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</si>
  <si>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</si>
  <si>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</si>
  <si>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</si>
  <si>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</si>
  <si>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</si>
  <si>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</si>
  <si>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</si>
  <si>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</si>
  <si>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</si>
  <si>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</si>
  <si>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</si>
  <si>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</si>
  <si>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</si>
  <si>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</si>
  <si>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</si>
  <si>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</si>
  <si>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</si>
  <si>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</si>
  <si>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</si>
  <si>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</si>
  <si>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</si>
  <si>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</si>
  <si>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</si>
  <si>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</si>
  <si>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</si>
  <si>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</si>
  <si>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</si>
  <si>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</si>
  <si>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</si>
  <si>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</si>
  <si>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</si>
  <si>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</si>
  <si>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</si>
  <si>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</si>
  <si>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</si>
  <si>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</si>
  <si>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</si>
  <si>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</si>
  <si>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</si>
  <si>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</si>
  <si>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</si>
  <si>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</si>
  <si>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</si>
  <si>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</si>
  <si>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</si>
  <si>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</si>
  <si>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</si>
  <si>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</si>
  <si>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</si>
  <si>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</si>
  <si>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</si>
  <si>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</si>
  <si>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</si>
  <si>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</si>
  <si>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</si>
  <si>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</si>
  <si>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</si>
  <si>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</si>
  <si>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</si>
  <si>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</si>
  <si>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</si>
  <si>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</si>
  <si>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</si>
  <si>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</si>
  <si>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</si>
  <si>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</si>
  <si>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</si>
  <si>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</si>
  <si>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</si>
  <si>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</si>
  <si>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</si>
  <si>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</si>
  <si>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</si>
  <si>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</si>
  <si>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</si>
  <si>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</si>
  <si>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</si>
  <si>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</si>
  <si>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</si>
  <si>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</si>
  <si>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</si>
  <si>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</si>
  <si>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</si>
  <si>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</si>
  <si>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</si>
  <si>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</si>
  <si>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</si>
  <si>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</si>
  <si>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</si>
  <si>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</si>
  <si>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</si>
  <si>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</si>
  <si>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</si>
  <si>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</si>
  <si>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</si>
  <si>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</si>
  <si>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</si>
  <si>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</si>
  <si>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</si>
  <si>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</si>
  <si>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</si>
  <si>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</si>
  <si>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</si>
  <si>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</si>
  <si>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</si>
  <si>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</si>
  <si>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</si>
  <si>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</si>
  <si>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</si>
  <si>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</si>
  <si>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</si>
  <si>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</si>
  <si>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</si>
  <si>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</si>
  <si>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</si>
  <si>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</si>
  <si>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</si>
  <si>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</si>
  <si>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</si>
  <si>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</si>
  <si>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</si>
  <si>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</si>
  <si>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</si>
  <si>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</si>
  <si>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</si>
  <si>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</si>
  <si>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</si>
  <si>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</si>
  <si>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</si>
  <si>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</si>
  <si>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</si>
  <si>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</si>
  <si>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</si>
  <si>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</si>
  <si>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</si>
  <si>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</si>
  <si>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</si>
  <si>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</si>
  <si>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</si>
  <si>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</si>
  <si>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</si>
  <si>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</si>
  <si>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</si>
  <si>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</si>
  <si>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</si>
  <si>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</si>
  <si>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</si>
  <si>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</si>
  <si>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</si>
  <si>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</si>
  <si>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</si>
  <si>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</si>
  <si>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</si>
  <si>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</si>
  <si>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</si>
  <si>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</si>
  <si>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</si>
  <si>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</si>
  <si>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</si>
  <si>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</si>
  <si>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</si>
  <si>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</si>
  <si>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</si>
  <si>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</si>
  <si>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</si>
  <si>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</si>
  <si>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</si>
  <si>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</si>
  <si>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</si>
  <si>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</si>
  <si>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</si>
  <si>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</si>
  <si>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</si>
  <si>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</si>
  <si>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</si>
  <si>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</si>
  <si>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</si>
  <si>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</si>
  <si>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</si>
  <si>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</si>
  <si>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</si>
  <si>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</si>
  <si>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</si>
  <si>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</si>
  <si>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</si>
  <si>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</si>
  <si>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</si>
  <si>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</si>
  <si>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</si>
  <si>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</si>
  <si>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</si>
  <si>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</si>
  <si>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</si>
  <si>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</si>
  <si>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</si>
  <si>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</si>
  <si>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</si>
  <si>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</si>
  <si>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</si>
  <si>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</si>
  <si>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</si>
  <si>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</si>
  <si>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</si>
  <si>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</si>
  <si>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</si>
  <si>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</si>
  <si>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</si>
  <si>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</si>
  <si>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</si>
  <si>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</si>
  <si>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</si>
  <si>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</si>
  <si>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</si>
  <si>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</si>
  <si>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</si>
  <si>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</si>
  <si>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</si>
  <si>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</si>
  <si>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</si>
  <si>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</si>
  <si>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</si>
  <si>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</si>
  <si>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</si>
  <si>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</si>
  <si>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</si>
  <si>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</si>
  <si>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</si>
  <si>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</si>
  <si>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</si>
  <si>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</si>
  <si>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</si>
  <si>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</si>
  <si>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</si>
  <si>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</si>
  <si>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</si>
  <si>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</si>
  <si>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</si>
  <si>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</si>
  <si>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</si>
  <si>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</si>
  <si>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</si>
  <si>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</si>
  <si>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</si>
  <si>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</si>
  <si>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</si>
  <si>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</si>
  <si>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</si>
  <si>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</si>
  <si>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</si>
  <si>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</si>
  <si>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</si>
  <si>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</si>
  <si>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</si>
  <si>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</si>
  <si>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</si>
  <si>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</si>
  <si>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</si>
  <si>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</si>
  <si>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</si>
  <si>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</si>
  <si>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</si>
  <si>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</si>
  <si>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</si>
  <si>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</si>
  <si>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</si>
  <si>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</si>
  <si>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</si>
  <si>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</si>
  <si>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</si>
  <si>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</si>
  <si>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</si>
  <si>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</si>
  <si>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</si>
  <si>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</si>
  <si>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</si>
  <si>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</si>
  <si>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</si>
  <si>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</si>
  <si>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</si>
  <si>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</si>
  <si>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</si>
  <si>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</si>
  <si>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</si>
  <si>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</si>
  <si>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</si>
  <si>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</si>
  <si>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</si>
  <si>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</si>
  <si>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</si>
  <si>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</si>
  <si>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</si>
  <si>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</si>
  <si>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</si>
  <si>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</si>
  <si>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</si>
  <si>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</si>
  <si>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</si>
  <si>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</si>
  <si>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</si>
  <si>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</si>
  <si>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</si>
  <si>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</si>
  <si>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</si>
  <si>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</si>
  <si>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</si>
  <si>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</si>
  <si>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</si>
  <si>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</si>
  <si>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</si>
  <si>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</si>
  <si>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</si>
  <si>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</si>
  <si>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</si>
  <si>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</si>
  <si>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</si>
  <si>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</si>
  <si>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</si>
  <si>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</si>
  <si>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</si>
  <si>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</si>
  <si>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</si>
  <si>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</si>
  <si>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</si>
  <si>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</si>
  <si>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</si>
  <si>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</si>
  <si>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</si>
  <si>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</si>
  <si>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</si>
  <si>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</si>
  <si>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</si>
  <si>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</si>
  <si>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</si>
  <si>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</si>
  <si>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</si>
  <si>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</si>
  <si>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</si>
  <si>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</si>
  <si>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</si>
  <si>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</si>
  <si>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</si>
  <si>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</si>
  <si>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</si>
  <si>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</si>
  <si>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</si>
  <si>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</si>
  <si>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</si>
  <si>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</si>
  <si>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</si>
  <si>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</si>
  <si>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</si>
  <si>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</si>
  <si>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</si>
  <si>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</si>
  <si>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</si>
  <si>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</si>
  <si>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</si>
  <si>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</si>
  <si>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</si>
  <si>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</si>
  <si>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</si>
  <si>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</si>
  <si>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</si>
  <si>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</si>
  <si>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</si>
  <si>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</si>
  <si>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</si>
  <si>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</si>
  <si>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</si>
  <si>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</si>
  <si>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</si>
  <si>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</si>
  <si>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</si>
  <si>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</si>
  <si>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</si>
  <si>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</si>
  <si>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</si>
  <si>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</si>
  <si>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</si>
  <si>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</si>
  <si>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</si>
  <si>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</si>
  <si>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</si>
  <si>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</si>
  <si>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</si>
  <si>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</si>
  <si>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</si>
  <si>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</si>
  <si>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</si>
  <si>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</si>
  <si>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</si>
  <si>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</si>
  <si>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</si>
  <si>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</si>
  <si>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</si>
  <si>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</si>
  <si>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</si>
  <si>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</si>
  <si>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</si>
  <si>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</si>
  <si>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</si>
  <si>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</si>
  <si>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</si>
  <si>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</si>
  <si>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</si>
  <si>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</si>
  <si>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</si>
  <si>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</si>
  <si>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</si>
  <si>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</si>
  <si>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</si>
  <si>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</si>
  <si>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</si>
  <si>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</si>
  <si>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</si>
  <si>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</si>
  <si>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</si>
  <si>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</si>
  <si>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</si>
  <si>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</si>
  <si>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</si>
  <si>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</si>
  <si>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</si>
  <si>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</si>
  <si>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</si>
  <si>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</si>
  <si>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</si>
  <si>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</si>
  <si>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</si>
  <si>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</si>
  <si>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</si>
  <si>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</si>
  <si>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</si>
  <si>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</si>
  <si>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</si>
  <si>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</si>
  <si>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</si>
  <si>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</si>
  <si>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</si>
  <si>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</si>
  <si>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</si>
  <si>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</si>
  <si>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</si>
  <si>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</si>
  <si>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</si>
  <si>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</si>
  <si>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</si>
  <si>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</si>
  <si>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</si>
  <si>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</si>
  <si>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</si>
  <si>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</si>
  <si>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</si>
  <si>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</si>
  <si>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</si>
  <si>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</si>
  <si>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</si>
  <si>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</si>
  <si>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</si>
  <si>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</si>
  <si>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</si>
  <si>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</si>
  <si>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</si>
  <si>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</si>
  <si>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</si>
  <si>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</si>
  <si>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</si>
  <si>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</si>
  <si>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</si>
  <si>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</si>
  <si>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</si>
  <si>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</si>
  <si>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</si>
  <si>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</si>
  <si>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</si>
  <si>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</si>
  <si>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</si>
  <si>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</si>
  <si>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</si>
  <si>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</si>
  <si>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</si>
  <si>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</si>
  <si>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</si>
  <si>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</si>
  <si>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</si>
  <si>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</si>
  <si>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</si>
  <si>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</si>
  <si>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</si>
  <si>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</si>
  <si>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</si>
  <si>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</si>
  <si>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</si>
  <si>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</si>
  <si>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</si>
  <si>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</si>
  <si>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</si>
  <si>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</si>
  <si>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</si>
  <si>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</si>
  <si>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</si>
  <si>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</si>
  <si>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</si>
  <si>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</si>
  <si>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</si>
  <si>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</si>
  <si>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</si>
  <si>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</si>
  <si>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</si>
  <si>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</si>
  <si>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</si>
  <si>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</si>
  <si>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</si>
  <si>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</si>
  <si>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</si>
  <si>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</si>
  <si>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</si>
  <si>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</si>
  <si>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</si>
  <si>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</si>
  <si>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</si>
  <si>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</si>
  <si>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</si>
  <si>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</si>
  <si>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</si>
  <si>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</si>
  <si>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</si>
  <si>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</si>
  <si>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</si>
  <si>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</si>
  <si>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</si>
  <si>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</si>
  <si>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</si>
  <si>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</si>
  <si>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</si>
  <si>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</si>
  <si>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</si>
  <si>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</si>
  <si>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</si>
  <si>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</si>
  <si>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</si>
  <si>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</si>
  <si>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</si>
  <si>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</si>
  <si>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</si>
  <si>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</si>
  <si>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</si>
  <si>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</si>
  <si>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</si>
  <si>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</si>
  <si>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</si>
  <si>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</si>
  <si>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</si>
  <si>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</si>
  <si>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</si>
  <si>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</si>
  <si>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</si>
  <si>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</si>
  <si>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</si>
  <si>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</si>
  <si>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</si>
  <si>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</si>
  <si>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</si>
  <si>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</si>
  <si>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</si>
  <si>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</si>
  <si>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</si>
  <si>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</si>
  <si>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</si>
  <si>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</si>
  <si>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</si>
  <si>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</si>
  <si>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</si>
  <si>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</si>
  <si>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</si>
  <si>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</si>
  <si>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</si>
  <si>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</si>
  <si>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</si>
  <si>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</si>
  <si>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</si>
  <si>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</si>
  <si>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</si>
  <si>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</si>
  <si>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</si>
  <si>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</si>
  <si>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</si>
  <si>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</si>
  <si>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</si>
  <si>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</si>
  <si>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</si>
  <si>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</si>
  <si>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</si>
  <si>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</si>
  <si>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</si>
  <si>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</si>
  <si>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</si>
  <si>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</si>
  <si>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</si>
  <si>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</si>
  <si>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</si>
  <si>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</si>
  <si>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</si>
  <si>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</si>
  <si>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</si>
  <si>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</si>
  <si>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</si>
  <si>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</si>
  <si>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</si>
  <si>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</si>
  <si>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</si>
  <si>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</si>
  <si>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</si>
  <si>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</si>
  <si>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</si>
  <si>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</si>
  <si>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</si>
  <si>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</si>
  <si>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</si>
  <si>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</si>
  <si>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</si>
  <si>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</si>
  <si>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</si>
  <si>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</si>
  <si>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</si>
  <si>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</si>
  <si>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</si>
  <si>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</si>
  <si>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</si>
  <si>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</si>
  <si>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</si>
  <si>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</si>
  <si>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</si>
  <si>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</si>
  <si>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</si>
  <si>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</si>
  <si>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</si>
  <si>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</si>
  <si>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</si>
  <si>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</si>
  <si>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</si>
  <si>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</si>
  <si>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</si>
  <si>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</si>
  <si>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</si>
  <si>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</si>
  <si>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</si>
  <si>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</si>
  <si>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</si>
  <si>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</si>
  <si>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</si>
  <si>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</si>
  <si>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</si>
  <si>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</si>
  <si>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</si>
  <si>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</si>
  <si>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</si>
  <si>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</si>
  <si>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</si>
  <si>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</si>
  <si>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</si>
  <si>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</si>
  <si>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</si>
  <si>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</si>
  <si>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</si>
  <si>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</si>
  <si>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</si>
  <si>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</si>
  <si>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</si>
  <si>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</si>
  <si>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</si>
  <si>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</si>
  <si>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</si>
  <si>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</si>
  <si>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</si>
  <si>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</si>
  <si>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</si>
  <si>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</si>
  <si>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</si>
  <si>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</si>
  <si>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</si>
  <si>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</si>
  <si>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</si>
  <si>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</si>
  <si>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</si>
  <si>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</si>
  <si>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</si>
  <si>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</si>
  <si>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</si>
  <si>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</si>
  <si>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</si>
  <si>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</si>
  <si>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</si>
  <si>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</si>
  <si>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</si>
  <si>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</si>
  <si>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</si>
  <si>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</si>
  <si>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</si>
  <si>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</si>
  <si>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</si>
  <si>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</si>
  <si>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</si>
  <si>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</si>
  <si>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</si>
  <si>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</si>
  <si>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</si>
  <si>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</si>
  <si>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</si>
  <si>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</si>
  <si>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</si>
  <si>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</si>
  <si>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</si>
  <si>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</si>
  <si>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</si>
  <si>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</si>
  <si>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</si>
  <si>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</si>
  <si>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</si>
  <si>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</si>
  <si>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</si>
  <si>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</si>
  <si>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</si>
  <si>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</si>
  <si>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</si>
  <si>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</si>
  <si>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</si>
  <si>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</si>
  <si>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</si>
  <si>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</si>
  <si>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</si>
  <si>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</si>
  <si>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</si>
  <si>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</si>
  <si>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</si>
  <si>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</si>
  <si>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</si>
  <si>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</si>
  <si>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</si>
  <si>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</si>
  <si>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</si>
  <si>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</si>
  <si>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</si>
  <si>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</si>
  <si>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</si>
  <si>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</si>
  <si>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</si>
  <si>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</si>
  <si>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</si>
  <si>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</si>
  <si>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</si>
  <si>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</si>
  <si>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</si>
  <si>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</si>
  <si>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</si>
  <si>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</si>
  <si>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</si>
  <si>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</si>
  <si>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</si>
  <si>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</si>
  <si>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</si>
  <si>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</si>
  <si>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</si>
  <si>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</si>
  <si>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</si>
  <si>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</si>
  <si>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</si>
  <si>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</si>
  <si>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</si>
  <si>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</si>
  <si>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</si>
  <si>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</si>
  <si>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</si>
  <si>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</si>
  <si>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</si>
  <si>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</si>
  <si>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</si>
  <si>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</si>
  <si>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</si>
  <si>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</si>
  <si>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</si>
  <si>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</si>
  <si>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</si>
  <si>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</si>
  <si>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</si>
  <si>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</si>
  <si>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</si>
  <si>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</si>
  <si>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</si>
  <si>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</si>
  <si>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</si>
  <si>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</si>
  <si>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</si>
  <si>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</si>
  <si>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</si>
  <si>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</si>
  <si>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</si>
  <si>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</si>
  <si>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</si>
  <si>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</si>
  <si>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</si>
  <si>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</si>
  <si>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</si>
  <si>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</si>
  <si>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</si>
  <si>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</si>
  <si>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</si>
  <si>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</si>
  <si>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</si>
  <si>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</si>
  <si>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</si>
  <si>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</si>
  <si>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</si>
  <si>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</si>
  <si>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</si>
  <si>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</si>
  <si>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</si>
  <si>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</si>
  <si>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</si>
  <si>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</si>
  <si>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</si>
  <si>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</si>
  <si>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</si>
  <si>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</si>
  <si>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</si>
  <si>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</si>
  <si>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</si>
  <si>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</si>
  <si>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</si>
  <si>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</si>
  <si>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</si>
  <si>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</si>
  <si>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</si>
  <si>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</si>
  <si>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</si>
  <si>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</si>
  <si>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</si>
  <si>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</si>
  <si>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</si>
  <si>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</si>
  <si>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</si>
  <si>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</si>
  <si>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</si>
  <si>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</si>
  <si>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</si>
  <si>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</si>
  <si>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</si>
  <si>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</si>
  <si>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</si>
  <si>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</si>
  <si>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</si>
  <si>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</si>
  <si>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</si>
  <si>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</si>
  <si>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</si>
  <si>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</si>
  <si>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</si>
  <si>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</si>
  <si>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</si>
  <si>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</si>
  <si>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</si>
  <si>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</si>
  <si>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</si>
  <si>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</si>
  <si>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</si>
  <si>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</si>
  <si>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</si>
  <si>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</si>
  <si>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</si>
  <si>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</si>
  <si>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</si>
  <si>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</si>
  <si>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</si>
  <si>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</si>
  <si>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</si>
  <si>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</si>
  <si>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</si>
  <si>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</si>
  <si>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</si>
  <si>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</si>
  <si>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</si>
  <si>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</si>
  <si>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</si>
  <si>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</si>
  <si>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</si>
  <si>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</si>
  <si>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</si>
  <si>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</si>
  <si>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</si>
  <si>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</si>
  <si>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</si>
  <si>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</si>
  <si>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</si>
  <si>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</si>
  <si>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</si>
  <si>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</si>
  <si>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</si>
  <si>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</si>
  <si>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</si>
  <si>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</si>
  <si>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</si>
  <si>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</si>
  <si>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</si>
  <si>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</si>
  <si>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</si>
  <si>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</si>
  <si>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</si>
  <si>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</si>
  <si>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</si>
  <si>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</si>
  <si>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</si>
  <si>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</si>
  <si>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</si>
  <si>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</si>
  <si>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</si>
  <si>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</si>
  <si>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</si>
  <si>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</si>
  <si>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</si>
  <si>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</si>
  <si>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</si>
  <si>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</si>
  <si>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</si>
  <si>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</si>
  <si>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</si>
  <si>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</si>
  <si>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</si>
  <si>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</si>
  <si>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</si>
  <si>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</si>
  <si>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</si>
  <si>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</si>
  <si>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</si>
  <si>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</si>
  <si>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</si>
  <si>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</si>
  <si>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</si>
  <si>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</si>
  <si>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</si>
  <si>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</si>
  <si>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</si>
  <si>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</si>
  <si>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</si>
  <si>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</si>
  <si>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</si>
  <si>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</si>
  <si>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</si>
  <si>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</si>
  <si>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</si>
  <si>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</si>
  <si>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</si>
  <si>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</si>
  <si>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</si>
  <si>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</si>
  <si>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</si>
  <si>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</si>
  <si>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</si>
  <si>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</si>
  <si>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</si>
  <si>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</si>
  <si>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</si>
  <si>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</si>
  <si>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</si>
  <si>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</si>
  <si>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</si>
  <si>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</si>
  <si>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</si>
  <si>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</si>
  <si>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</si>
  <si>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</si>
  <si>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</si>
  <si>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</si>
  <si>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</si>
  <si>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</si>
  <si>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</si>
  <si>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</si>
  <si>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</si>
  <si>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</si>
  <si>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</si>
  <si>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</si>
  <si>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</si>
  <si>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</si>
  <si>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</si>
  <si>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</si>
  <si>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</si>
  <si>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</si>
  <si>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</si>
  <si>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</si>
  <si>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</si>
  <si>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</si>
  <si>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</si>
  <si>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</si>
  <si>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</si>
  <si>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</si>
  <si>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</si>
  <si>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</si>
  <si>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</si>
  <si>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</si>
  <si>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</si>
  <si>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</si>
  <si>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</si>
  <si>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</si>
  <si>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</si>
  <si>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</si>
  <si>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</si>
  <si>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</si>
  <si>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</si>
  <si>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</si>
  <si>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</si>
  <si>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</si>
  <si>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</si>
  <si>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</si>
  <si>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</si>
  <si>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</si>
  <si>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</si>
  <si>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</si>
  <si>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</si>
  <si>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</si>
  <si>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</si>
  <si>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</si>
  <si>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</si>
  <si>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</si>
  <si>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</si>
  <si>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</si>
  <si>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</si>
  <si>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</si>
  <si>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</si>
  <si>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</si>
  <si>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</si>
  <si>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</si>
  <si>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</si>
  <si>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</si>
  <si>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</si>
  <si>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</si>
  <si>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</si>
  <si>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</si>
  <si>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</si>
  <si>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</si>
  <si>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</si>
  <si>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</si>
  <si>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</si>
  <si>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</si>
  <si>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</si>
  <si>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</si>
  <si>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</si>
  <si>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</si>
  <si>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</si>
  <si>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</si>
  <si>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</si>
  <si>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</si>
  <si>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</si>
  <si>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</si>
  <si>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</si>
  <si>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</si>
  <si>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</si>
  <si>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</si>
  <si>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</si>
  <si>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</si>
  <si>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</si>
  <si>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</si>
  <si>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</si>
  <si>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</si>
  <si>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</si>
  <si>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</si>
  <si>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</si>
  <si>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</si>
  <si>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</si>
  <si>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</si>
  <si>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</si>
  <si>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</si>
  <si>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</si>
  <si>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</si>
  <si>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</si>
  <si>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</si>
  <si>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</si>
  <si>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</si>
  <si>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</si>
  <si>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</si>
  <si>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</si>
  <si>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</si>
  <si>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</si>
  <si>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</si>
  <si>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</si>
  <si>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</si>
  <si>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</si>
  <si>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</si>
  <si>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</si>
  <si>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</si>
  <si>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</si>
  <si>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</si>
  <si>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</si>
  <si>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</si>
  <si>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</si>
  <si>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</si>
  <si>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</si>
  <si>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</si>
  <si>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</si>
  <si>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</si>
  <si>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</si>
  <si>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</si>
  <si>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</si>
  <si>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</si>
  <si>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</si>
  <si>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</si>
  <si>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</si>
  <si>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</si>
  <si>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</si>
  <si>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</si>
  <si>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</si>
  <si>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</si>
  <si>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</si>
  <si>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</si>
  <si>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</si>
  <si>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</si>
  <si>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</si>
  <si>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</si>
  <si>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</si>
  <si>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</si>
  <si>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</si>
  <si>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</si>
  <si>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</si>
  <si>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</si>
  <si>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</si>
  <si>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</si>
  <si>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</si>
  <si>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</si>
  <si>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</si>
  <si>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</si>
  <si>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</si>
  <si>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</si>
  <si>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</si>
  <si>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</si>
  <si>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</si>
  <si>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</si>
  <si>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</si>
  <si>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</si>
  <si>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</si>
  <si>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</si>
  <si>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</si>
  <si>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</si>
  <si>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</si>
  <si>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</si>
  <si>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</si>
  <si>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</si>
  <si>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</si>
  <si>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</si>
  <si>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</si>
  <si>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</si>
  <si>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</si>
  <si>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</si>
  <si>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</si>
  <si>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</si>
  <si>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</si>
  <si>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</si>
  <si>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</si>
  <si>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</si>
  <si>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</si>
  <si>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</si>
  <si>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</si>
  <si>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</si>
  <si>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</si>
  <si>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</si>
  <si>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</si>
  <si>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</si>
  <si>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</si>
  <si>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</si>
  <si>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</si>
  <si>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</si>
  <si>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</si>
  <si>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</si>
  <si>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</si>
  <si>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</si>
  <si>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</si>
  <si>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</si>
  <si>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</si>
  <si>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</si>
  <si>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</si>
  <si>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</si>
  <si>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</si>
  <si>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</si>
  <si>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</si>
  <si>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</si>
  <si>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</si>
  <si>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</si>
  <si>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</si>
  <si>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</si>
  <si>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</si>
  <si>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</si>
  <si>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</si>
  <si>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</si>
  <si>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</si>
  <si>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</si>
  <si>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</si>
  <si>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</si>
  <si>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</si>
  <si>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</si>
  <si>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</si>
  <si>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</si>
  <si>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</si>
  <si>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</si>
  <si>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</si>
  <si>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</si>
  <si>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</si>
  <si>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</si>
  <si>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</si>
  <si>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</si>
  <si>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</si>
  <si>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</si>
  <si>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</si>
  <si>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</si>
  <si>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</si>
  <si>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</si>
  <si>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</si>
  <si>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</si>
  <si>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</si>
  <si>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</si>
  <si>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</si>
  <si>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</si>
  <si>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</si>
  <si>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</si>
  <si>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</si>
  <si>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</si>
  <si>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</si>
  <si>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</si>
  <si>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</si>
  <si>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</si>
  <si>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</si>
  <si>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</si>
  <si>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</si>
  <si>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</si>
  <si>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</si>
  <si>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</si>
  <si>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</si>
  <si>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</si>
  <si>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</si>
  <si>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</si>
  <si>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</si>
  <si>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</si>
  <si>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</si>
  <si>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</si>
  <si>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</si>
  <si>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</si>
  <si>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</si>
  <si>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</si>
  <si>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</si>
  <si>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</si>
  <si>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</si>
  <si>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</si>
  <si>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</si>
  <si>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</si>
  <si>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</si>
  <si>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</si>
  <si>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</si>
  <si>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</si>
  <si>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</si>
  <si>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</si>
  <si>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</si>
  <si>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</si>
  <si>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</si>
  <si>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</si>
  <si>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</si>
  <si>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</si>
  <si>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</si>
  <si>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</si>
  <si>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</si>
  <si>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</si>
  <si>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</si>
  <si>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</si>
  <si>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</si>
  <si>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</si>
  <si>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</si>
  <si>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</si>
  <si>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</si>
  <si>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</si>
  <si>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</si>
  <si>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</si>
  <si>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</si>
  <si>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</si>
  <si>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</si>
  <si>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</si>
  <si>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</si>
  <si>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</si>
  <si>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</si>
  <si>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</si>
  <si>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</si>
  <si>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</si>
  <si>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</si>
  <si>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</si>
  <si>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</si>
  <si>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</si>
  <si>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</si>
  <si>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</si>
  <si>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</si>
  <si>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</si>
  <si>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</si>
  <si>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</si>
  <si>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</si>
  <si>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</si>
  <si>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</si>
  <si>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</si>
  <si>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</si>
  <si>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</si>
  <si>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</si>
  <si>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</si>
  <si>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</si>
  <si>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</si>
  <si>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</si>
  <si>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</si>
  <si>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</si>
  <si>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</si>
  <si>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</si>
  <si>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</si>
  <si>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</si>
  <si>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</si>
  <si>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</si>
  <si>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</si>
  <si>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</si>
  <si>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</si>
  <si>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</si>
  <si>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</si>
  <si>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</si>
  <si>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</si>
  <si>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</si>
  <si>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</si>
  <si>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</si>
  <si>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</si>
  <si>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</si>
  <si>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</si>
  <si>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</si>
  <si>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</si>
  <si>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</si>
  <si>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</si>
  <si>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</si>
  <si>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</si>
  <si>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</si>
  <si>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</si>
  <si>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</si>
  <si>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</si>
  <si>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</si>
  <si>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</si>
  <si>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</si>
  <si>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</si>
  <si>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</si>
  <si>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</si>
  <si>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</si>
  <si>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</si>
  <si>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</si>
  <si>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</si>
  <si>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</si>
  <si>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</si>
  <si>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</si>
  <si>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</si>
  <si>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</si>
  <si>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</si>
  <si>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</si>
  <si>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</si>
  <si>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</si>
  <si>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</si>
  <si>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</si>
  <si>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</si>
  <si>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</si>
  <si>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</si>
  <si>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</si>
  <si>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</si>
  <si>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</si>
  <si>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</si>
  <si>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</si>
  <si>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</si>
  <si>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</si>
  <si>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</si>
  <si>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</si>
  <si>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</si>
  <si>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</si>
  <si>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</si>
  <si>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</si>
  <si>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</si>
  <si>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</si>
  <si>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</si>
  <si>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</si>
  <si>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</si>
  <si>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</si>
  <si>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</si>
  <si>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</si>
  <si>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</si>
  <si>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</si>
  <si>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</si>
  <si>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</si>
  <si>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</si>
  <si>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</si>
  <si>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</si>
  <si>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</si>
  <si>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</si>
  <si>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</si>
  <si>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</si>
  <si>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</si>
  <si>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</si>
  <si>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</si>
  <si>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</si>
  <si>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</si>
  <si>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</si>
  <si>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</si>
  <si>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</si>
  <si>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</si>
  <si>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</si>
  <si>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</si>
  <si>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</si>
  <si>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</si>
  <si>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</si>
  <si>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</si>
  <si>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</si>
  <si>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</si>
  <si>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</si>
  <si>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</si>
  <si>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</si>
  <si>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</si>
  <si>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</si>
  <si>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</si>
  <si>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</si>
  <si>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</si>
  <si>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</si>
  <si>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</si>
  <si>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</si>
  <si>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</si>
  <si>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</si>
  <si>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</si>
  <si>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</si>
  <si>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</si>
  <si>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</si>
  <si>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</si>
  <si>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</si>
  <si>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</si>
  <si>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</si>
  <si>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</si>
  <si>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</si>
  <si>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</si>
  <si>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</si>
  <si>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</si>
  <si>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</si>
  <si>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</si>
  <si>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</si>
  <si>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</si>
  <si>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</si>
  <si>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</si>
  <si>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</si>
  <si>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</si>
  <si>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</si>
  <si>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</si>
  <si>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</si>
  <si>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</si>
  <si>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</si>
  <si>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</si>
  <si>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</si>
  <si>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</si>
  <si>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</si>
  <si>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</si>
  <si>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</si>
  <si>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</si>
  <si>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</si>
  <si>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</si>
  <si>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</si>
  <si>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</si>
  <si>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</si>
  <si>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</si>
  <si>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</si>
  <si>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</si>
  <si>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</si>
  <si>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</si>
  <si>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</si>
  <si>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</si>
  <si>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</si>
  <si>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</si>
  <si>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</si>
  <si>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</si>
  <si>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</si>
  <si>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</si>
  <si>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</si>
  <si>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</si>
  <si>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</si>
  <si>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</si>
  <si>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</si>
  <si>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</si>
  <si>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</si>
  <si>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</si>
  <si>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</si>
  <si>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</si>
  <si>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</si>
  <si>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</si>
  <si>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</si>
  <si>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</si>
  <si>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</si>
  <si>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</si>
  <si>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</si>
  <si>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</si>
  <si>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</si>
  <si>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</si>
  <si>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</si>
  <si>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</si>
  <si>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</si>
  <si>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</si>
  <si>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</si>
  <si>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</si>
  <si>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</si>
  <si>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</si>
  <si>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</si>
  <si>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</si>
  <si>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</si>
  <si>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</si>
  <si>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</si>
  <si>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</si>
  <si>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</si>
  <si>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</si>
  <si>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</si>
  <si>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</si>
  <si>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</si>
  <si>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</si>
  <si>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</si>
  <si>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</si>
  <si>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</si>
  <si>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</si>
  <si>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</si>
  <si>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</si>
  <si>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</si>
  <si>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</si>
  <si>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</si>
  <si>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</si>
  <si>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</si>
  <si>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</si>
  <si>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</si>
  <si>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</si>
  <si>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</si>
  <si>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</si>
  <si>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</si>
  <si>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</si>
  <si>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</si>
  <si>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</si>
  <si>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</si>
  <si>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</si>
  <si>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</si>
  <si>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</si>
  <si>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</si>
  <si>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</si>
  <si>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</si>
  <si>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</si>
  <si>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</si>
  <si>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</si>
  <si>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</si>
  <si>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</si>
  <si>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</si>
  <si>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</si>
  <si>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</si>
  <si>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</si>
  <si>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</si>
  <si>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</si>
  <si>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</si>
  <si>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</si>
  <si>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</si>
  <si>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</si>
  <si>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</si>
  <si>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</si>
  <si>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</si>
  <si>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</si>
  <si>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</si>
  <si>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</si>
  <si>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</si>
  <si>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</si>
  <si>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</si>
  <si>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</si>
  <si>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</si>
  <si>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</si>
  <si>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</si>
  <si>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</si>
  <si>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</si>
  <si>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</si>
  <si>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</si>
  <si>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</si>
  <si>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</si>
  <si>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</si>
  <si>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</si>
  <si>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</si>
  <si>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</si>
  <si>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</si>
  <si>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</si>
  <si>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</si>
  <si>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</si>
  <si>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</si>
  <si>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</si>
  <si>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</si>
  <si>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</si>
  <si>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</si>
  <si>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</si>
  <si>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</si>
  <si>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</si>
  <si>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</si>
  <si>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</si>
  <si>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</si>
  <si>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</si>
  <si>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</si>
  <si>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</si>
  <si>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</si>
  <si>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</si>
  <si>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</si>
  <si>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</si>
  <si>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</si>
  <si>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</si>
  <si>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</si>
  <si>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</si>
  <si>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</si>
  <si>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</si>
  <si>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</si>
  <si>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</si>
  <si>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</si>
  <si>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</si>
  <si>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</si>
  <si>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</si>
  <si>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</si>
  <si>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</si>
  <si>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</si>
  <si>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</si>
  <si>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</si>
  <si>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</si>
  <si>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</si>
  <si>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</si>
  <si>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</si>
  <si>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</si>
  <si>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</si>
  <si>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</si>
  <si>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</si>
  <si>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</si>
  <si>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</si>
  <si>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</si>
  <si>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</si>
  <si>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</si>
  <si>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</si>
  <si>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</si>
  <si>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</si>
  <si>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</si>
  <si>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</si>
  <si>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</si>
  <si>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</si>
  <si>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</si>
  <si>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</si>
  <si>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</si>
  <si>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</si>
  <si>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</si>
  <si>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</si>
  <si>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</si>
  <si>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</si>
  <si>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</si>
  <si>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</si>
  <si>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</si>
  <si>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</si>
  <si>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</si>
  <si>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</si>
  <si>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</si>
  <si>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</si>
  <si>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</si>
  <si>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</si>
  <si>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</si>
  <si>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</si>
  <si>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</si>
  <si>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</si>
  <si>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</si>
  <si>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</si>
  <si>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</si>
  <si>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</si>
  <si>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</si>
  <si>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</si>
  <si>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</si>
  <si>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</si>
  <si>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</si>
  <si>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</si>
  <si>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</si>
  <si>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</si>
  <si>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</si>
  <si>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</si>
  <si>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</si>
  <si>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</si>
  <si>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</si>
  <si>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</si>
  <si>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</si>
  <si>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</si>
  <si>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</si>
  <si>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</si>
  <si>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</si>
  <si>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</si>
  <si>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</si>
  <si>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</si>
  <si>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</si>
  <si>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</si>
  <si>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</si>
  <si>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</si>
  <si>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</si>
  <si>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</si>
  <si>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</si>
  <si>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</si>
  <si>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</si>
  <si>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</si>
  <si>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</si>
  <si>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</si>
  <si>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</si>
  <si>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</si>
  <si>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</si>
  <si>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</si>
  <si>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</si>
  <si>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</si>
  <si>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</si>
  <si>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</si>
  <si>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</si>
  <si>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</si>
  <si>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</si>
  <si>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</si>
  <si>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</si>
  <si>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</si>
  <si>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</si>
  <si>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</si>
  <si>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</si>
  <si>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</si>
  <si>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</si>
  <si>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</si>
  <si>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</si>
  <si>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</si>
  <si>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</si>
  <si>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</si>
  <si>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</si>
  <si>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</si>
  <si>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</si>
  <si>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</si>
  <si>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</si>
  <si>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</si>
  <si>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</si>
  <si>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</si>
  <si>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</si>
  <si>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</si>
  <si>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</si>
  <si>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</si>
  <si>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</si>
  <si>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</si>
  <si>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</si>
  <si>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</si>
  <si>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</si>
  <si>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</si>
  <si>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</si>
  <si>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</si>
  <si>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</si>
  <si>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</si>
  <si>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</si>
  <si>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</si>
  <si>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</si>
  <si>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</si>
  <si>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</si>
  <si>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</si>
  <si>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</si>
  <si>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</si>
  <si>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</si>
  <si>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</si>
  <si>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</si>
  <si>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</si>
  <si>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</si>
  <si>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</si>
  <si>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</si>
  <si>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</si>
  <si>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</si>
  <si>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</si>
  <si>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</si>
  <si>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</si>
  <si>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</si>
  <si>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</si>
  <si>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</si>
  <si>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</si>
  <si>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</si>
  <si>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</si>
  <si>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</si>
  <si>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</si>
  <si>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</si>
  <si>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</si>
  <si>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</si>
  <si>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</si>
  <si>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</si>
  <si>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</si>
  <si>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</si>
  <si>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</si>
  <si>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</si>
  <si>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</si>
  <si>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</si>
  <si>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</si>
  <si>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</si>
  <si>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</si>
  <si>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</si>
  <si>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</si>
  <si>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</si>
  <si>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</si>
  <si>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</si>
  <si>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</si>
  <si>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</si>
  <si>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</si>
  <si>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</si>
  <si>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</si>
  <si>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</si>
  <si>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</si>
  <si>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</si>
  <si>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</si>
  <si>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</si>
  <si>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</si>
  <si>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</si>
  <si>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</si>
  <si>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</si>
  <si>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</si>
  <si>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</si>
  <si>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</si>
  <si>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</si>
  <si>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</si>
  <si>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</si>
  <si>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</si>
  <si>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</si>
  <si>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</si>
  <si>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</si>
  <si>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</si>
  <si>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</si>
  <si>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</si>
  <si>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</si>
  <si>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</si>
  <si>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</si>
  <si>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</si>
  <si>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</si>
  <si>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</si>
  <si>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</si>
  <si>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</si>
  <si>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</si>
  <si>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</si>
  <si>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</si>
  <si>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</si>
  <si>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</si>
  <si>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</si>
  <si>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</si>
  <si>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</si>
  <si>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</si>
  <si>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</si>
  <si>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</si>
  <si>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</si>
  <si>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</si>
  <si>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</si>
  <si>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</si>
  <si>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</si>
  <si>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</si>
  <si>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</si>
  <si>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</si>
  <si>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</si>
  <si>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</si>
  <si>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</si>
  <si>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</si>
  <si>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</si>
  <si>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</si>
  <si>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</si>
  <si>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</si>
  <si>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</si>
  <si>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</si>
  <si>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</si>
  <si>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</si>
  <si>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</si>
  <si>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</si>
  <si>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</si>
  <si>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</si>
  <si>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</si>
  <si>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</si>
  <si>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</si>
  <si>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</si>
  <si>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</si>
  <si>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</si>
  <si>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</si>
  <si>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</si>
  <si>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</si>
  <si>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</si>
  <si>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</si>
  <si>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</si>
  <si>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</si>
  <si>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</si>
  <si>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</si>
  <si>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</si>
  <si>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</si>
  <si>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</si>
  <si>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</si>
  <si>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</si>
  <si>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</si>
  <si>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</si>
  <si>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</si>
  <si>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</si>
  <si>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</si>
  <si>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</si>
  <si>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</si>
  <si>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</si>
  <si>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</si>
  <si>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</si>
  <si>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</si>
  <si>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</si>
  <si>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</si>
  <si>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</si>
  <si>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</si>
  <si>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</si>
  <si>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</si>
  <si>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</si>
  <si>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</si>
  <si>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</si>
  <si>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</si>
  <si>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</si>
  <si>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</si>
  <si>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</si>
  <si>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</si>
  <si>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</si>
  <si>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</si>
  <si>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</si>
  <si>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</si>
  <si>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</si>
  <si>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</si>
  <si>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</si>
  <si>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</si>
  <si>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</si>
  <si>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</si>
  <si>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</si>
  <si>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</si>
  <si>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</si>
  <si>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</si>
  <si>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</si>
  <si>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</si>
  <si>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</si>
  <si>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</si>
  <si>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</si>
  <si>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</si>
  <si>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</si>
  <si>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</si>
  <si>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</si>
  <si>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</si>
  <si>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</si>
  <si>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</si>
  <si>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</si>
  <si>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</si>
  <si>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</si>
  <si>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</si>
  <si>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</si>
  <si>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</si>
  <si>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</si>
  <si>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</si>
  <si>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</si>
  <si>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</si>
  <si>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</si>
  <si>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</si>
  <si>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</si>
  <si>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</si>
  <si>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</si>
  <si>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</si>
  <si>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</si>
  <si>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</si>
  <si>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</si>
  <si>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</si>
  <si>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</si>
  <si>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</si>
  <si>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</si>
  <si>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</si>
  <si>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</si>
  <si>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</si>
  <si>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</si>
  <si>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</si>
  <si>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</si>
  <si>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</si>
  <si>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</si>
  <si>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</si>
  <si>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</si>
  <si>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</si>
  <si>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</si>
  <si>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</si>
  <si>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</si>
  <si>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</si>
  <si>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</si>
  <si>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</si>
  <si>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</si>
  <si>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</si>
  <si>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</si>
  <si>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</si>
  <si>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</si>
  <si>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</si>
  <si>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</si>
  <si>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</si>
  <si>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</si>
  <si>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</si>
  <si>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</si>
  <si>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</si>
  <si>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</si>
  <si>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</si>
  <si>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</si>
  <si>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</si>
  <si>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</si>
  <si>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</si>
  <si>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</si>
  <si>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</si>
  <si>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</si>
  <si>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</si>
  <si>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</si>
  <si>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</si>
  <si>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</si>
  <si>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</si>
  <si>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</si>
  <si>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</si>
  <si>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</si>
  <si>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</si>
  <si>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</si>
  <si>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</si>
  <si>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</si>
  <si>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</si>
  <si>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</si>
  <si>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</si>
  <si>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</si>
  <si>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</si>
  <si>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</si>
  <si>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</si>
  <si>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</si>
  <si>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</si>
  <si>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</si>
  <si>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</si>
  <si>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</si>
  <si>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</si>
  <si>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</si>
  <si>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</si>
  <si>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</si>
  <si>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</si>
  <si>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</si>
  <si>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</si>
  <si>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</si>
  <si>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</si>
  <si>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</si>
  <si>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</si>
  <si>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</si>
  <si>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</si>
  <si>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</si>
  <si>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</si>
  <si>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</si>
  <si>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</si>
  <si>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</si>
  <si>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</si>
  <si>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</si>
  <si>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</si>
  <si>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</si>
  <si>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</si>
  <si>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</si>
  <si>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</si>
  <si>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</si>
  <si>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</si>
  <si>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</si>
  <si>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</si>
  <si>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</si>
  <si>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</si>
  <si>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</si>
  <si>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</si>
  <si>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</si>
  <si>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</si>
  <si>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</si>
  <si>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</si>
  <si>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</si>
  <si>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</si>
  <si>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</si>
  <si>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</si>
  <si>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</si>
  <si>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</si>
  <si>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</si>
  <si>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</si>
  <si>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</si>
  <si>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</si>
  <si>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</si>
  <si>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</si>
  <si>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</si>
  <si>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</si>
  <si>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</si>
  <si>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</si>
  <si>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</si>
  <si>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</si>
  <si>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</si>
  <si>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</si>
  <si>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</si>
  <si>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</si>
  <si>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</si>
  <si>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</si>
  <si>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</si>
  <si>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</si>
  <si>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</si>
  <si>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</si>
  <si>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</si>
  <si>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</si>
  <si>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</si>
  <si>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</si>
  <si>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</si>
  <si>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</si>
  <si>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</si>
  <si>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</si>
  <si>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</si>
  <si>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</si>
  <si>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</si>
  <si>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</si>
  <si>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</si>
  <si>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</si>
  <si>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</si>
  <si>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</si>
  <si>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</si>
  <si>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</si>
  <si>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</si>
  <si>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</si>
  <si>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</si>
  <si>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</si>
  <si>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</si>
  <si>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</si>
  <si>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</si>
  <si>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</si>
  <si>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</si>
  <si>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</si>
  <si>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</si>
  <si>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</si>
  <si>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</si>
  <si>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</si>
  <si>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</si>
  <si>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</si>
  <si>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</si>
  <si>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</si>
  <si>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</si>
  <si>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</si>
  <si>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</si>
  <si>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</si>
  <si>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</si>
  <si>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</si>
  <si>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</si>
  <si>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</si>
  <si>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</si>
  <si>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</si>
  <si>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</si>
  <si>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</si>
  <si>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</si>
  <si>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</si>
  <si>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</si>
  <si>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</si>
  <si>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</si>
  <si>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</si>
  <si>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</si>
  <si>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</si>
  <si>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</si>
  <si>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</si>
  <si>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</si>
  <si>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</si>
  <si>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</si>
  <si>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</si>
  <si>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</si>
  <si>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</si>
  <si>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</si>
  <si>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</si>
  <si>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</si>
  <si>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</si>
  <si>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</si>
  <si>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</si>
  <si>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</si>
  <si>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</si>
  <si>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</si>
  <si>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</si>
  <si>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</si>
  <si>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</si>
  <si>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</si>
  <si>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</si>
  <si>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</si>
  <si>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</si>
  <si>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</si>
  <si>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</si>
  <si>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</si>
  <si>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</si>
  <si>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</si>
  <si>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</si>
  <si>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</si>
  <si>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</si>
  <si>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</si>
  <si>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</si>
  <si>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</si>
  <si>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</si>
  <si>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</si>
  <si>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</si>
  <si>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</si>
  <si>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</si>
  <si>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</si>
  <si>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</si>
  <si>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</si>
  <si>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</si>
  <si>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</si>
  <si>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</si>
  <si>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</si>
  <si>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</si>
  <si>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</si>
  <si>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</si>
  <si>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</si>
  <si>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</si>
  <si>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</si>
  <si>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</si>
  <si>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</si>
  <si>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</si>
  <si>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</si>
  <si>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</si>
  <si>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</si>
  <si>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</si>
  <si>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</si>
  <si>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</si>
  <si>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</si>
  <si>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</si>
  <si>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</si>
  <si>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</si>
  <si>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</si>
  <si>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</si>
  <si>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</si>
  <si>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</si>
  <si>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</si>
  <si>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</si>
  <si>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</si>
  <si>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</si>
  <si>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</si>
  <si>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</si>
  <si>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</si>
  <si>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</si>
  <si>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</si>
  <si>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</si>
  <si>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</si>
  <si>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</si>
  <si>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</si>
  <si>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</si>
  <si>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</si>
  <si>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</si>
  <si>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</si>
  <si>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</si>
  <si>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</si>
  <si>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</si>
  <si>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</si>
  <si>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</si>
  <si>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</si>
  <si>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</si>
  <si>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</si>
  <si>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</si>
  <si>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</si>
  <si>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</si>
  <si>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</si>
  <si>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</si>
  <si>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</si>
  <si>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</si>
  <si>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</si>
  <si>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</si>
  <si>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</si>
  <si>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</si>
  <si>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</si>
  <si>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</si>
  <si>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</si>
  <si>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</si>
  <si>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</si>
  <si>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</si>
  <si>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</si>
  <si>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</si>
  <si>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</si>
  <si>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</si>
  <si>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</si>
  <si>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</si>
  <si>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</si>
  <si>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</si>
  <si>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</si>
  <si>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</si>
  <si>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</si>
  <si>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</si>
  <si>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</si>
  <si>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</si>
  <si>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</si>
  <si>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</si>
  <si>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</si>
  <si>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</si>
  <si>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</si>
  <si>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</si>
  <si>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</si>
  <si>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</si>
  <si>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</si>
  <si>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</si>
  <si>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</si>
  <si>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</si>
  <si>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</si>
  <si>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</si>
  <si>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</si>
  <si>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</si>
  <si>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</si>
  <si>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</si>
  <si>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</si>
  <si>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</si>
  <si>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</si>
  <si>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</si>
  <si>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</si>
  <si>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</si>
  <si>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</si>
  <si>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</si>
  <si>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</si>
  <si>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</si>
  <si>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</si>
  <si>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</si>
  <si>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</si>
  <si>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</si>
  <si>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</si>
  <si>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</si>
  <si>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</si>
  <si>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</si>
  <si>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</si>
  <si>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</si>
  <si>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</si>
  <si>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</si>
  <si>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</si>
  <si>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</si>
  <si>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</si>
  <si>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</si>
  <si>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</si>
  <si>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</si>
  <si>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</si>
  <si>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</si>
  <si>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</si>
  <si>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</si>
  <si>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</si>
  <si>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</si>
  <si>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</si>
  <si>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</si>
  <si>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</si>
  <si>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</si>
  <si>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</si>
  <si>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</si>
  <si>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</si>
  <si>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</si>
  <si>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</si>
  <si>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</si>
  <si>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</si>
  <si>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</si>
  <si>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</si>
  <si>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</si>
  <si>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</si>
  <si>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</si>
  <si>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</si>
  <si>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</si>
  <si>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</si>
  <si>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</si>
  <si>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</si>
  <si>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</si>
  <si>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</si>
  <si>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</si>
  <si>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</si>
  <si>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</si>
  <si>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</si>
  <si>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</si>
  <si>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</si>
  <si>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</si>
  <si>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</si>
  <si>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</si>
  <si>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</si>
  <si>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</si>
  <si>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</si>
  <si>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</si>
  <si>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</si>
  <si>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</si>
  <si>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</si>
  <si>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</si>
  <si>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</si>
  <si>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</si>
  <si>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</si>
  <si>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</si>
  <si>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</si>
  <si>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</si>
  <si>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</si>
  <si>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</si>
  <si>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</si>
  <si>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</si>
  <si>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</si>
  <si>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</si>
  <si>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</si>
  <si>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</si>
  <si>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</si>
  <si>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</si>
  <si>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</si>
  <si>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</si>
  <si>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</si>
  <si>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</si>
  <si>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</si>
  <si>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</si>
  <si>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</si>
  <si>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</si>
  <si>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</si>
  <si>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</si>
  <si>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</si>
  <si>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</si>
  <si>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</si>
  <si>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</si>
  <si>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</si>
  <si>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</si>
  <si>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</si>
  <si>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</si>
  <si>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</si>
  <si>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</si>
  <si>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</si>
  <si>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</si>
  <si>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</si>
  <si>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</si>
  <si>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</si>
  <si>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</si>
  <si>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</si>
  <si>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</si>
  <si>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</si>
  <si>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</si>
  <si>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</si>
  <si>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</si>
  <si>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</si>
  <si>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</si>
  <si>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</si>
  <si>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</si>
  <si>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</si>
  <si>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</si>
  <si>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</si>
  <si>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</si>
  <si>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</si>
  <si>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</si>
  <si>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</si>
  <si>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</si>
  <si>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</si>
  <si>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</si>
  <si>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</si>
  <si>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</si>
  <si>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</si>
  <si>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</si>
  <si>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</si>
  <si>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</si>
  <si>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</si>
  <si>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</si>
  <si>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</si>
  <si>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</si>
  <si>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</si>
  <si>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</si>
  <si>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</si>
  <si>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</si>
  <si>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</si>
  <si>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</si>
  <si>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</si>
  <si>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</si>
  <si>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</si>
  <si>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</si>
  <si>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</si>
  <si>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</si>
  <si>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</si>
  <si>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</si>
  <si>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</si>
  <si>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</si>
  <si>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</si>
  <si>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</si>
  <si>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</si>
  <si>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</si>
  <si>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</si>
  <si>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</si>
  <si>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</si>
  <si>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</si>
  <si>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</si>
  <si>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</si>
  <si>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</si>
  <si>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</si>
  <si>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</si>
  <si>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</si>
  <si>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</si>
  <si>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</si>
  <si>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</si>
  <si>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</si>
  <si>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</si>
  <si>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</si>
  <si>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</si>
  <si>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</si>
  <si>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</si>
  <si>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</si>
  <si>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</si>
  <si>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</si>
  <si>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</si>
  <si>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</si>
  <si>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</si>
  <si>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</si>
  <si>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</si>
  <si>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</si>
  <si>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</si>
  <si>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</si>
  <si>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</si>
  <si>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</si>
  <si>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</si>
  <si>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</si>
  <si>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</si>
  <si>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</si>
  <si>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</si>
  <si>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</si>
  <si>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</si>
  <si>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</si>
  <si>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</si>
  <si>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</si>
  <si>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</si>
  <si>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</si>
  <si>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</si>
  <si>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</si>
  <si>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</si>
  <si>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</si>
  <si>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</si>
  <si>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</si>
  <si>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</si>
  <si>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</si>
  <si>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</si>
  <si>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</si>
  <si>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</si>
  <si>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</si>
  <si>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</si>
  <si>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</si>
  <si>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</si>
  <si>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</si>
  <si>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</si>
  <si>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</si>
  <si>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</si>
  <si>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</si>
  <si>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</si>
  <si>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</si>
  <si>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</si>
  <si>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</si>
  <si>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</si>
  <si>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</si>
  <si>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</si>
  <si>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</si>
  <si>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</si>
  <si>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</si>
  <si>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</si>
  <si>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</si>
  <si>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</si>
  <si>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</si>
  <si>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</si>
  <si>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</si>
  <si>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</si>
  <si>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</si>
  <si>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</si>
  <si>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</si>
  <si>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</si>
  <si>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</si>
  <si>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</si>
  <si>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</si>
  <si>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</si>
  <si>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</si>
  <si>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</si>
  <si>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</si>
  <si>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</si>
  <si>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</si>
  <si>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</si>
  <si>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</si>
  <si>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</si>
  <si>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</si>
  <si>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</si>
  <si>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</si>
  <si>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</si>
  <si>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</si>
  <si>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</si>
  <si>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</si>
  <si>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</si>
  <si>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</si>
  <si>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</si>
  <si>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</si>
  <si>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</si>
  <si>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</si>
  <si>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</si>
  <si>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</si>
  <si>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</si>
  <si>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</si>
  <si>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</si>
  <si>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</si>
  <si>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</si>
  <si>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</si>
  <si>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</si>
  <si>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</si>
  <si>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</si>
  <si>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</si>
  <si>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</si>
  <si>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</si>
  <si>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</si>
  <si>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</si>
  <si>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</si>
  <si>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</si>
  <si>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</si>
  <si>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</si>
  <si>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</si>
  <si>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</si>
  <si>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</si>
  <si>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</si>
  <si>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</si>
  <si>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</si>
  <si>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</si>
  <si>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</si>
  <si>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</si>
  <si>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</si>
  <si>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</si>
  <si>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</si>
  <si>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</si>
  <si>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</si>
  <si>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</si>
  <si>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</si>
  <si>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</si>
  <si>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</si>
  <si>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</si>
  <si>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</si>
  <si>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</si>
  <si>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</si>
  <si>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</si>
  <si>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</si>
  <si>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</si>
  <si>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</si>
  <si>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</si>
  <si>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</si>
  <si>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</si>
  <si>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</si>
  <si>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</si>
  <si>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</si>
  <si>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</si>
  <si>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</si>
  <si>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</si>
  <si>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</si>
  <si>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</si>
  <si>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</si>
  <si>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</si>
  <si>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</si>
  <si>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</si>
  <si>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</si>
  <si>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</si>
  <si>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</si>
  <si>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</si>
  <si>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</si>
  <si>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</si>
  <si>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</si>
  <si>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</si>
  <si>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</si>
  <si>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</si>
  <si>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</si>
  <si>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</si>
  <si>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</si>
  <si>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</si>
  <si>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</si>
  <si>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</si>
  <si>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</si>
  <si>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</si>
  <si>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</si>
  <si>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</si>
  <si>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</si>
  <si>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</si>
  <si>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</si>
  <si>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</si>
  <si>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</si>
  <si>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</si>
  <si>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</si>
  <si>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</si>
  <si>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</si>
  <si>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</si>
  <si>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</si>
  <si>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</si>
  <si>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</si>
  <si>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</si>
  <si>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</si>
  <si>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</si>
  <si>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</si>
  <si>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</si>
  <si>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</si>
  <si>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</si>
  <si>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</si>
  <si>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</si>
  <si>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</si>
  <si>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</si>
  <si>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</si>
  <si>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</si>
  <si>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</si>
  <si>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</si>
  <si>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</si>
  <si>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</si>
  <si>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</si>
  <si>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</si>
  <si>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</si>
  <si>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</si>
  <si>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</si>
  <si>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</si>
  <si>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</si>
  <si>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</si>
  <si>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</si>
  <si>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</si>
  <si>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</si>
  <si>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</si>
  <si>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</si>
  <si>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</si>
  <si>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</si>
  <si>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</si>
  <si>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</si>
  <si>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</si>
  <si>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</si>
  <si>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</si>
  <si>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</si>
  <si>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</si>
  <si>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</si>
  <si>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</si>
  <si>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</si>
  <si>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</si>
  <si>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</si>
  <si>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</si>
  <si>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</si>
  <si>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</si>
  <si>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</si>
  <si>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</si>
  <si>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</si>
  <si>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</si>
  <si>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</si>
  <si>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</si>
  <si>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</si>
  <si>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</si>
  <si>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</si>
  <si>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</si>
  <si>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</si>
  <si>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</si>
  <si>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</si>
  <si>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</si>
  <si>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</si>
  <si>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</si>
  <si>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</si>
  <si>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</si>
  <si>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</si>
  <si>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</si>
  <si>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</si>
  <si>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</si>
  <si>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</si>
  <si>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</si>
  <si>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</si>
  <si>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</si>
  <si>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</si>
  <si>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</si>
  <si>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</si>
  <si>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</si>
  <si>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</si>
  <si>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</si>
  <si>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</si>
  <si>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</si>
  <si>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</si>
  <si>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</si>
  <si>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</si>
  <si>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</si>
  <si>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</si>
  <si>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</si>
  <si>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</si>
  <si>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</si>
  <si>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</si>
  <si>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</si>
  <si>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</si>
  <si>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</si>
  <si>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</si>
  <si>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</si>
  <si>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</si>
  <si>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</si>
  <si>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</si>
  <si>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</si>
  <si>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</si>
  <si>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</si>
  <si>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</si>
  <si>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</si>
  <si>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</si>
  <si>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</si>
  <si>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</si>
  <si>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</si>
  <si>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</si>
  <si>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</si>
  <si>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</si>
  <si>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</si>
  <si>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</si>
  <si>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</si>
  <si>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</si>
  <si>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</si>
  <si>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</si>
  <si>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</si>
  <si>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</si>
  <si>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</si>
  <si>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</si>
  <si>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</si>
  <si>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</si>
  <si>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</si>
  <si>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</si>
  <si>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</si>
  <si>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</si>
  <si>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</si>
  <si>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</si>
  <si>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</si>
  <si>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</si>
  <si>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</si>
  <si>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</si>
  <si>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</si>
  <si>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</si>
  <si>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</si>
  <si>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</si>
  <si>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</si>
  <si>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</si>
  <si>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</si>
  <si>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</si>
  <si>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</si>
  <si>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</si>
  <si>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</si>
  <si>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</si>
  <si>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</si>
  <si>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</si>
  <si>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</si>
  <si>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</si>
  <si>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</si>
  <si>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</si>
  <si>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</si>
  <si>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</si>
  <si>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</si>
  <si>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</si>
  <si>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</si>
  <si>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</si>
  <si>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</si>
  <si>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</si>
  <si>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</si>
  <si>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</si>
  <si>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</si>
  <si>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</si>
  <si>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</si>
  <si>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</si>
  <si>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</si>
  <si>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</si>
  <si>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</si>
  <si>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</si>
  <si>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</si>
  <si>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</si>
  <si>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</si>
  <si>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</si>
  <si>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</si>
  <si>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</si>
  <si>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</si>
  <si>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</si>
  <si>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</si>
  <si>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</si>
  <si>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</si>
  <si>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</si>
  <si>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</si>
  <si>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</si>
  <si>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</si>
  <si>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</si>
  <si>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</si>
  <si>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</si>
  <si>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</si>
  <si>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</si>
  <si>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</si>
  <si>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</si>
  <si>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</si>
  <si>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</si>
  <si>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</si>
  <si>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</si>
  <si>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</si>
  <si>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</si>
  <si>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</si>
  <si>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</si>
  <si>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</si>
  <si>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</si>
  <si>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</si>
  <si>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</si>
  <si>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</si>
  <si>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</si>
  <si>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</si>
  <si>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</si>
  <si>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</si>
  <si>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</si>
  <si>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</si>
  <si>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</si>
  <si>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</si>
  <si>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</si>
  <si>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</si>
  <si>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</si>
  <si>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</si>
  <si>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</si>
  <si>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</si>
  <si>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</si>
  <si>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</si>
  <si>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</si>
  <si>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</si>
  <si>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</si>
  <si>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</si>
  <si>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</si>
  <si>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</si>
  <si>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</si>
  <si>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</si>
  <si>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</si>
  <si>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</si>
  <si>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</si>
  <si>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</si>
  <si>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</si>
  <si>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</si>
  <si>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</si>
  <si>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</si>
  <si>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</si>
  <si>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</si>
  <si>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</si>
  <si>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</si>
  <si>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</si>
  <si>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</si>
  <si>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</si>
  <si>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</si>
  <si>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</si>
  <si>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</si>
  <si>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</si>
  <si>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</si>
  <si>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</si>
  <si>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</si>
  <si>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</si>
  <si>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</si>
  <si>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</si>
  <si>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</si>
  <si>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</si>
  <si>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</si>
  <si>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</si>
  <si>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</si>
  <si>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</si>
  <si>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</si>
  <si>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</si>
  <si>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</si>
  <si>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</si>
  <si>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</si>
  <si>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</si>
  <si>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</si>
  <si>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</si>
  <si>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</si>
  <si>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</si>
  <si>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</si>
  <si>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</si>
  <si>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</si>
  <si>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</si>
  <si>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</si>
  <si>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</si>
  <si>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</si>
  <si>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</si>
  <si>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</si>
  <si>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</si>
  <si>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</si>
  <si>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</si>
  <si>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</si>
  <si>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</si>
  <si>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</si>
  <si>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</si>
  <si>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</si>
  <si>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</si>
  <si>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</si>
  <si>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</si>
  <si>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</si>
  <si>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</si>
  <si>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</si>
  <si>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</si>
  <si>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</si>
  <si>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</si>
  <si>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</si>
  <si>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</si>
  <si>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</si>
  <si>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</si>
  <si>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</si>
  <si>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</si>
  <si>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</si>
  <si>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</si>
  <si>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</si>
  <si>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</si>
  <si>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</si>
  <si>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</si>
  <si>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</si>
  <si>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</si>
  <si>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</si>
  <si>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</si>
  <si>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</si>
  <si>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</si>
  <si>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</si>
  <si>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</si>
  <si>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</si>
  <si>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</si>
  <si>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</si>
  <si>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</si>
  <si>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</si>
  <si>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</si>
  <si>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</si>
  <si>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</si>
  <si>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</si>
  <si>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</si>
  <si>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</si>
  <si>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</si>
  <si>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</si>
  <si>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</si>
  <si>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</si>
  <si>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</si>
  <si>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</si>
  <si>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</si>
  <si>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</si>
  <si>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</si>
  <si>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</si>
  <si>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</si>
  <si>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</si>
  <si>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</si>
  <si>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</si>
  <si>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</si>
  <si>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</si>
  <si>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</si>
  <si>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</si>
  <si>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</si>
  <si>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</si>
  <si>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</si>
  <si>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</si>
  <si>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</si>
  <si>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</si>
  <si>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</si>
  <si>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</si>
  <si>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</si>
  <si>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</si>
  <si>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</si>
  <si>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</si>
  <si>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</si>
  <si>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</si>
  <si>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</si>
  <si>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</si>
  <si>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</si>
  <si>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</si>
  <si>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</si>
  <si>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</si>
  <si>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</si>
  <si>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</si>
  <si>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</si>
  <si>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</si>
  <si>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</si>
  <si>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</si>
  <si>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</si>
  <si>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</si>
  <si>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</si>
  <si>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</si>
  <si>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</si>
  <si>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</si>
  <si>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</si>
  <si>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</si>
  <si>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</si>
  <si>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</si>
  <si>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</si>
  <si>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</si>
  <si>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</si>
  <si>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</si>
  <si>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</si>
  <si>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</si>
  <si>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</si>
  <si>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</si>
  <si>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</si>
  <si>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</si>
  <si>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</si>
  <si>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</si>
  <si>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</si>
  <si>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</si>
  <si>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</si>
  <si>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</si>
  <si>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</si>
  <si>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</si>
  <si>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</si>
  <si>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</si>
  <si>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</si>
  <si>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</si>
  <si>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</si>
  <si>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</si>
  <si>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</si>
  <si>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</si>
  <si>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</si>
  <si>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</si>
  <si>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</si>
  <si>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</si>
  <si>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</si>
  <si>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</si>
  <si>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</si>
  <si>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</si>
  <si>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</si>
  <si>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</si>
  <si>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</si>
  <si>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</si>
  <si>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</si>
  <si>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</si>
  <si>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</si>
  <si>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</si>
  <si>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</si>
  <si>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</si>
  <si>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</si>
  <si>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</si>
  <si>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</si>
  <si>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</si>
  <si>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</si>
  <si>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</si>
  <si>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</si>
  <si>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</si>
  <si>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</si>
  <si>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</si>
  <si>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</si>
  <si>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</si>
  <si>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</si>
  <si>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</si>
  <si>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</si>
  <si>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</si>
  <si>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</si>
  <si>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</si>
  <si>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</si>
  <si>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</si>
  <si>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</si>
  <si>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</si>
  <si>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</si>
  <si>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</si>
  <si>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</si>
  <si>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</si>
  <si>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</si>
  <si>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</si>
  <si>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</si>
  <si>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</si>
  <si>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</si>
  <si>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</si>
  <si>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</si>
  <si>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</si>
  <si>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</si>
  <si>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</si>
  <si>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</si>
  <si>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</si>
  <si>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</si>
  <si>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</si>
  <si>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</si>
  <si>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</si>
  <si>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</si>
  <si>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</si>
  <si>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</si>
  <si>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</si>
  <si>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</si>
  <si>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</si>
  <si>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</si>
  <si>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</si>
  <si>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</si>
  <si>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</si>
  <si>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</si>
  <si>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</si>
  <si>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</si>
  <si>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</si>
  <si>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</si>
  <si>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</si>
  <si>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</si>
  <si>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</si>
  <si>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</si>
  <si>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</si>
  <si>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</si>
  <si>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</si>
  <si>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</si>
  <si>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</si>
  <si>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</si>
  <si>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</si>
  <si>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</si>
  <si>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</si>
  <si>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</si>
  <si>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</si>
  <si>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</si>
  <si>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</si>
  <si>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</si>
  <si>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</si>
  <si>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</si>
  <si>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</si>
  <si>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</si>
  <si>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</si>
  <si>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</si>
  <si>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</si>
  <si>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</si>
  <si>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</si>
  <si>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</si>
  <si>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</si>
  <si>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</si>
  <si>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</si>
  <si>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</si>
  <si>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</si>
  <si>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</si>
  <si>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</si>
  <si>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</si>
  <si>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</si>
  <si>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</si>
  <si>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</si>
  <si>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</si>
  <si>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</si>
  <si>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</si>
  <si>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</si>
  <si>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</si>
  <si>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</si>
  <si>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</si>
  <si>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</si>
  <si>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</si>
  <si>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</si>
  <si>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</si>
  <si>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</si>
  <si>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</si>
  <si>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</si>
  <si>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</si>
  <si>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</si>
  <si>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</si>
  <si>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</si>
  <si>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</si>
  <si>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</si>
  <si>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</si>
  <si>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</si>
  <si>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</si>
  <si>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</si>
  <si>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</si>
  <si>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</si>
  <si>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</si>
  <si>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</si>
  <si>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</si>
  <si>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</si>
  <si>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</si>
  <si>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</si>
  <si>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</si>
  <si>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</si>
  <si>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</si>
  <si>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</si>
  <si>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</si>
  <si>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</si>
  <si>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</si>
  <si>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</si>
  <si>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</si>
  <si>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</si>
  <si>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</si>
  <si>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</si>
  <si>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</si>
  <si>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</si>
  <si>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</si>
  <si>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</si>
  <si>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</si>
  <si>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</si>
  <si>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</si>
  <si>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</si>
  <si>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</si>
  <si>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</si>
  <si>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</si>
  <si>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</si>
  <si>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</si>
  <si>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</si>
  <si>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</si>
  <si>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</si>
  <si>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</si>
  <si>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</si>
  <si>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</si>
  <si>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</si>
  <si>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</si>
  <si>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</si>
  <si>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</si>
  <si>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</si>
  <si>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</si>
  <si>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</si>
  <si>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</si>
  <si>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</si>
  <si>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</si>
  <si>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</si>
  <si>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</si>
  <si>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</si>
  <si>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</si>
  <si>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</si>
  <si>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</si>
  <si>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</si>
  <si>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</si>
  <si>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</si>
  <si>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</si>
  <si>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</si>
  <si>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</si>
  <si>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</si>
  <si>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</si>
  <si>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</si>
  <si>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</si>
  <si>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</si>
  <si>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</si>
  <si>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</si>
  <si>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</si>
  <si>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</si>
  <si>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</si>
  <si>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</si>
  <si>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</si>
  <si>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</si>
  <si>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</si>
  <si>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</si>
  <si>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</si>
  <si>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</si>
  <si>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</si>
  <si>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</si>
  <si>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</si>
  <si>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</si>
  <si>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</si>
  <si>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</si>
  <si>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</si>
  <si>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</si>
  <si>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</si>
  <si>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</si>
  <si>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</si>
  <si>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</si>
  <si>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</si>
  <si>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</si>
  <si>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</si>
  <si>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</si>
  <si>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</si>
  <si>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</si>
  <si>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</si>
  <si>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</si>
  <si>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</si>
  <si>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</si>
  <si>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</si>
  <si>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</si>
  <si>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</si>
  <si>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</si>
  <si>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</si>
  <si>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</si>
  <si>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</si>
  <si>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</si>
  <si>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</si>
  <si>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</si>
  <si>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</si>
  <si>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</si>
  <si>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</si>
  <si>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</si>
  <si>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</si>
  <si>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</si>
  <si>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</si>
  <si>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</si>
  <si>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</si>
  <si>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</si>
  <si>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</si>
  <si>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</si>
  <si>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</si>
  <si>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</si>
  <si>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</si>
  <si>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</si>
  <si>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</si>
  <si>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</si>
  <si>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</si>
  <si>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</si>
  <si>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</si>
  <si>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</si>
  <si>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</si>
  <si>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</si>
  <si>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</si>
  <si>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</si>
  <si>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</si>
  <si>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</si>
  <si>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</si>
  <si>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</si>
  <si>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</si>
  <si>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</si>
  <si>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</si>
  <si>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</si>
  <si>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</si>
  <si>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</si>
  <si>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</si>
  <si>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</si>
  <si>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</si>
  <si>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</si>
  <si>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</si>
  <si>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</si>
  <si>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</si>
  <si>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</si>
  <si>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</si>
  <si>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</si>
  <si>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</si>
  <si>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</si>
  <si>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</si>
  <si>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</si>
  <si>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</si>
  <si>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</si>
  <si>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</si>
  <si>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</si>
  <si>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</si>
  <si>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</si>
  <si>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</si>
  <si>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</si>
  <si>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</si>
  <si>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</si>
  <si>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</si>
  <si>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</si>
  <si>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</si>
  <si>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</si>
  <si>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</si>
  <si>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</si>
  <si>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</si>
  <si>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</si>
  <si>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</si>
  <si>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</si>
  <si>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</si>
  <si>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</si>
  <si>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</si>
  <si>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</si>
  <si>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</si>
  <si>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</si>
  <si>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</si>
  <si>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</si>
  <si>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</si>
  <si>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</si>
  <si>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</si>
  <si>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</si>
  <si>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</si>
  <si>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</si>
  <si>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</si>
  <si>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</si>
  <si>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</si>
  <si>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</si>
  <si>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</si>
  <si>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</si>
  <si>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</si>
  <si>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</si>
  <si>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</si>
  <si>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</si>
  <si>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</si>
  <si>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</si>
  <si>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</si>
  <si>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</si>
  <si>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</si>
  <si>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</si>
  <si>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</si>
  <si>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</si>
  <si>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</si>
  <si>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</si>
  <si>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</si>
  <si>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</si>
  <si>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</si>
  <si>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</si>
  <si>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</si>
  <si>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</si>
  <si>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</si>
  <si>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</si>
  <si>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</si>
  <si>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</si>
  <si>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</si>
  <si>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</si>
  <si>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</si>
  <si>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</si>
  <si>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</si>
  <si>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</si>
  <si>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</si>
  <si>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</si>
  <si>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</si>
  <si>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</si>
  <si>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</si>
  <si>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</si>
  <si>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</si>
  <si>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</si>
  <si>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</si>
  <si>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</si>
  <si>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</si>
  <si>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</si>
  <si>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</si>
  <si>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</si>
  <si>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</si>
  <si>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</si>
  <si>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</si>
  <si>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</si>
  <si>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</si>
  <si>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</si>
  <si>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</si>
  <si>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</si>
  <si>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</si>
  <si>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</si>
  <si>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</si>
  <si>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</si>
  <si>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</si>
  <si>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</si>
  <si>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</si>
  <si>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</si>
  <si>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</si>
  <si>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</si>
  <si>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</si>
  <si>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</si>
  <si>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</si>
  <si>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</si>
  <si>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</si>
  <si>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</si>
  <si>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</si>
  <si>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</si>
  <si>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</si>
  <si>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</si>
  <si>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</si>
  <si>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</si>
  <si>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</si>
  <si>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</si>
  <si>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</si>
  <si>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</si>
  <si>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</si>
  <si>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</si>
  <si>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</si>
  <si>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</si>
  <si>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</si>
  <si>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</si>
  <si>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</si>
  <si>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</si>
  <si>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</si>
  <si>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</si>
  <si>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</si>
  <si>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</si>
  <si>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</si>
  <si>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</si>
  <si>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</si>
  <si>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</si>
  <si>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</si>
  <si>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</si>
  <si>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</si>
  <si>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</si>
  <si>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</si>
  <si>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</si>
  <si>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</si>
  <si>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</si>
  <si>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</si>
  <si>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</si>
  <si>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</si>
  <si>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</si>
  <si>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</si>
  <si>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</si>
  <si>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</si>
  <si>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</si>
  <si>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</si>
  <si>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</si>
  <si>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</si>
  <si>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</si>
  <si>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</si>
  <si>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</si>
  <si>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</si>
  <si>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</si>
  <si>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</si>
  <si>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</si>
  <si>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</si>
  <si>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</si>
  <si>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</si>
  <si>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</si>
  <si>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</si>
  <si>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</si>
  <si>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</si>
  <si>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</si>
  <si>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</si>
  <si>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</si>
  <si>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</si>
  <si>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</si>
  <si>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</si>
  <si>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</si>
  <si>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</si>
  <si>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</si>
  <si>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</si>
  <si>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</si>
  <si>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</si>
  <si>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</si>
  <si>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</si>
  <si>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</si>
  <si>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</si>
  <si>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</si>
  <si>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</si>
  <si>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</si>
  <si>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</si>
  <si>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</si>
  <si>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</si>
  <si>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</si>
  <si>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</si>
  <si>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</si>
  <si>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</si>
  <si>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</si>
  <si>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</si>
  <si>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</si>
  <si>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</si>
  <si>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</si>
  <si>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</si>
  <si>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</si>
  <si>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</si>
  <si>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</si>
  <si>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</si>
  <si>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</si>
  <si>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</si>
  <si>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</si>
  <si>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</si>
  <si>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</si>
  <si>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</si>
  <si>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</si>
  <si>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</si>
  <si>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</si>
  <si>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</si>
  <si>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</si>
  <si>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</si>
  <si>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</si>
  <si>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</si>
  <si>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</si>
  <si>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</si>
  <si>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</si>
  <si>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</si>
  <si>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</si>
  <si>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</si>
  <si>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</si>
  <si>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</si>
  <si>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</si>
  <si>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</si>
  <si>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</si>
  <si>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</si>
  <si>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</si>
  <si>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</si>
  <si>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</si>
  <si>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</si>
  <si>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</si>
  <si>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</si>
  <si>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</si>
  <si>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</si>
  <si>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</si>
  <si>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</si>
  <si>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</si>
  <si>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</si>
  <si>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</si>
  <si>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</si>
  <si>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</si>
  <si>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</si>
  <si>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</si>
  <si>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</si>
  <si>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</si>
  <si>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</si>
  <si>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</si>
  <si>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</si>
  <si>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</si>
  <si>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</si>
  <si>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</si>
  <si>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</si>
  <si>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</si>
  <si>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</si>
  <si>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</si>
  <si>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</si>
  <si>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</si>
  <si>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</si>
  <si>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</si>
  <si>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</si>
  <si>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</si>
  <si>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</si>
  <si>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</si>
  <si>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</si>
  <si>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</si>
  <si>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</si>
  <si>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</si>
  <si>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</si>
  <si>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</si>
  <si>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</si>
  <si>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</si>
  <si>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</si>
  <si>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</si>
  <si>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</si>
  <si>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</si>
  <si>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</si>
  <si>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</si>
  <si>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</si>
  <si>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</si>
  <si>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</si>
  <si>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</si>
  <si>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</si>
  <si>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</si>
  <si>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</si>
  <si>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</si>
  <si>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</si>
  <si>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</si>
  <si>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</si>
  <si>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</si>
  <si>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</si>
  <si>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</si>
  <si>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</si>
  <si>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</si>
  <si>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</si>
  <si>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</si>
  <si>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</si>
  <si>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</si>
  <si>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</si>
  <si>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</si>
  <si>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</si>
  <si>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</si>
  <si>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</si>
  <si>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</si>
  <si>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</si>
  <si>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</si>
  <si>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</si>
  <si>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</si>
  <si>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</si>
  <si>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</si>
  <si>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</si>
  <si>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</si>
  <si>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</si>
  <si>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</si>
  <si>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</si>
  <si>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</si>
  <si>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</si>
  <si>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</si>
  <si>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</si>
  <si>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</si>
  <si>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</si>
  <si>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</si>
  <si>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</si>
  <si>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</si>
  <si>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</si>
  <si>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</si>
  <si>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</si>
  <si>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</si>
  <si>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</si>
  <si>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</si>
  <si>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</si>
  <si>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</si>
  <si>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</si>
  <si>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</si>
  <si>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</si>
  <si>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</si>
  <si>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</si>
  <si>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</si>
  <si>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</si>
  <si>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</si>
  <si>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</si>
  <si>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</si>
  <si>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</si>
  <si>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</si>
  <si>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</si>
  <si>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</si>
  <si>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</si>
  <si>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</si>
  <si>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</si>
  <si>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</si>
  <si>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</si>
  <si>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</si>
  <si>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</si>
  <si>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</si>
  <si>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</si>
  <si>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</si>
  <si>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</si>
  <si>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</si>
  <si>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</si>
  <si>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</si>
  <si>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</si>
  <si>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</si>
  <si>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</si>
  <si>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</si>
  <si>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</si>
  <si>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</si>
  <si>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</si>
  <si>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</si>
  <si>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</si>
  <si>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</si>
  <si>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</si>
  <si>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</si>
  <si>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</si>
  <si>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</si>
  <si>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</si>
  <si>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</si>
  <si>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</si>
  <si>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</si>
  <si>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</si>
  <si>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</si>
  <si>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</si>
  <si>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</si>
  <si>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</si>
  <si>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</si>
  <si>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</si>
  <si>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</si>
  <si>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</si>
  <si>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</si>
  <si>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</si>
  <si>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</si>
  <si>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</si>
  <si>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</si>
  <si>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</si>
  <si>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</si>
  <si>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</si>
  <si>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</si>
  <si>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</si>
  <si>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</si>
  <si>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</si>
  <si>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</si>
  <si>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</si>
  <si>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</si>
  <si>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</si>
  <si>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</si>
  <si>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</si>
  <si>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</si>
  <si>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</si>
  <si>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</si>
  <si>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</si>
  <si>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</si>
  <si>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</si>
  <si>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</si>
  <si>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</si>
  <si>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</si>
  <si>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</si>
  <si>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</si>
  <si>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</si>
  <si>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</si>
  <si>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</si>
  <si>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</si>
  <si>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</si>
  <si>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</si>
  <si>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</si>
  <si>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</si>
  <si>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</si>
  <si>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</si>
  <si>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</si>
  <si>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</si>
  <si>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</si>
  <si>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</si>
  <si>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</si>
  <si>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</si>
  <si>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</si>
  <si>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</si>
  <si>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</si>
  <si>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</si>
  <si>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</si>
  <si>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</si>
  <si>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</si>
  <si>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</si>
  <si>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</si>
  <si>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</si>
  <si>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</si>
  <si>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</si>
  <si>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</si>
  <si>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</si>
  <si>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</si>
  <si>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</si>
  <si>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</si>
  <si>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</si>
  <si>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</si>
  <si>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</si>
  <si>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</si>
  <si>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</si>
  <si>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</si>
  <si>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</si>
  <si>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</si>
  <si>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</si>
  <si>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</si>
  <si>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</si>
  <si>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</si>
  <si>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</si>
  <si>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</si>
  <si>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</si>
  <si>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</si>
  <si>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</si>
  <si>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</si>
  <si>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</si>
  <si>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</si>
  <si>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</si>
  <si>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</si>
  <si>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</si>
  <si>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</si>
  <si>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</si>
  <si>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</si>
  <si>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</si>
  <si>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</si>
  <si>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</si>
  <si>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</si>
  <si>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</si>
  <si>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</si>
  <si>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</si>
  <si>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</si>
  <si>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</si>
  <si>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</si>
  <si>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</si>
  <si>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</si>
  <si>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</si>
  <si>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</si>
  <si>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</si>
  <si>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</si>
  <si>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</si>
  <si>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</si>
  <si>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</si>
  <si>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</si>
  <si>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</si>
  <si>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</si>
  <si>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</si>
  <si>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</si>
  <si>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</si>
  <si>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</si>
  <si>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</si>
  <si>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</si>
  <si>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</si>
  <si>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</si>
  <si>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</si>
  <si>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</si>
  <si>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</si>
  <si>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</si>
  <si>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</si>
  <si>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</si>
  <si>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</si>
  <si>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</si>
  <si>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</si>
  <si>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</si>
  <si>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</si>
  <si>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</si>
  <si>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</si>
  <si>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</si>
  <si>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</si>
  <si>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</si>
  <si>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</si>
  <si>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</si>
  <si>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</si>
  <si>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</si>
  <si>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</si>
  <si>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</si>
  <si>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</si>
  <si>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</si>
  <si>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</si>
  <si>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</si>
  <si>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</si>
  <si>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</si>
  <si>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</si>
  <si>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</si>
  <si>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</si>
  <si>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</si>
  <si>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</si>
  <si>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</si>
  <si>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</si>
  <si>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</si>
  <si>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</si>
  <si>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</si>
  <si>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</si>
  <si>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</si>
  <si>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</si>
  <si>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</si>
  <si>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</si>
  <si>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</si>
  <si>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</si>
  <si>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</si>
  <si>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</si>
  <si>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</si>
  <si>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</si>
  <si>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</si>
  <si>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</si>
  <si>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</si>
  <si>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</si>
  <si>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</si>
  <si>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</si>
  <si>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</si>
  <si>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</si>
  <si>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</si>
  <si>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</si>
  <si>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</si>
  <si>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</si>
  <si>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</si>
  <si>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</si>
  <si>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</si>
  <si>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</si>
  <si>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</si>
  <si>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</si>
  <si>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</si>
  <si>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</si>
  <si>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</si>
  <si>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</si>
  <si>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</si>
  <si>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</si>
  <si>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</si>
  <si>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</si>
  <si>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</si>
  <si>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</si>
  <si>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</si>
  <si>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</si>
  <si>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</si>
  <si>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</si>
  <si>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</si>
  <si>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</si>
  <si>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</si>
  <si>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</si>
  <si>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</si>
  <si>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</si>
  <si>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</si>
  <si>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</si>
  <si>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</si>
  <si>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</si>
  <si>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</si>
  <si>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</si>
  <si>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</si>
  <si>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</si>
  <si>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</si>
  <si>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</si>
  <si>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</si>
  <si>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</si>
  <si>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</si>
  <si>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</si>
  <si>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</si>
  <si>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</si>
  <si>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</si>
  <si>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</si>
  <si>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</si>
  <si>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</si>
  <si>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</si>
  <si>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</si>
  <si>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</si>
  <si>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</si>
  <si>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</si>
  <si>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</si>
  <si>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</si>
  <si>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</si>
  <si>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</si>
  <si>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</si>
  <si>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</si>
  <si>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</si>
  <si>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</si>
  <si>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</si>
  <si>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</si>
  <si>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</si>
  <si>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</si>
  <si>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</si>
  <si>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</si>
  <si>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</si>
  <si>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</si>
  <si>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</si>
  <si>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</si>
  <si>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</si>
  <si>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</si>
  <si>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</si>
  <si>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</si>
  <si>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</si>
  <si>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</si>
  <si>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</si>
  <si>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</si>
  <si>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</si>
  <si>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</si>
  <si>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</si>
  <si>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</si>
  <si>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</si>
  <si>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</si>
  <si>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</si>
  <si>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</si>
  <si>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</si>
  <si>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</si>
  <si>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</si>
  <si>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</si>
  <si>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</si>
  <si>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</si>
  <si>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</si>
  <si>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</si>
  <si>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</si>
  <si>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</si>
  <si>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</si>
  <si>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</si>
  <si>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</si>
  <si>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</si>
  <si>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</si>
  <si>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</si>
  <si>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</si>
  <si>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</si>
  <si>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</si>
  <si>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</si>
  <si>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</si>
  <si>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</si>
  <si>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</si>
  <si>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</si>
  <si>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</si>
  <si>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</si>
  <si>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</si>
  <si>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</si>
  <si>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</si>
  <si>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</si>
  <si>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</si>
  <si>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</si>
  <si>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</si>
  <si>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</si>
  <si>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</si>
  <si>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</si>
  <si>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</si>
  <si>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</si>
  <si>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</si>
  <si>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</si>
  <si>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</si>
  <si>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</si>
  <si>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</si>
  <si>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</si>
  <si>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</si>
  <si>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</si>
  <si>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</si>
  <si>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</si>
  <si>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</si>
  <si>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</si>
  <si>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</si>
  <si>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</si>
  <si>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</si>
  <si>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</si>
  <si>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</si>
  <si>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</si>
  <si>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</si>
  <si>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</si>
  <si>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</si>
  <si>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</si>
  <si>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</si>
  <si>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</si>
  <si>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</si>
  <si>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</si>
  <si>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</si>
  <si>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</si>
  <si>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</si>
  <si>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</si>
  <si>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</si>
  <si>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</si>
  <si>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</si>
  <si>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</si>
  <si>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</si>
  <si>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</si>
  <si>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</si>
  <si>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</si>
  <si>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</si>
  <si>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</si>
  <si>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</si>
  <si>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</si>
  <si>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</si>
  <si>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</si>
  <si>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</si>
  <si>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</si>
  <si>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</si>
  <si>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</si>
  <si>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</si>
  <si>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</si>
  <si>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</si>
  <si>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</si>
  <si>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</si>
  <si>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</si>
  <si>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</si>
  <si>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</si>
  <si>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</si>
  <si>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</si>
  <si>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</si>
  <si>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</si>
  <si>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</si>
  <si>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</si>
  <si>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</si>
  <si>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</si>
  <si>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</si>
  <si>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</si>
  <si>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</si>
  <si>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</si>
  <si>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</si>
  <si>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</si>
  <si>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</si>
  <si>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</si>
  <si>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</si>
  <si>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</si>
  <si>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</si>
  <si>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</si>
  <si>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</si>
  <si>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</si>
  <si>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</si>
  <si>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</si>
  <si>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</si>
  <si>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</si>
  <si>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</si>
  <si>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</si>
  <si>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</si>
  <si>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</si>
  <si>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</si>
  <si>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</si>
  <si>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</si>
  <si>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</si>
  <si>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</si>
  <si>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</si>
  <si>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</si>
  <si>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</si>
  <si>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</si>
  <si>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</si>
  <si>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</si>
  <si>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</si>
  <si>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</si>
  <si>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</si>
  <si>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</si>
  <si>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</si>
  <si>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</si>
  <si>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</si>
  <si>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</si>
  <si>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</si>
  <si>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</si>
  <si>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</si>
  <si>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</si>
  <si>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</si>
  <si>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</si>
  <si>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</si>
  <si>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</si>
  <si>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</si>
  <si>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</si>
  <si>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</si>
  <si>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</si>
  <si>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</si>
  <si>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</si>
  <si>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</si>
  <si>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</si>
  <si>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</si>
  <si>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</si>
  <si>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</si>
  <si>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</si>
  <si>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</si>
  <si>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</si>
  <si>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</si>
  <si>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</si>
  <si>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</si>
  <si>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</si>
  <si>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</si>
  <si>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</si>
  <si>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</si>
  <si>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</si>
  <si>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</si>
  <si>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</si>
  <si>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</si>
  <si>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</si>
  <si>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</si>
  <si>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</si>
  <si>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</si>
  <si>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</si>
  <si>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</si>
  <si>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</si>
  <si>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</si>
  <si>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</si>
  <si>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</si>
  <si>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</si>
  <si>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</si>
  <si>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</si>
  <si>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</si>
  <si>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</si>
  <si>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</si>
  <si>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</si>
  <si>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</si>
  <si>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</si>
  <si>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</si>
  <si>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</si>
  <si>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</si>
  <si>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</si>
  <si>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</si>
  <si>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</si>
  <si>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</si>
  <si>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</si>
  <si>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</si>
  <si>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</si>
  <si>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</si>
  <si>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</si>
  <si>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</si>
  <si>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</si>
  <si>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</si>
  <si>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</si>
  <si>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</si>
  <si>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</si>
  <si>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</si>
  <si>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</si>
  <si>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</si>
  <si>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</si>
  <si>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</si>
  <si>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</si>
  <si>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</si>
  <si>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</si>
  <si>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</si>
  <si>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</si>
  <si>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</si>
  <si>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</si>
  <si>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</si>
  <si>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</si>
  <si>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</si>
  <si>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</si>
  <si>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</si>
  <si>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</si>
  <si>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</si>
  <si>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</si>
  <si>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</si>
  <si>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</si>
  <si>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</si>
  <si>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</si>
  <si>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</si>
  <si>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</si>
  <si>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</si>
  <si>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</si>
  <si>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</si>
  <si>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</si>
  <si>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</si>
  <si>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</si>
  <si>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</si>
  <si>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</si>
  <si>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</si>
  <si>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</si>
  <si>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</si>
  <si>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</si>
  <si>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</si>
  <si>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</si>
  <si>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</si>
  <si>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</si>
  <si>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</si>
  <si>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</si>
  <si>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</si>
  <si>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</si>
  <si>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</si>
  <si>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</si>
  <si>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</si>
  <si>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</si>
  <si>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</si>
  <si>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</si>
  <si>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</si>
  <si>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</si>
  <si>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</si>
  <si>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</si>
  <si>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</si>
  <si>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</si>
  <si>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</si>
  <si>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</si>
  <si>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</si>
  <si>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</si>
  <si>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</si>
  <si>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</si>
  <si>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</si>
  <si>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</si>
  <si>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</si>
  <si>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</si>
  <si>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</si>
  <si>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</si>
  <si>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</si>
  <si>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</si>
  <si>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</si>
  <si>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</si>
  <si>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</si>
  <si>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</si>
  <si>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</si>
  <si>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</si>
  <si>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</si>
  <si>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</si>
  <si>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</si>
  <si>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</si>
  <si>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</si>
  <si>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</si>
  <si>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</si>
  <si>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</si>
  <si>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</si>
  <si>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</si>
  <si>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</si>
  <si>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</si>
  <si>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</si>
  <si>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</si>
  <si>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</si>
  <si>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</si>
  <si>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</si>
  <si>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</si>
  <si>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</si>
  <si>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</si>
  <si>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</si>
  <si>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</si>
  <si>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</si>
  <si>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</si>
  <si>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</si>
  <si>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</si>
  <si>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</si>
  <si>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</si>
  <si>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</si>
  <si>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</si>
  <si>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</si>
  <si>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</si>
  <si>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</si>
  <si>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</si>
  <si>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</si>
  <si>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</si>
  <si>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</si>
  <si>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</si>
  <si>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</si>
  <si>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</si>
  <si>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</si>
  <si>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</si>
  <si>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</si>
  <si>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</si>
  <si>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</si>
  <si>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</si>
  <si>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</si>
  <si>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</si>
  <si>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</si>
  <si>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</si>
  <si>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</si>
  <si>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</si>
  <si>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</si>
  <si>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</si>
  <si>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</si>
  <si>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</si>
  <si>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</si>
  <si>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</si>
  <si>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</si>
  <si>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</si>
  <si>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</si>
  <si>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</si>
  <si>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</si>
  <si>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</si>
  <si>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</si>
  <si>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</si>
  <si>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</si>
  <si>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</si>
  <si>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</si>
  <si>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</si>
  <si>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</si>
  <si>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</si>
  <si>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</si>
  <si>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</si>
  <si>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</si>
  <si>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</si>
  <si>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</si>
  <si>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</si>
  <si>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</si>
  <si>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</si>
  <si>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</si>
  <si>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</si>
  <si>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</si>
  <si>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</si>
  <si>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</si>
  <si>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</si>
  <si>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</si>
  <si>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</si>
  <si>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</si>
  <si>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</si>
  <si>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</si>
  <si>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</si>
  <si>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</si>
  <si>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</si>
  <si>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</si>
  <si>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</si>
  <si>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</si>
  <si>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</si>
  <si>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</si>
  <si>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</si>
  <si>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</si>
  <si>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</si>
  <si>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</si>
  <si>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</si>
  <si>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</si>
  <si>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</si>
  <si>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</si>
  <si>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</si>
  <si>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</si>
  <si>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</si>
  <si>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</si>
  <si>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</si>
  <si>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</si>
  <si>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</si>
  <si>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</si>
  <si>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</si>
  <si>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</si>
  <si>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</si>
  <si>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</si>
  <si>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</si>
  <si>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</si>
  <si>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</si>
  <si>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</si>
  <si>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</si>
  <si>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</si>
  <si>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</si>
  <si>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</si>
  <si>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</si>
  <si>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</si>
  <si>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</si>
  <si>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</si>
  <si>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</si>
  <si>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</si>
  <si>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</si>
  <si>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</si>
  <si>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</si>
  <si>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</si>
  <si>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</si>
  <si>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</si>
  <si>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</si>
  <si>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</si>
  <si>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</si>
  <si>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</si>
  <si>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</si>
  <si>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</si>
  <si>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</si>
  <si>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</si>
  <si>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</si>
  <si>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</si>
  <si>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</si>
  <si>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</si>
  <si>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</si>
  <si>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</si>
  <si>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</si>
  <si>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</si>
  <si>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</si>
  <si>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</si>
  <si>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</si>
  <si>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</si>
  <si>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</si>
  <si>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</si>
  <si>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</si>
  <si>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</si>
  <si>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</si>
  <si>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</si>
  <si>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</si>
  <si>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</si>
  <si>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</si>
  <si>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</si>
  <si>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</si>
  <si>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</si>
  <si>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</si>
  <si>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</si>
  <si>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</si>
  <si>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</si>
  <si>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</si>
  <si>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</si>
  <si>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</si>
  <si>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</si>
  <si>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</si>
  <si>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</si>
  <si>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</si>
  <si>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</si>
  <si>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</si>
  <si>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</si>
  <si>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</si>
  <si>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</si>
  <si>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</si>
  <si>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</si>
  <si>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</si>
  <si>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</si>
  <si>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</si>
  <si>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</si>
  <si>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</si>
  <si>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</si>
  <si>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</si>
  <si>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</si>
  <si>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</si>
  <si>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</si>
  <si>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</si>
  <si>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</si>
  <si>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</si>
  <si>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</si>
  <si>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</si>
  <si>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</si>
  <si>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</si>
  <si>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</si>
  <si>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</si>
  <si>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</si>
  <si>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</si>
  <si>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</si>
  <si>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</si>
  <si>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</si>
  <si>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</si>
  <si>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</si>
  <si>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</si>
  <si>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</si>
  <si>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</si>
  <si>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</si>
  <si>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</si>
  <si>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</si>
  <si>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</si>
  <si>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</si>
  <si>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</si>
  <si>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</si>
  <si>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</si>
  <si>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</si>
  <si>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</si>
  <si>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</si>
  <si>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</si>
  <si>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</si>
  <si>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</si>
  <si>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</si>
  <si>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</si>
  <si>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</si>
  <si>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</si>
  <si>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</si>
  <si>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</si>
  <si>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</si>
  <si>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</si>
  <si>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</si>
  <si>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</si>
  <si>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</si>
  <si>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</si>
  <si>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</si>
  <si>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</si>
  <si>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</si>
  <si>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</si>
  <si>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</si>
  <si>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</si>
  <si>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</si>
  <si>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</si>
  <si>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</si>
  <si>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</si>
  <si>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</si>
  <si>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</si>
  <si>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</si>
  <si>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</si>
  <si>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</si>
  <si>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</si>
  <si>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</si>
  <si>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</si>
  <si>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</si>
  <si>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</si>
  <si>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</si>
  <si>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</si>
  <si>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</si>
  <si>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</si>
  <si>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</si>
  <si>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</si>
  <si>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</si>
  <si>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</si>
  <si>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</si>
  <si>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</si>
  <si>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</si>
  <si>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</si>
  <si>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</si>
  <si>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</si>
  <si>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</si>
  <si>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</si>
  <si>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</si>
  <si>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</si>
  <si>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</si>
  <si>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</si>
  <si>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</si>
  <si>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</si>
  <si>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</si>
  <si>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</si>
  <si>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</si>
  <si>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</si>
  <si>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</si>
  <si>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</si>
  <si>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</si>
  <si>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</si>
  <si>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</si>
  <si>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</si>
  <si>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</si>
  <si>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</si>
  <si>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</si>
  <si>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</si>
  <si>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</si>
  <si>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</si>
  <si>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</si>
  <si>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</si>
  <si>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</si>
  <si>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</si>
  <si>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</si>
  <si>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</si>
  <si>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</si>
  <si>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</si>
  <si>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</si>
  <si>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</si>
  <si>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</si>
  <si>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</si>
  <si>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</si>
  <si>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</si>
  <si>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</si>
  <si>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</si>
  <si>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</si>
  <si>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</si>
  <si>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</si>
  <si>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</si>
  <si>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</si>
  <si>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</si>
  <si>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</si>
  <si>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</si>
  <si>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</si>
  <si>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</si>
  <si>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</si>
  <si>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</si>
  <si>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</si>
  <si>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</si>
  <si>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</si>
  <si>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</si>
  <si>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</si>
  <si>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</si>
  <si>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</si>
  <si>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</si>
  <si>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</si>
  <si>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</si>
  <si>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</si>
  <si>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</si>
  <si>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</si>
  <si>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</si>
  <si>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</si>
  <si>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</si>
  <si>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</si>
  <si>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</si>
  <si>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</si>
  <si>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</si>
  <si>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</si>
  <si>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</si>
  <si>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</si>
  <si>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</si>
  <si>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</si>
  <si>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</si>
  <si>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</si>
  <si>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</si>
  <si>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</si>
  <si>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</si>
  <si>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</si>
  <si>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</si>
  <si>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</si>
  <si>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</si>
  <si>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</si>
  <si>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</si>
  <si>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</si>
  <si>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</si>
  <si>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</si>
  <si>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</si>
  <si>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</si>
  <si>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</si>
  <si>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</si>
  <si>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</si>
  <si>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</si>
  <si>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</si>
  <si>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</si>
  <si>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</si>
  <si>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</si>
  <si>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</si>
  <si>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</si>
  <si>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</si>
  <si>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</si>
  <si>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</si>
  <si>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</si>
  <si>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</si>
  <si>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</si>
  <si>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</si>
  <si>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</si>
  <si>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</si>
  <si>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</si>
  <si>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</si>
  <si>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</si>
  <si>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</si>
  <si>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</si>
  <si>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</si>
  <si>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</si>
  <si>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</si>
  <si>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</si>
  <si>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</si>
  <si>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</si>
  <si>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</si>
  <si>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</si>
  <si>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</si>
  <si>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</si>
  <si>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</si>
  <si>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</si>
  <si>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</si>
  <si>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</si>
  <si>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</si>
  <si>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</si>
  <si>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</si>
  <si>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</si>
  <si>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</si>
  <si>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</si>
  <si>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</si>
  <si>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</si>
  <si>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</si>
  <si>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</si>
  <si>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</si>
  <si>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</si>
  <si>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</si>
  <si>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</si>
  <si>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</si>
  <si>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</si>
  <si>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</si>
  <si>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</si>
  <si>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</si>
  <si>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</si>
  <si>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</si>
  <si>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</si>
  <si>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</si>
  <si>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</si>
  <si>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</si>
  <si>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</si>
  <si>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</si>
  <si>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</si>
  <si>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</si>
  <si>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</si>
  <si>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</si>
  <si>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</si>
  <si>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</si>
  <si>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</si>
  <si>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</si>
  <si>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</si>
  <si>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</si>
  <si>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</si>
  <si>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</si>
  <si>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</si>
  <si>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</si>
  <si>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</si>
  <si>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</si>
  <si>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</si>
  <si>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</si>
  <si>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</si>
  <si>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</si>
  <si>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</si>
  <si>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</si>
  <si>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</si>
  <si>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</si>
  <si>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</si>
  <si>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</si>
  <si>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</si>
  <si>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</si>
  <si>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</si>
  <si>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</si>
  <si>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</si>
  <si>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</si>
  <si>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</si>
  <si>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</si>
  <si>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</si>
  <si>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</si>
  <si>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</si>
  <si>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</si>
  <si>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</si>
  <si>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</si>
  <si>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</si>
  <si>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</si>
  <si>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</si>
  <si>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</si>
  <si>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</si>
  <si>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</si>
  <si>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</si>
  <si>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</si>
  <si>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</si>
  <si>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</si>
  <si>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</si>
  <si>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</si>
  <si>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</si>
  <si>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</si>
  <si>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</si>
  <si>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</si>
  <si>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</si>
  <si>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</si>
  <si>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</si>
  <si>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</si>
  <si>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</si>
  <si>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</si>
  <si>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</si>
  <si>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</si>
  <si>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</si>
  <si>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</si>
  <si>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</si>
  <si>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</si>
  <si>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</si>
  <si>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</si>
  <si>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</si>
  <si>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</si>
  <si>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</si>
  <si>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</si>
  <si>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</si>
  <si>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</si>
  <si>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</si>
  <si>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</si>
  <si>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</si>
  <si>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</si>
  <si>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</si>
  <si>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</si>
  <si>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</si>
  <si>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</si>
  <si>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</si>
  <si>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</si>
  <si>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</si>
  <si>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</si>
  <si>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</si>
  <si>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</si>
  <si>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</si>
  <si>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</si>
  <si>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</si>
  <si>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</si>
  <si>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</si>
  <si>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</si>
  <si>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</si>
  <si>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</si>
  <si>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</si>
  <si>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</si>
  <si>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</si>
  <si>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</si>
  <si>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</si>
  <si>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</si>
  <si>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</si>
  <si>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</si>
  <si>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</si>
  <si>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</si>
  <si>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</si>
  <si>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</si>
  <si>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</si>
  <si>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</si>
  <si>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</si>
  <si>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</si>
  <si>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</si>
  <si>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</si>
  <si>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</si>
  <si>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</si>
  <si>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</si>
  <si>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</si>
  <si>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</si>
  <si>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</si>
  <si>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</si>
  <si>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</si>
  <si>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</si>
  <si>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</si>
  <si>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</si>
  <si>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</si>
  <si>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</si>
  <si>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</si>
  <si>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</si>
  <si>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</si>
  <si>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</si>
  <si>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</si>
  <si>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</si>
  <si>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</si>
  <si>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</si>
  <si>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</si>
  <si>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</si>
  <si>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</si>
  <si>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</si>
  <si>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</si>
  <si>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</si>
  <si>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</si>
  <si>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</si>
  <si>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</si>
  <si>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</si>
  <si>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</si>
  <si>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</si>
  <si>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</si>
  <si>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</si>
  <si>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</si>
  <si>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</si>
  <si>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</si>
  <si>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</si>
  <si>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</si>
  <si>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</si>
  <si>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</si>
  <si>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</si>
  <si>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</si>
  <si>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</si>
  <si>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</si>
  <si>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</si>
  <si>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</si>
  <si>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</si>
  <si>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</si>
  <si>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</si>
  <si>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</si>
  <si>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</si>
  <si>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</si>
  <si>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</si>
  <si>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</si>
  <si>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</si>
  <si>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</si>
  <si>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</si>
  <si>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</si>
  <si>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</si>
  <si>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</si>
  <si>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</si>
  <si>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</si>
  <si>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</si>
  <si>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</si>
  <si>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</si>
  <si>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</si>
  <si>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</si>
  <si>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</si>
  <si>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</si>
  <si>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</si>
  <si>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</si>
  <si>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</si>
  <si>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</si>
  <si>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</si>
  <si>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</si>
  <si>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</si>
  <si>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</si>
  <si>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</si>
  <si>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</si>
  <si>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</si>
  <si>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</si>
  <si>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</si>
  <si>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</si>
  <si>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</si>
  <si>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</si>
  <si>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</si>
  <si>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</si>
  <si>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</si>
  <si>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</si>
  <si>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</si>
  <si>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</si>
  <si>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</si>
  <si>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</si>
  <si>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</si>
  <si>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</si>
  <si>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</si>
  <si>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</si>
  <si>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</si>
  <si>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</si>
  <si>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</si>
  <si>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</si>
  <si>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</si>
  <si>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</si>
  <si>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</si>
  <si>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</si>
  <si>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</si>
  <si>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</si>
  <si>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</si>
  <si>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</si>
  <si>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</si>
  <si>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</si>
  <si>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</si>
  <si>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</si>
  <si>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</si>
  <si>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</si>
  <si>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</si>
  <si>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</si>
  <si>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</si>
  <si>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</si>
  <si>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</si>
  <si>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</si>
  <si>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</si>
  <si>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</si>
  <si>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</si>
  <si>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</si>
  <si>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</si>
  <si>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</si>
  <si>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</si>
  <si>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</si>
  <si>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</si>
  <si>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</si>
  <si>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</si>
  <si>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</si>
  <si>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</si>
  <si>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</si>
  <si>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</si>
  <si>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</si>
  <si>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</si>
  <si>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</si>
  <si>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</si>
  <si>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</si>
  <si>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</si>
  <si>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</si>
  <si>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</si>
  <si>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</si>
  <si>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</si>
  <si>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</si>
  <si>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</si>
  <si>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</si>
  <si>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</si>
  <si>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</si>
  <si>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</si>
  <si>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</si>
  <si>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</si>
  <si>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</si>
  <si>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</si>
  <si>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</si>
  <si>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</si>
  <si>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</si>
  <si>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</si>
  <si>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</si>
  <si>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</si>
  <si>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</si>
  <si>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</si>
  <si>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</si>
  <si>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</si>
  <si>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</si>
  <si>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</si>
  <si>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</si>
  <si>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</si>
  <si>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</si>
  <si>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</si>
  <si>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</si>
  <si>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</si>
  <si>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</si>
  <si>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</si>
  <si>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</si>
  <si>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</si>
  <si>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</si>
  <si>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</si>
  <si>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</si>
  <si>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</si>
  <si>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</si>
  <si>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</si>
  <si>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</si>
  <si>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</si>
  <si>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</si>
  <si>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</si>
  <si>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</si>
  <si>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</si>
  <si>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</si>
  <si>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</si>
  <si>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</si>
  <si>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</si>
  <si>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</si>
  <si>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</si>
  <si>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</si>
  <si>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</si>
  <si>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</si>
  <si>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</si>
  <si>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</si>
  <si>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</si>
  <si>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</si>
  <si>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</si>
  <si>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</si>
  <si>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</si>
  <si>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</si>
  <si>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</si>
  <si>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</si>
  <si>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</si>
  <si>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</si>
  <si>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</si>
  <si>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</si>
  <si>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</si>
  <si>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</si>
  <si>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</si>
  <si>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</si>
  <si>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</si>
  <si>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</si>
  <si>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</si>
  <si>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</si>
  <si>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</si>
  <si>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</si>
  <si>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</si>
  <si>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</si>
  <si>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</si>
  <si>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</si>
  <si>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</si>
  <si>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</si>
  <si>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</si>
  <si>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</si>
  <si>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</si>
  <si>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</si>
  <si>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</si>
  <si>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</si>
  <si>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</si>
  <si>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</si>
  <si>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</si>
  <si>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</si>
  <si>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</si>
  <si>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</si>
  <si>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</si>
  <si>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</si>
  <si>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</si>
  <si>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</si>
  <si>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</si>
  <si>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</si>
  <si>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</si>
  <si>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</si>
  <si>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</si>
  <si>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</si>
  <si>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</si>
  <si>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</si>
  <si>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</si>
  <si>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</si>
  <si>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</si>
  <si>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</si>
  <si>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</si>
  <si>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</si>
  <si>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</si>
  <si>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</si>
  <si>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</si>
  <si>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</si>
  <si>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</si>
  <si>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</si>
  <si>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</si>
  <si>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</si>
  <si>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</si>
  <si>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</si>
  <si>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</si>
  <si>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</si>
  <si>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</si>
  <si>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</si>
  <si>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</si>
  <si>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</si>
  <si>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</si>
  <si>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</si>
  <si>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</si>
  <si>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</si>
  <si>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</si>
  <si>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</si>
  <si>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</si>
  <si>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</si>
  <si>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</si>
  <si>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</si>
  <si>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</si>
  <si>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</si>
  <si>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</si>
  <si>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</si>
  <si>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</si>
  <si>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</si>
  <si>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</si>
  <si>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</si>
  <si>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</si>
  <si>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</si>
  <si>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</si>
  <si>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</si>
  <si>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</si>
  <si>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</si>
  <si>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</si>
  <si>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</si>
  <si>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</si>
  <si>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</si>
  <si>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</si>
  <si>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</si>
  <si>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</si>
  <si>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</si>
  <si>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</si>
  <si>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</si>
  <si>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</si>
  <si>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</si>
  <si>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</si>
  <si>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</si>
  <si>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</si>
  <si>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</si>
  <si>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</si>
  <si>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</si>
  <si>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</si>
  <si>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</si>
  <si>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</si>
  <si>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</si>
  <si>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</si>
  <si>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</si>
  <si>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</si>
  <si>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</si>
  <si>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</si>
  <si>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</si>
  <si>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</si>
  <si>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</si>
  <si>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</si>
  <si>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</si>
  <si>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</si>
  <si>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</si>
  <si>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</si>
  <si>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</si>
  <si>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</si>
  <si>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</si>
  <si>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</si>
  <si>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</si>
  <si>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</si>
  <si>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</si>
  <si>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</si>
  <si>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</si>
  <si>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</si>
  <si>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</si>
  <si>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</si>
  <si>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</si>
  <si>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</si>
  <si>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</si>
  <si>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</si>
  <si>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</si>
  <si>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</si>
  <si>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</si>
  <si>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</si>
  <si>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</si>
  <si>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</si>
  <si>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</si>
  <si>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</si>
  <si>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</si>
  <si>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</si>
  <si>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</si>
  <si>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</si>
  <si>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</si>
  <si>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</si>
  <si>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</si>
  <si>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</si>
  <si>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</si>
  <si>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</si>
  <si>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</si>
  <si>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</si>
  <si>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</si>
  <si>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</si>
  <si>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</si>
  <si>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</si>
  <si>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</si>
  <si>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</si>
  <si>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</si>
  <si>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</si>
  <si>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</si>
  <si>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</si>
  <si>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</si>
  <si>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</si>
  <si>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</si>
  <si>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</si>
  <si>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</si>
  <si>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</si>
  <si>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</si>
  <si>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</si>
  <si>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</si>
  <si>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</si>
  <si>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</si>
  <si>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</si>
  <si>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</si>
  <si>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</si>
  <si>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</si>
  <si>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</si>
  <si>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</si>
  <si>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</si>
  <si>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</si>
  <si>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</si>
  <si>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</si>
  <si>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</si>
  <si>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</si>
  <si>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</si>
  <si>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</si>
  <si>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</si>
  <si>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</si>
  <si>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</si>
  <si>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</si>
  <si>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</si>
  <si>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</si>
  <si>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</si>
  <si>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</si>
  <si>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</si>
  <si>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</si>
  <si>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</si>
  <si>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</si>
  <si>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</si>
  <si>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</si>
  <si>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</si>
  <si>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</si>
  <si>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</si>
  <si>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</si>
  <si>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</si>
  <si>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</si>
  <si>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</si>
  <si>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</si>
  <si>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</si>
  <si>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</si>
  <si>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</si>
  <si>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</si>
  <si>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</si>
  <si>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</si>
  <si>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</si>
  <si>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</si>
  <si>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</si>
  <si>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</si>
  <si>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</si>
  <si>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</si>
  <si>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</si>
  <si>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</si>
  <si>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</si>
  <si>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</si>
  <si>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</si>
  <si>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</si>
  <si>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</si>
  <si>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</si>
  <si>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</si>
  <si>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</si>
  <si>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</si>
  <si>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</si>
  <si>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</si>
  <si>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</si>
  <si>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</si>
  <si>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</si>
  <si>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</si>
  <si>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</si>
  <si>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</si>
  <si>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</si>
  <si>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</si>
  <si>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</si>
  <si>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</si>
  <si>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</si>
  <si>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</si>
  <si>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</si>
  <si>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</si>
  <si>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</si>
  <si>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</si>
  <si>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</si>
  <si>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</si>
  <si>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</si>
  <si>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</si>
  <si>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</si>
  <si>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</si>
  <si>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</si>
  <si>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</si>
  <si>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</si>
  <si>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</si>
  <si>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</si>
  <si>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</si>
  <si>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</si>
  <si>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</si>
  <si>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</si>
  <si>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</si>
  <si>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</si>
  <si>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</si>
  <si>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</si>
  <si>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</si>
  <si>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</si>
  <si>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</si>
  <si>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</si>
  <si>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</si>
  <si>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</si>
  <si>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</si>
  <si>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</si>
  <si>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</si>
  <si>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</si>
  <si>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</si>
  <si>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</si>
  <si>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</si>
  <si>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</si>
  <si>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</si>
  <si>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</si>
  <si>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</si>
  <si>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</si>
  <si>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</si>
  <si>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</si>
  <si>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</si>
  <si>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</si>
  <si>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</si>
  <si>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</si>
  <si>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</si>
  <si>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</si>
  <si>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</si>
  <si>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</si>
  <si>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</si>
  <si>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</si>
  <si>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</si>
  <si>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</si>
  <si>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</si>
  <si>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</si>
  <si>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</si>
  <si>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</si>
  <si>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</si>
  <si>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</si>
  <si>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</si>
  <si>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</si>
  <si>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</si>
  <si>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</si>
  <si>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</si>
  <si>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</si>
  <si>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</si>
  <si>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</si>
  <si>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</si>
  <si>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</si>
  <si>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</si>
  <si>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</si>
  <si>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</si>
  <si>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</si>
  <si>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</si>
  <si>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</si>
  <si>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</si>
  <si>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</si>
  <si>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</si>
  <si>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</si>
  <si>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</si>
  <si>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</si>
  <si>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</si>
  <si>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</si>
  <si>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</si>
  <si>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</si>
  <si>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</si>
  <si>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</si>
  <si>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</si>
  <si>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</si>
  <si>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</si>
  <si>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</si>
  <si>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</si>
  <si>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</si>
  <si>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</si>
  <si>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</si>
  <si>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</si>
  <si>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</si>
  <si>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</si>
  <si>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</si>
  <si>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</si>
  <si>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</si>
  <si>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</si>
  <si>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</si>
  <si>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</si>
  <si>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</si>
  <si>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</si>
  <si>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</si>
  <si>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</si>
  <si>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</si>
  <si>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</si>
  <si>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</si>
  <si>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</si>
  <si>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</si>
  <si>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</si>
  <si>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</si>
  <si>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</si>
  <si>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</si>
  <si>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</si>
  <si>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</si>
  <si>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</si>
  <si>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</si>
  <si>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</si>
  <si>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</si>
  <si>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</si>
  <si>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</si>
  <si>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</si>
  <si>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</si>
  <si>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</si>
  <si>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</si>
  <si>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</si>
  <si>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</si>
  <si>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</si>
  <si>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</si>
  <si>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</si>
  <si>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</si>
  <si>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</si>
  <si>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</si>
  <si>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</si>
  <si>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</si>
  <si>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</si>
  <si>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</si>
  <si>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</si>
  <si>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</si>
  <si>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</si>
  <si>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</si>
  <si>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</si>
  <si>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</si>
  <si>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</si>
  <si>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</si>
  <si>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</si>
  <si>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</si>
  <si>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</si>
  <si>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</si>
  <si>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</si>
  <si>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</si>
  <si>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</si>
  <si>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</si>
  <si>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</si>
  <si>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</si>
  <si>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</si>
  <si>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</si>
  <si>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</si>
  <si>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t>3/13, 3/16</t>
    <phoneticPr fontId="2" type="noConversion"/>
  </si>
  <si>
    <t>DST(2)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</si>
  <si>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</si>
  <si>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</si>
  <si>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</si>
  <si>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</si>
  <si>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</si>
  <si>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</si>
  <si>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</si>
  <si>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</si>
  <si>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</si>
  <si>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</si>
  <si>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</si>
  <si>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</si>
  <si>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</si>
  <si>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</si>
  <si>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</si>
  <si>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</si>
  <si>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TF</t>
    <phoneticPr fontId="2" type="noConversion"/>
  </si>
  <si>
    <t>포장</t>
    <phoneticPr fontId="2" type="noConversion"/>
  </si>
  <si>
    <t>송영국</t>
    <phoneticPr fontId="2" type="noConversion"/>
  </si>
  <si>
    <t>YN06</t>
    <phoneticPr fontId="2" type="noConversion"/>
  </si>
  <si>
    <t>PV</t>
    <phoneticPr fontId="2" type="noConversion"/>
  </si>
  <si>
    <t>ER</t>
    <phoneticPr fontId="2" type="noConversion"/>
  </si>
  <si>
    <t>조립</t>
    <phoneticPr fontId="2" type="noConversion"/>
  </si>
  <si>
    <t>박해식</t>
    <phoneticPr fontId="2" type="noConversion"/>
  </si>
  <si>
    <t>4/13 ~ 4/17</t>
    <phoneticPr fontId="2" type="noConversion"/>
  </si>
  <si>
    <t>4/13 ~ 4/14</t>
    <phoneticPr fontId="2" type="noConversion"/>
  </si>
  <si>
    <t>박성용</t>
    <phoneticPr fontId="2" type="noConversion"/>
  </si>
  <si>
    <t>보증수리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</si>
  <si>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</si>
  <si>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</si>
  <si>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</si>
  <si>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</si>
  <si>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</si>
  <si>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</si>
  <si>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</si>
  <si>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</si>
  <si>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</si>
  <si>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</si>
  <si>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</si>
  <si>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보안조치 완료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</si>
  <si>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</si>
  <si>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</si>
  <si>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</si>
  <si>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</si>
  <si>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</si>
  <si>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</si>
  <si>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자재 입고 일자 확인 중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</si>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</sst>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9"/>
  <sheetViews>
    <sheetView showGridLines="0" tabSelected="1" topLeftCell="A254" zoomScaleNormal="100" workbookViewId="0">
      <selection activeCell="F259" sqref="F25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5515</v>
      </c>
      <c r="I232" s="541" t="s">
        <v>5516</v>
      </c>
      <c r="J232" s="544" t="s">
        <v>5517</v>
      </c>
      <c r="K232" s="545" t="s">
        <v>5518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5519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5514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5583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5529</v>
      </c>
      <c r="K239" s="136" t="s">
        <v>15</v>
      </c>
      <c r="L239" s="480" t="s">
        <v>5462</v>
      </c>
      <c r="M239" s="476">
        <v>3</v>
      </c>
      <c r="N239" s="642" t="s">
        <v>5552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5544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5" t="s">
        <v>5468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5543</v>
      </c>
      <c r="P244" s="633" t="s">
        <v>5576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5573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5522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5547</v>
      </c>
      <c r="P246" s="631"/>
    </row>
    <row r="247" spans="1:16" s="17" customFormat="1" ht="33" customHeight="1">
      <c r="A247" s="442"/>
      <c r="B247" s="372">
        <v>46125</v>
      </c>
      <c r="C247" s="4" t="s">
        <v>5578</v>
      </c>
      <c r="D247" s="4" t="s">
        <v>14</v>
      </c>
      <c r="E247" s="475" t="s">
        <v>1791</v>
      </c>
      <c r="F247" s="663" t="s">
        <v>5579</v>
      </c>
      <c r="G247" s="480" t="s">
        <v>1306</v>
      </c>
      <c r="H247" s="665" t="s">
        <v>5580</v>
      </c>
      <c r="I247" s="663" t="s">
        <v>5581</v>
      </c>
      <c r="J247" s="665" t="s">
        <v>1300</v>
      </c>
      <c r="K247" s="125" t="s">
        <v>15</v>
      </c>
      <c r="L247" s="16" t="s">
        <v>5582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5520</v>
      </c>
      <c r="H248" s="474" t="s">
        <v>5323</v>
      </c>
      <c r="I248" s="474" t="s">
        <v>5574</v>
      </c>
      <c r="J248" s="474" t="s">
        <v>5542</v>
      </c>
      <c r="K248" s="545" t="s">
        <v>15</v>
      </c>
      <c r="L248" s="630" t="s">
        <v>5541</v>
      </c>
      <c r="M248" s="641">
        <v>5</v>
      </c>
      <c r="N248" s="640"/>
      <c r="O248" s="446" t="s">
        <v>5548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5520</v>
      </c>
      <c r="H249" s="474" t="s">
        <v>5323</v>
      </c>
      <c r="I249" s="474"/>
      <c r="J249" s="474" t="s">
        <v>5542</v>
      </c>
      <c r="K249" s="545" t="s">
        <v>15</v>
      </c>
      <c r="L249" s="630" t="s">
        <v>5541</v>
      </c>
      <c r="M249" s="641">
        <v>4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5527</v>
      </c>
      <c r="I250" s="31" t="s">
        <v>5572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5549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5545</v>
      </c>
      <c r="I251" s="31" t="s">
        <v>5526</v>
      </c>
      <c r="J251" s="31"/>
      <c r="K251" s="125" t="s">
        <v>5518</v>
      </c>
      <c r="L251" s="16" t="s">
        <v>5531</v>
      </c>
      <c r="M251" s="8">
        <v>1</v>
      </c>
      <c r="N251" s="31"/>
      <c r="O251" s="450" t="s">
        <v>5550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5520</v>
      </c>
      <c r="H252" s="474" t="s">
        <v>5323</v>
      </c>
      <c r="I252" s="474"/>
      <c r="J252" s="474" t="s">
        <v>5521</v>
      </c>
      <c r="K252" s="545" t="s">
        <v>15</v>
      </c>
      <c r="L252" s="630">
        <v>9080</v>
      </c>
      <c r="M252" s="641">
        <v>3</v>
      </c>
      <c r="N252" s="640"/>
      <c r="O252" s="450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5538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50"/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5520</v>
      </c>
      <c r="H254" s="474" t="s">
        <v>5323</v>
      </c>
      <c r="I254" s="474"/>
      <c r="J254" s="474" t="s">
        <v>3286</v>
      </c>
      <c r="K254" s="545" t="s">
        <v>15</v>
      </c>
      <c r="L254" s="630">
        <v>9080</v>
      </c>
      <c r="M254" s="641">
        <v>3</v>
      </c>
      <c r="N254" s="622"/>
      <c r="O254" s="446"/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5393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5551</v>
      </c>
      <c r="G256" s="480" t="s">
        <v>5387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5546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5520</v>
      </c>
      <c r="H257" s="474" t="s">
        <v>5323</v>
      </c>
      <c r="I257" s="474"/>
      <c r="J257" s="474" t="s">
        <v>5521</v>
      </c>
      <c r="K257" s="545" t="s">
        <v>15</v>
      </c>
      <c r="L257" s="630">
        <v>9080</v>
      </c>
      <c r="M257" s="641">
        <v>3</v>
      </c>
      <c r="N257" s="31" t="s">
        <v>4674</v>
      </c>
      <c r="O257" s="446" t="s">
        <v>5577</v>
      </c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5539</v>
      </c>
      <c r="I258" s="640" t="s">
        <v>5530</v>
      </c>
      <c r="J258" s="642" t="s">
        <v>5517</v>
      </c>
      <c r="K258" s="125" t="s">
        <v>105</v>
      </c>
      <c r="L258" s="16">
        <v>9080</v>
      </c>
      <c r="M258" s="641">
        <v>2</v>
      </c>
      <c r="N258" s="31"/>
      <c r="O258" s="446" t="s">
        <v>5575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5478</v>
      </c>
      <c r="I259" s="663" t="s">
        <v>5516</v>
      </c>
      <c r="J259" s="665" t="s">
        <v>2130</v>
      </c>
      <c r="K259" s="125" t="s">
        <v>15</v>
      </c>
      <c r="L259" s="16" t="s">
        <v>33</v>
      </c>
      <c r="M259" s="641">
        <v>2</v>
      </c>
      <c r="N259" s="663"/>
      <c r="O259" s="446" t="s">
        <v>5584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5473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5585</v>
      </c>
      <c r="P260" s="633"/>
    </row>
    <row r="261" spans="1:16" s="17" customFormat="1" ht="33" customHeight="1">
      <c r="A261" s="443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3746</v>
      </c>
      <c r="H261" s="474" t="s">
        <v>4852</v>
      </c>
      <c r="I261" s="663" t="s">
        <v>1277</v>
      </c>
      <c r="J261" s="475" t="s">
        <v>1300</v>
      </c>
      <c r="K261" s="136" t="s">
        <v>15</v>
      </c>
      <c r="L261" s="480" t="s">
        <v>33</v>
      </c>
      <c r="M261" s="641">
        <v>2</v>
      </c>
      <c r="N261" s="31"/>
      <c r="O261" s="450"/>
      <c r="P261" s="631"/>
    </row>
    <row r="262" spans="1:16" s="17" customFormat="1" ht="33" customHeight="1">
      <c r="A262" s="444" t="s">
        <v>0</v>
      </c>
      <c r="B262" s="326" t="s">
        <v>1</v>
      </c>
      <c r="C262" s="325" t="s">
        <v>2</v>
      </c>
      <c r="D262" s="325" t="s">
        <v>3</v>
      </c>
      <c r="E262" s="325" t="s">
        <v>4</v>
      </c>
      <c r="F262" s="325" t="s">
        <v>5</v>
      </c>
      <c r="G262" s="325" t="s">
        <v>6</v>
      </c>
      <c r="H262" s="327" t="s">
        <v>7</v>
      </c>
      <c r="I262" s="325" t="s">
        <v>8</v>
      </c>
      <c r="J262" s="325" t="s">
        <v>9</v>
      </c>
      <c r="K262" s="328" t="s">
        <v>10</v>
      </c>
      <c r="L262" s="329" t="s">
        <v>11</v>
      </c>
      <c r="M262" s="325" t="s">
        <v>12</v>
      </c>
      <c r="N262" s="330" t="s">
        <v>13</v>
      </c>
      <c r="O262" s="445" t="s">
        <v>63</v>
      </c>
      <c r="P262" s="445" t="s">
        <v>5448</v>
      </c>
    </row>
    <row r="263" spans="1:16" s="17" customFormat="1" ht="33" customHeight="1">
      <c r="A263" s="441" t="s">
        <v>4502</v>
      </c>
      <c r="B263" s="407">
        <v>46132</v>
      </c>
      <c r="C263" s="3"/>
      <c r="D263" s="3"/>
      <c r="E263" s="474"/>
      <c r="F263" s="475"/>
      <c r="G263" s="480"/>
      <c r="H263" s="474"/>
      <c r="I263" s="619"/>
      <c r="J263" s="619"/>
      <c r="K263" s="125"/>
      <c r="L263" s="16"/>
      <c r="M263" s="8"/>
      <c r="N263" s="640" t="s">
        <v>4674</v>
      </c>
      <c r="O263" s="449"/>
      <c r="P263" s="631"/>
    </row>
    <row r="264" spans="1:16" s="17" customFormat="1" ht="33" customHeight="1">
      <c r="A264" s="442"/>
      <c r="B264" s="407">
        <v>46132</v>
      </c>
      <c r="C264" s="4"/>
      <c r="D264" s="4"/>
      <c r="E264" s="293"/>
      <c r="F264" s="31"/>
      <c r="G264" s="16"/>
      <c r="H264" s="193"/>
      <c r="I264" s="31"/>
      <c r="J264" s="31"/>
      <c r="K264" s="125"/>
      <c r="L264" s="16"/>
      <c r="M264" s="8"/>
      <c r="N264" s="31"/>
      <c r="O264" s="449"/>
      <c r="P264" s="631"/>
    </row>
    <row r="265" spans="1:16" s="17" customFormat="1" ht="33" customHeight="1">
      <c r="A265" s="442"/>
      <c r="B265" s="407">
        <v>46133</v>
      </c>
      <c r="C265" s="4" t="s">
        <v>138</v>
      </c>
      <c r="D265" s="4" t="s">
        <v>14</v>
      </c>
      <c r="E265" s="619" t="s">
        <v>1791</v>
      </c>
      <c r="F265" s="619" t="s">
        <v>2139</v>
      </c>
      <c r="G265" s="16" t="s">
        <v>142</v>
      </c>
      <c r="H265" s="474" t="s">
        <v>5285</v>
      </c>
      <c r="I265" s="474" t="s">
        <v>90</v>
      </c>
      <c r="J265" s="474" t="s">
        <v>5286</v>
      </c>
      <c r="K265" s="136" t="s">
        <v>105</v>
      </c>
      <c r="L265" s="480" t="s">
        <v>33</v>
      </c>
      <c r="M265" s="476">
        <v>6</v>
      </c>
      <c r="N265" s="439"/>
      <c r="O265" s="448"/>
      <c r="P265" s="631"/>
    </row>
    <row r="266" spans="1:16" s="17" customFormat="1" ht="33" customHeight="1">
      <c r="A266" s="442"/>
      <c r="B266" s="407">
        <v>46133</v>
      </c>
      <c r="C266" s="4"/>
      <c r="D266" s="4"/>
      <c r="E266" s="31"/>
      <c r="F266" s="31"/>
      <c r="G266" s="16"/>
      <c r="H266" s="193"/>
      <c r="I266" s="31"/>
      <c r="J266" s="193"/>
      <c r="K266" s="125"/>
      <c r="L266" s="16"/>
      <c r="M266" s="8"/>
      <c r="N266" s="439"/>
      <c r="O266" s="448"/>
      <c r="P266" s="631"/>
    </row>
    <row r="267" spans="1:16" s="17" customFormat="1" ht="33" customHeight="1">
      <c r="A267" s="442"/>
      <c r="B267" s="407">
        <v>46134</v>
      </c>
      <c r="C267" s="4" t="s">
        <v>138</v>
      </c>
      <c r="D267" s="4" t="s">
        <v>14</v>
      </c>
      <c r="E267" s="619" t="s">
        <v>1791</v>
      </c>
      <c r="F267" s="619" t="s">
        <v>2139</v>
      </c>
      <c r="G267" s="16" t="s">
        <v>142</v>
      </c>
      <c r="H267" s="474" t="s">
        <v>5525</v>
      </c>
      <c r="I267" s="474" t="s">
        <v>90</v>
      </c>
      <c r="J267" s="474" t="s">
        <v>5286</v>
      </c>
      <c r="K267" s="136" t="s">
        <v>105</v>
      </c>
      <c r="L267" s="480" t="s">
        <v>33</v>
      </c>
      <c r="M267" s="476">
        <v>6</v>
      </c>
      <c r="N267" s="31"/>
      <c r="O267" s="448"/>
      <c r="P267" s="631"/>
    </row>
    <row r="268" spans="1:16" s="17" customFormat="1" ht="33" customHeight="1">
      <c r="A268" s="442"/>
      <c r="B268" s="407">
        <v>46134</v>
      </c>
      <c r="C268" s="4"/>
      <c r="D268" s="4"/>
      <c r="E268" s="293"/>
      <c r="F268" s="31"/>
      <c r="G268" s="16"/>
      <c r="H268" s="193"/>
      <c r="I268" s="31"/>
      <c r="J268" s="31"/>
      <c r="K268" s="125"/>
      <c r="L268" s="16"/>
      <c r="M268" s="8"/>
      <c r="N268" s="31"/>
      <c r="O268" s="450"/>
      <c r="P268" s="631"/>
    </row>
    <row r="269" spans="1:16" s="17" customFormat="1" ht="33" customHeight="1">
      <c r="A269" s="442"/>
      <c r="B269" s="407">
        <v>46135</v>
      </c>
      <c r="C269" s="4" t="s">
        <v>138</v>
      </c>
      <c r="D269" s="4" t="s">
        <v>14</v>
      </c>
      <c r="E269" s="619" t="s">
        <v>1791</v>
      </c>
      <c r="F269" s="619" t="s">
        <v>2139</v>
      </c>
      <c r="G269" s="16" t="s">
        <v>142</v>
      </c>
      <c r="H269" s="474" t="s">
        <v>5318</v>
      </c>
      <c r="I269" s="474" t="s">
        <v>90</v>
      </c>
      <c r="J269" s="474" t="s">
        <v>5310</v>
      </c>
      <c r="K269" s="136" t="s">
        <v>105</v>
      </c>
      <c r="L269" s="480" t="s">
        <v>33</v>
      </c>
      <c r="M269" s="476">
        <v>4</v>
      </c>
      <c r="N269" s="439"/>
      <c r="O269" s="448"/>
      <c r="P269" s="631"/>
    </row>
    <row r="270" spans="1:16" s="17" customFormat="1" ht="33" customHeight="1">
      <c r="A270" s="442"/>
      <c r="B270" s="407">
        <v>46135</v>
      </c>
      <c r="C270" s="3"/>
      <c r="D270" s="3"/>
      <c r="E270" s="475"/>
      <c r="F270" s="475"/>
      <c r="G270" s="480"/>
      <c r="H270" s="474"/>
      <c r="I270" s="663"/>
      <c r="J270" s="475"/>
      <c r="K270" s="136"/>
      <c r="L270" s="480"/>
      <c r="M270" s="641"/>
      <c r="N270" s="31"/>
      <c r="O270" s="450"/>
      <c r="P270" s="631"/>
    </row>
    <row r="271" spans="1:16" s="17" customFormat="1" ht="33" customHeight="1">
      <c r="A271" s="442"/>
      <c r="B271" s="407">
        <v>46136</v>
      </c>
      <c r="C271" s="3" t="s">
        <v>21</v>
      </c>
      <c r="D271" s="3" t="s">
        <v>30</v>
      </c>
      <c r="E271" s="475" t="s">
        <v>107</v>
      </c>
      <c r="F271" s="475" t="s">
        <v>1972</v>
      </c>
      <c r="G271" s="480" t="s">
        <v>376</v>
      </c>
      <c r="H271" s="474" t="s">
        <v>5434</v>
      </c>
      <c r="I271" s="475" t="s">
        <v>5524</v>
      </c>
      <c r="J271" s="475" t="s">
        <v>686</v>
      </c>
      <c r="K271" s="136" t="s">
        <v>15</v>
      </c>
      <c r="L271" s="480" t="s">
        <v>5435</v>
      </c>
      <c r="M271" s="8">
        <v>2</v>
      </c>
      <c r="N271" s="31" t="s">
        <v>5540</v>
      </c>
      <c r="O271" s="447"/>
      <c r="P271" s="631"/>
    </row>
    <row r="272" spans="1:16" s="17" customFormat="1" ht="33" customHeight="1">
      <c r="A272" s="442"/>
      <c r="B272" s="407">
        <v>46136</v>
      </c>
      <c r="C272" s="4"/>
      <c r="D272" s="4"/>
      <c r="E272" s="31"/>
      <c r="F272" s="31"/>
      <c r="G272" s="16"/>
      <c r="H272" s="193"/>
      <c r="I272" s="31"/>
      <c r="J272" s="31"/>
      <c r="K272" s="125"/>
      <c r="L272" s="16"/>
      <c r="M272" s="8"/>
      <c r="N272" s="31"/>
      <c r="O272" s="446"/>
      <c r="P272" s="631"/>
    </row>
    <row r="273" spans="1:16" s="17" customFormat="1" ht="33" customHeight="1">
      <c r="A273" s="442"/>
      <c r="B273" s="407">
        <v>46137</v>
      </c>
      <c r="C273" s="4"/>
      <c r="D273" s="4"/>
      <c r="E273" s="31"/>
      <c r="F273" s="31"/>
      <c r="G273" s="16"/>
      <c r="H273" s="193"/>
      <c r="I273" s="193"/>
      <c r="J273" s="193"/>
      <c r="K273" s="125"/>
      <c r="L273" s="16"/>
      <c r="M273" s="8"/>
      <c r="N273" s="193"/>
      <c r="O273" s="456"/>
      <c r="P273" s="631"/>
    </row>
    <row r="274" spans="1:16" s="17" customFormat="1" ht="33" customHeight="1">
      <c r="A274" s="443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31"/>
      <c r="O274" s="450"/>
      <c r="P274" s="631"/>
    </row>
    <row r="275" spans="1:16" s="17" customFormat="1" ht="33" customHeight="1">
      <c r="A275" s="444" t="s">
        <v>0</v>
      </c>
      <c r="B275" s="326" t="s">
        <v>1</v>
      </c>
      <c r="C275" s="325" t="s">
        <v>2</v>
      </c>
      <c r="D275" s="325" t="s">
        <v>3</v>
      </c>
      <c r="E275" s="325" t="s">
        <v>4</v>
      </c>
      <c r="F275" s="325" t="s">
        <v>5</v>
      </c>
      <c r="G275" s="325" t="s">
        <v>6</v>
      </c>
      <c r="H275" s="327" t="s">
        <v>7</v>
      </c>
      <c r="I275" s="325" t="s">
        <v>8</v>
      </c>
      <c r="J275" s="325" t="s">
        <v>9</v>
      </c>
      <c r="K275" s="328" t="s">
        <v>10</v>
      </c>
      <c r="L275" s="329" t="s">
        <v>11</v>
      </c>
      <c r="M275" s="325" t="s">
        <v>12</v>
      </c>
      <c r="N275" s="330" t="s">
        <v>13</v>
      </c>
      <c r="O275" s="445" t="s">
        <v>63</v>
      </c>
      <c r="P275" s="445" t="s">
        <v>5448</v>
      </c>
    </row>
    <row r="276" spans="1:16" s="17" customFormat="1" ht="33" customHeight="1">
      <c r="A276" s="441" t="s">
        <v>4503</v>
      </c>
      <c r="B276" s="407">
        <v>46139</v>
      </c>
      <c r="C276" s="4" t="s">
        <v>5388</v>
      </c>
      <c r="D276" s="4" t="s">
        <v>5391</v>
      </c>
      <c r="E276" s="640" t="s">
        <v>5389</v>
      </c>
      <c r="F276" s="642" t="s">
        <v>5390</v>
      </c>
      <c r="G276" s="16" t="s">
        <v>5392</v>
      </c>
      <c r="H276" s="642" t="s">
        <v>5477</v>
      </c>
      <c r="I276" s="640" t="s">
        <v>5394</v>
      </c>
      <c r="J276" s="640" t="s">
        <v>5455</v>
      </c>
      <c r="K276" s="125" t="s">
        <v>5395</v>
      </c>
      <c r="L276" s="16" t="s">
        <v>5396</v>
      </c>
      <c r="M276" s="641">
        <v>2</v>
      </c>
      <c r="N276" s="31" t="s">
        <v>4674</v>
      </c>
      <c r="O276" s="449"/>
      <c r="P276" s="631"/>
    </row>
    <row r="277" spans="1:16" s="17" customFormat="1" ht="33" customHeight="1">
      <c r="A277" s="442"/>
      <c r="B277" s="407">
        <v>46139</v>
      </c>
      <c r="C277" s="4"/>
      <c r="D277" s="4"/>
      <c r="E277" s="293"/>
      <c r="F277" s="31"/>
      <c r="G277" s="16"/>
      <c r="H277" s="193"/>
      <c r="I277" s="31"/>
      <c r="J277" s="31"/>
      <c r="K277" s="125"/>
      <c r="L277" s="16"/>
      <c r="M277" s="8"/>
      <c r="N277" s="31"/>
      <c r="O277" s="449"/>
      <c r="P277" s="631"/>
    </row>
    <row r="278" spans="1:16" s="17" customFormat="1" ht="33" customHeight="1">
      <c r="A278" s="442"/>
      <c r="B278" s="407">
        <v>46140</v>
      </c>
      <c r="C278" s="3" t="s">
        <v>21</v>
      </c>
      <c r="D278" s="3" t="s">
        <v>14</v>
      </c>
      <c r="E278" s="475" t="s">
        <v>107</v>
      </c>
      <c r="F278" s="475" t="s">
        <v>3390</v>
      </c>
      <c r="G278" s="16" t="s">
        <v>23</v>
      </c>
      <c r="H278" s="642" t="s">
        <v>5463</v>
      </c>
      <c r="I278" s="475" t="s">
        <v>90</v>
      </c>
      <c r="J278" s="474" t="s">
        <v>777</v>
      </c>
      <c r="K278" s="136" t="s">
        <v>15</v>
      </c>
      <c r="L278" s="480" t="s">
        <v>4383</v>
      </c>
      <c r="M278" s="8"/>
      <c r="N278" s="439"/>
      <c r="O278" s="450" t="s">
        <v>5532</v>
      </c>
      <c r="P278" s="631"/>
    </row>
    <row r="279" spans="1:16" s="17" customFormat="1" ht="33" customHeight="1">
      <c r="A279" s="442"/>
      <c r="B279" s="407">
        <v>46140</v>
      </c>
      <c r="C279" s="4"/>
      <c r="D279" s="4"/>
      <c r="E279" s="31"/>
      <c r="F279" s="31"/>
      <c r="G279" s="16"/>
      <c r="H279" s="193"/>
      <c r="I279" s="31"/>
      <c r="J279" s="193"/>
      <c r="K279" s="125"/>
      <c r="L279" s="16"/>
      <c r="M279" s="8"/>
      <c r="N279" s="439"/>
      <c r="O279" s="448"/>
      <c r="P279" s="631"/>
    </row>
    <row r="280" spans="1:16" s="17" customFormat="1" ht="33" customHeight="1">
      <c r="A280" s="442"/>
      <c r="B280" s="407">
        <v>46141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31" t="s">
        <v>4674</v>
      </c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0"/>
      <c r="P281" s="631"/>
    </row>
    <row r="282" spans="1:16" s="17" customFormat="1" ht="33" customHeight="1">
      <c r="A282" s="442"/>
      <c r="B282" s="407">
        <v>46142</v>
      </c>
      <c r="C282" s="4"/>
      <c r="D282" s="4"/>
      <c r="E282" s="31"/>
      <c r="F282" s="31"/>
      <c r="G282" s="16"/>
      <c r="H282" s="193"/>
      <c r="I282" s="31"/>
      <c r="J282" s="193"/>
      <c r="K282" s="125"/>
      <c r="L282" s="16"/>
      <c r="M282" s="8"/>
      <c r="N282" s="439"/>
      <c r="O282" s="448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293"/>
      <c r="F283" s="31"/>
      <c r="G283" s="16"/>
      <c r="H283" s="193"/>
      <c r="I283" s="31"/>
      <c r="J283" s="31"/>
      <c r="K283" s="125"/>
      <c r="L283" s="16"/>
      <c r="M283" s="8"/>
      <c r="N283" s="31"/>
      <c r="O283" s="450"/>
      <c r="P283" s="631"/>
    </row>
    <row r="284" spans="1:16" s="17" customFormat="1" ht="33" customHeight="1">
      <c r="A284" s="442"/>
      <c r="B284" s="407">
        <v>46143</v>
      </c>
      <c r="C284" s="4"/>
      <c r="D284" s="4"/>
      <c r="E284" s="31"/>
      <c r="F284" s="293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47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31"/>
      <c r="G285" s="16"/>
      <c r="H285" s="417" t="s">
        <v>5297</v>
      </c>
      <c r="I285" s="31"/>
      <c r="J285" s="31"/>
      <c r="K285" s="125"/>
      <c r="L285" s="16"/>
      <c r="M285" s="8"/>
      <c r="N285" s="31"/>
      <c r="O285" s="446"/>
      <c r="P285" s="631"/>
    </row>
    <row r="286" spans="1:16" s="17" customFormat="1" ht="33" customHeight="1">
      <c r="A286" s="442"/>
      <c r="B286" s="407">
        <v>46144</v>
      </c>
      <c r="C286" s="4"/>
      <c r="D286" s="4"/>
      <c r="E286" s="31"/>
      <c r="F286" s="31"/>
      <c r="G286" s="16"/>
      <c r="H286" s="193"/>
      <c r="I286" s="193"/>
      <c r="J286" s="193"/>
      <c r="K286" s="125"/>
      <c r="L286" s="16"/>
      <c r="M286" s="8"/>
      <c r="N286" s="193"/>
      <c r="O286" s="456"/>
      <c r="P286" s="631"/>
    </row>
    <row r="287" spans="1:16" s="17" customFormat="1" ht="33" customHeight="1">
      <c r="A287" s="443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31"/>
      <c r="O287" s="450"/>
      <c r="P287" s="631"/>
    </row>
    <row r="288" spans="1:16" s="17" customFormat="1" ht="33" customHeight="1">
      <c r="A288" s="444" t="s">
        <v>0</v>
      </c>
      <c r="B288" s="326" t="s">
        <v>1</v>
      </c>
      <c r="C288" s="325" t="s">
        <v>2</v>
      </c>
      <c r="D288" s="325" t="s">
        <v>3</v>
      </c>
      <c r="E288" s="325" t="s">
        <v>4</v>
      </c>
      <c r="F288" s="325" t="s">
        <v>5</v>
      </c>
      <c r="G288" s="325" t="s">
        <v>6</v>
      </c>
      <c r="H288" s="327" t="s">
        <v>7</v>
      </c>
      <c r="I288" s="325" t="s">
        <v>8</v>
      </c>
      <c r="J288" s="325" t="s">
        <v>9</v>
      </c>
      <c r="K288" s="328" t="s">
        <v>10</v>
      </c>
      <c r="L288" s="329" t="s">
        <v>11</v>
      </c>
      <c r="M288" s="325" t="s">
        <v>12</v>
      </c>
      <c r="N288" s="330" t="s">
        <v>13</v>
      </c>
      <c r="O288" s="445" t="s">
        <v>63</v>
      </c>
      <c r="P288" s="445" t="s">
        <v>5448</v>
      </c>
    </row>
    <row r="289" spans="1:16" s="17" customFormat="1" ht="33" customHeight="1">
      <c r="A289" s="441" t="s">
        <v>4504</v>
      </c>
      <c r="B289" s="407">
        <v>46146</v>
      </c>
      <c r="C289" s="4"/>
      <c r="D289" s="4"/>
      <c r="E289" s="31"/>
      <c r="F289" s="193"/>
      <c r="G289" s="16"/>
      <c r="H289" s="193"/>
      <c r="I289" s="31"/>
      <c r="J289" s="31"/>
      <c r="K289" s="125"/>
      <c r="L289" s="16"/>
      <c r="M289" s="8"/>
      <c r="N289" s="31" t="s">
        <v>4674</v>
      </c>
      <c r="O289" s="449"/>
      <c r="P289" s="631"/>
    </row>
    <row r="290" spans="1:16" s="17" customFormat="1" ht="33" customHeight="1">
      <c r="A290" s="442"/>
      <c r="B290" s="407">
        <v>46146</v>
      </c>
      <c r="C290" s="4"/>
      <c r="D290" s="4"/>
      <c r="E290" s="293"/>
      <c r="F290" s="31"/>
      <c r="G290" s="16"/>
      <c r="H290" s="193"/>
      <c r="I290" s="31"/>
      <c r="J290" s="31"/>
      <c r="K290" s="125"/>
      <c r="L290" s="16"/>
      <c r="M290" s="8"/>
      <c r="N290" s="31"/>
      <c r="O290" s="449"/>
      <c r="P290" s="631"/>
    </row>
    <row r="291" spans="1:16" s="17" customFormat="1" ht="33" customHeight="1">
      <c r="A291" s="442"/>
      <c r="B291" s="407">
        <v>46147</v>
      </c>
      <c r="C291" s="4"/>
      <c r="D291" s="4"/>
      <c r="E291" s="31"/>
      <c r="F291" s="31"/>
      <c r="G291" s="16"/>
      <c r="H291" s="417" t="s">
        <v>4762</v>
      </c>
      <c r="I291" s="31"/>
      <c r="J291" s="193"/>
      <c r="K291" s="125"/>
      <c r="L291" s="16"/>
      <c r="M291" s="8"/>
      <c r="N291" s="439"/>
      <c r="O291" s="448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193"/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46148</v>
      </c>
      <c r="C293" s="4" t="s">
        <v>113</v>
      </c>
      <c r="D293" s="4" t="s">
        <v>5266</v>
      </c>
      <c r="E293" s="513" t="s">
        <v>5276</v>
      </c>
      <c r="F293" s="513" t="s">
        <v>5277</v>
      </c>
      <c r="G293" s="16" t="s">
        <v>5278</v>
      </c>
      <c r="H293" s="514" t="s">
        <v>5270</v>
      </c>
      <c r="I293" s="513"/>
      <c r="J293" s="193"/>
      <c r="K293" s="125"/>
      <c r="L293" s="16"/>
      <c r="M293" s="8"/>
      <c r="N293" s="31" t="s">
        <v>4674</v>
      </c>
      <c r="O293" s="448"/>
      <c r="P293" s="631"/>
    </row>
    <row r="294" spans="1:16" s="17" customFormat="1" ht="33" customHeight="1">
      <c r="A294" s="442"/>
      <c r="B294" s="407">
        <v>46148</v>
      </c>
      <c r="C294" s="4"/>
      <c r="D294" s="4"/>
      <c r="E294" s="293"/>
      <c r="F294" s="31"/>
      <c r="G294" s="16"/>
      <c r="H294" s="193"/>
      <c r="I294" s="31"/>
      <c r="J294" s="31"/>
      <c r="K294" s="125"/>
      <c r="L294" s="16"/>
      <c r="M294" s="8"/>
      <c r="N294" s="31"/>
      <c r="O294" s="450"/>
      <c r="P294" s="631"/>
    </row>
    <row r="295" spans="1:16" s="17" customFormat="1" ht="33" customHeight="1">
      <c r="A295" s="442"/>
      <c r="B295" s="407">
        <v>46149</v>
      </c>
      <c r="C295" s="4" t="s">
        <v>113</v>
      </c>
      <c r="D295" s="4" t="s">
        <v>5266</v>
      </c>
      <c r="E295" s="513" t="s">
        <v>5276</v>
      </c>
      <c r="F295" s="513" t="s">
        <v>5277</v>
      </c>
      <c r="G295" s="16" t="s">
        <v>5269</v>
      </c>
      <c r="H295" s="514" t="s">
        <v>5270</v>
      </c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5279</v>
      </c>
      <c r="H296" s="514" t="s">
        <v>5270</v>
      </c>
      <c r="I296" s="31"/>
      <c r="J296" s="31"/>
      <c r="K296" s="125"/>
      <c r="L296" s="16"/>
      <c r="M296" s="8"/>
      <c r="N296" s="31"/>
      <c r="O296" s="450"/>
      <c r="P296" s="631"/>
    </row>
    <row r="297" spans="1:16" s="17" customFormat="1" ht="33" customHeight="1">
      <c r="A297" s="442"/>
      <c r="B297" s="407">
        <v>46150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5280</v>
      </c>
      <c r="H297" s="514" t="s">
        <v>5270</v>
      </c>
      <c r="I297" s="31"/>
      <c r="J297" s="193"/>
      <c r="K297" s="125"/>
      <c r="L297" s="16"/>
      <c r="M297" s="8"/>
      <c r="N297" s="31" t="s">
        <v>4674</v>
      </c>
      <c r="O297" s="447"/>
      <c r="P297" s="631"/>
    </row>
    <row r="298" spans="1:16" s="17" customFormat="1" ht="33" customHeight="1">
      <c r="A298" s="442"/>
      <c r="B298" s="407">
        <v>46150</v>
      </c>
      <c r="C298" s="4"/>
      <c r="D298" s="4"/>
      <c r="E298" s="31"/>
      <c r="F298" s="31"/>
      <c r="G298" s="16"/>
      <c r="H298" s="193"/>
      <c r="I298" s="31"/>
      <c r="J298" s="31"/>
      <c r="K298" s="125"/>
      <c r="L298" s="16"/>
      <c r="M298" s="8"/>
      <c r="N298" s="31"/>
      <c r="O298" s="446"/>
      <c r="P298" s="631"/>
    </row>
    <row r="299" spans="1:16" s="17" customFormat="1" ht="33" customHeight="1">
      <c r="A299" s="442"/>
      <c r="B299" s="407">
        <v>46151</v>
      </c>
      <c r="C299" s="4"/>
      <c r="D299" s="4"/>
      <c r="E299" s="31"/>
      <c r="F299" s="31"/>
      <c r="G299" s="16"/>
      <c r="H299" s="193"/>
      <c r="I299" s="193"/>
      <c r="J299" s="193"/>
      <c r="K299" s="125"/>
      <c r="L299" s="16"/>
      <c r="M299" s="8"/>
      <c r="N299" s="193"/>
      <c r="O299" s="456"/>
      <c r="P299" s="631"/>
    </row>
    <row r="300" spans="1:16" s="17" customFormat="1" ht="33" customHeight="1">
      <c r="A300" s="443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31"/>
      <c r="O300" s="450"/>
      <c r="P300" s="631"/>
    </row>
    <row r="301" spans="1:16" s="17" customFormat="1" ht="33" customHeight="1">
      <c r="A301" s="444" t="s">
        <v>0</v>
      </c>
      <c r="B301" s="326" t="s">
        <v>1</v>
      </c>
      <c r="C301" s="325" t="s">
        <v>2</v>
      </c>
      <c r="D301" s="325" t="s">
        <v>3</v>
      </c>
      <c r="E301" s="325" t="s">
        <v>4</v>
      </c>
      <c r="F301" s="325" t="s">
        <v>5</v>
      </c>
      <c r="G301" s="325" t="s">
        <v>6</v>
      </c>
      <c r="H301" s="327" t="s">
        <v>7</v>
      </c>
      <c r="I301" s="325" t="s">
        <v>8</v>
      </c>
      <c r="J301" s="325" t="s">
        <v>9</v>
      </c>
      <c r="K301" s="328" t="s">
        <v>10</v>
      </c>
      <c r="L301" s="329" t="s">
        <v>11</v>
      </c>
      <c r="M301" s="325" t="s">
        <v>12</v>
      </c>
      <c r="N301" s="330" t="s">
        <v>13</v>
      </c>
      <c r="O301" s="445" t="s">
        <v>63</v>
      </c>
      <c r="P301" s="445" t="s">
        <v>5448</v>
      </c>
    </row>
    <row r="302" spans="1:16" s="17" customFormat="1" ht="33" customHeight="1">
      <c r="A302" s="441" t="s">
        <v>4505</v>
      </c>
      <c r="B302" s="407">
        <v>46153</v>
      </c>
      <c r="C302" s="4"/>
      <c r="D302" s="4"/>
      <c r="E302" s="31"/>
      <c r="F302" s="193"/>
      <c r="G302" s="16"/>
      <c r="H302" s="193"/>
      <c r="I302" s="31"/>
      <c r="J302" s="31"/>
      <c r="K302" s="125"/>
      <c r="L302" s="16"/>
      <c r="M302" s="8"/>
      <c r="N302" s="31" t="s">
        <v>4674</v>
      </c>
      <c r="O302" s="449"/>
      <c r="P302" s="631"/>
    </row>
    <row r="303" spans="1:16" s="17" customFormat="1" ht="33" customHeight="1">
      <c r="A303" s="442"/>
      <c r="B303" s="407">
        <v>46153</v>
      </c>
      <c r="C303" s="4"/>
      <c r="D303" s="4"/>
      <c r="E303" s="293"/>
      <c r="F303" s="31"/>
      <c r="G303" s="16"/>
      <c r="H303" s="193"/>
      <c r="I303" s="31"/>
      <c r="J303" s="31"/>
      <c r="K303" s="125"/>
      <c r="L303" s="16"/>
      <c r="M303" s="8"/>
      <c r="N303" s="31"/>
      <c r="O303" s="449"/>
      <c r="P303" s="631"/>
    </row>
    <row r="304" spans="1:16" s="17" customFormat="1" ht="33" customHeight="1">
      <c r="A304" s="442"/>
      <c r="B304" s="407">
        <v>46154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439"/>
      <c r="O304" s="448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46155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31" t="s">
        <v>4674</v>
      </c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293"/>
      <c r="F307" s="31"/>
      <c r="G307" s="16"/>
      <c r="H307" s="193"/>
      <c r="I307" s="31"/>
      <c r="J307" s="31"/>
      <c r="K307" s="125"/>
      <c r="L307" s="16"/>
      <c r="M307" s="8"/>
      <c r="N307" s="31"/>
      <c r="O307" s="450"/>
      <c r="P307" s="631"/>
    </row>
    <row r="308" spans="1:16" s="17" customFormat="1" ht="33" customHeight="1">
      <c r="A308" s="442"/>
      <c r="B308" s="407">
        <v>46156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50"/>
      <c r="P309" s="631"/>
    </row>
    <row r="310" spans="1:16" s="17" customFormat="1" ht="33" customHeight="1">
      <c r="A310" s="442"/>
      <c r="B310" s="407">
        <v>46157</v>
      </c>
      <c r="C310" s="183" t="s">
        <v>4510</v>
      </c>
      <c r="D310" s="183" t="s">
        <v>4511</v>
      </c>
      <c r="E310" s="240" t="s">
        <v>4520</v>
      </c>
      <c r="F310" s="435" t="s">
        <v>4521</v>
      </c>
      <c r="G310" s="393" t="s">
        <v>4512</v>
      </c>
      <c r="H310" s="240" t="s">
        <v>4515</v>
      </c>
      <c r="I310" s="240" t="s">
        <v>4908</v>
      </c>
      <c r="J310" s="240"/>
      <c r="K310" s="241" t="s">
        <v>4513</v>
      </c>
      <c r="L310" s="393"/>
      <c r="M310" s="412"/>
      <c r="N310" s="31" t="s">
        <v>4674</v>
      </c>
      <c r="O310" s="460" t="s">
        <v>4514</v>
      </c>
      <c r="P310" s="631"/>
    </row>
    <row r="311" spans="1:16" s="17" customFormat="1" ht="33" customHeight="1">
      <c r="A311" s="442"/>
      <c r="B311" s="407">
        <v>46157</v>
      </c>
      <c r="C311" s="4"/>
      <c r="D311" s="4"/>
      <c r="E311" s="31"/>
      <c r="F311" s="31"/>
      <c r="G311" s="16"/>
      <c r="H311" s="193"/>
      <c r="I311" s="31"/>
      <c r="J311" s="31"/>
      <c r="K311" s="125"/>
      <c r="L311" s="16"/>
      <c r="M311" s="8"/>
      <c r="N311" s="31"/>
      <c r="O311" s="446"/>
      <c r="P311" s="631"/>
    </row>
    <row r="312" spans="1:16" s="17" customFormat="1" ht="33" customHeight="1">
      <c r="A312" s="442"/>
      <c r="B312" s="407">
        <v>46158</v>
      </c>
      <c r="C312" s="4"/>
      <c r="D312" s="4"/>
      <c r="E312" s="31"/>
      <c r="F312" s="31"/>
      <c r="G312" s="16"/>
      <c r="H312" s="193"/>
      <c r="I312" s="193"/>
      <c r="J312" s="193"/>
      <c r="K312" s="125"/>
      <c r="L312" s="16"/>
      <c r="M312" s="8"/>
      <c r="N312" s="193"/>
      <c r="O312" s="456"/>
      <c r="P312" s="631"/>
    </row>
    <row r="313" spans="1:16" s="17" customFormat="1" ht="33" customHeight="1">
      <c r="A313" s="443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31"/>
      <c r="O313" s="450"/>
      <c r="P313" s="631"/>
    </row>
    <row r="314" spans="1:16" s="17" customFormat="1" ht="33" customHeight="1">
      <c r="A314" s="444" t="s">
        <v>0</v>
      </c>
      <c r="B314" s="326" t="s">
        <v>1</v>
      </c>
      <c r="C314" s="325" t="s">
        <v>2</v>
      </c>
      <c r="D314" s="325" t="s">
        <v>3</v>
      </c>
      <c r="E314" s="325" t="s">
        <v>4</v>
      </c>
      <c r="F314" s="325" t="s">
        <v>5</v>
      </c>
      <c r="G314" s="325" t="s">
        <v>6</v>
      </c>
      <c r="H314" s="327" t="s">
        <v>7</v>
      </c>
      <c r="I314" s="325" t="s">
        <v>8</v>
      </c>
      <c r="J314" s="325" t="s">
        <v>9</v>
      </c>
      <c r="K314" s="328" t="s">
        <v>10</v>
      </c>
      <c r="L314" s="329" t="s">
        <v>11</v>
      </c>
      <c r="M314" s="325" t="s">
        <v>12</v>
      </c>
      <c r="N314" s="330" t="s">
        <v>13</v>
      </c>
      <c r="O314" s="445" t="s">
        <v>63</v>
      </c>
      <c r="P314" s="445" t="s">
        <v>5448</v>
      </c>
    </row>
    <row r="315" spans="1:16" s="17" customFormat="1" ht="33" customHeight="1">
      <c r="A315" s="441" t="s">
        <v>4506</v>
      </c>
      <c r="B315" s="407">
        <v>46160</v>
      </c>
      <c r="C315" s="4"/>
      <c r="D315" s="4"/>
      <c r="E315" s="31"/>
      <c r="F315" s="193"/>
      <c r="G315" s="16"/>
      <c r="H315" s="193"/>
      <c r="I315" s="31"/>
      <c r="J315" s="31"/>
      <c r="K315" s="125"/>
      <c r="L315" s="16"/>
      <c r="M315" s="8"/>
      <c r="N315" s="31" t="s">
        <v>4674</v>
      </c>
      <c r="O315" s="449"/>
      <c r="P315" s="631"/>
    </row>
    <row r="316" spans="1:16" s="17" customFormat="1" ht="33" customHeight="1">
      <c r="A316" s="442"/>
      <c r="B316" s="407">
        <v>46160</v>
      </c>
      <c r="C316" s="4"/>
      <c r="D316" s="4"/>
      <c r="E316" s="293"/>
      <c r="F316" s="31"/>
      <c r="G316" s="16"/>
      <c r="H316" s="193"/>
      <c r="I316" s="31"/>
      <c r="J316" s="31"/>
      <c r="K316" s="125"/>
      <c r="L316" s="16"/>
      <c r="M316" s="8"/>
      <c r="N316" s="31"/>
      <c r="O316" s="449"/>
      <c r="P316" s="631"/>
    </row>
    <row r="317" spans="1:16" s="17" customFormat="1" ht="33" customHeight="1">
      <c r="A317" s="442"/>
      <c r="B317" s="407">
        <v>46161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439"/>
      <c r="O317" s="448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46162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31" t="s">
        <v>4674</v>
      </c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50"/>
      <c r="P320" s="631"/>
    </row>
    <row r="321" spans="1:16" s="17" customFormat="1" ht="33" customHeight="1">
      <c r="A321" s="442"/>
      <c r="B321" s="407">
        <v>46163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50"/>
      <c r="P322" s="631"/>
    </row>
    <row r="323" spans="1:16" s="17" customFormat="1" ht="33" customHeight="1">
      <c r="A323" s="442"/>
      <c r="B323" s="407">
        <v>46164</v>
      </c>
      <c r="C323" s="4"/>
      <c r="D323" s="4"/>
      <c r="E323" s="31"/>
      <c r="F323" s="293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31"/>
      <c r="G324" s="16"/>
      <c r="H324" s="193"/>
      <c r="I324" s="31"/>
      <c r="J324" s="31"/>
      <c r="K324" s="125"/>
      <c r="L324" s="16"/>
      <c r="M324" s="8"/>
      <c r="N324" s="31"/>
      <c r="O324" s="446"/>
      <c r="P324" s="631"/>
    </row>
    <row r="325" spans="1:16" s="17" customFormat="1" ht="33" customHeight="1">
      <c r="A325" s="442"/>
      <c r="B325" s="407">
        <v>46165</v>
      </c>
      <c r="C325" s="4"/>
      <c r="D325" s="4"/>
      <c r="E325" s="31"/>
      <c r="F325" s="31"/>
      <c r="G325" s="16"/>
      <c r="H325" s="193"/>
      <c r="I325" s="193"/>
      <c r="J325" s="193"/>
      <c r="K325" s="125"/>
      <c r="L325" s="16"/>
      <c r="M325" s="8"/>
      <c r="N325" s="193"/>
      <c r="O325" s="456"/>
      <c r="P325" s="631"/>
    </row>
    <row r="326" spans="1:16" s="17" customFormat="1" ht="33" customHeight="1">
      <c r="A326" s="443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31"/>
      <c r="O326" s="450"/>
      <c r="P326" s="631"/>
    </row>
    <row r="327" spans="1:16" s="17" customFormat="1" ht="33" customHeight="1">
      <c r="A327" s="444" t="s">
        <v>0</v>
      </c>
      <c r="B327" s="326" t="s">
        <v>1</v>
      </c>
      <c r="C327" s="325" t="s">
        <v>2</v>
      </c>
      <c r="D327" s="325" t="s">
        <v>3</v>
      </c>
      <c r="E327" s="325" t="s">
        <v>4</v>
      </c>
      <c r="F327" s="325" t="s">
        <v>5</v>
      </c>
      <c r="G327" s="325" t="s">
        <v>6</v>
      </c>
      <c r="H327" s="327" t="s">
        <v>7</v>
      </c>
      <c r="I327" s="325" t="s">
        <v>8</v>
      </c>
      <c r="J327" s="325" t="s">
        <v>9</v>
      </c>
      <c r="K327" s="328" t="s">
        <v>10</v>
      </c>
      <c r="L327" s="329" t="s">
        <v>11</v>
      </c>
      <c r="M327" s="325" t="s">
        <v>12</v>
      </c>
      <c r="N327" s="330" t="s">
        <v>13</v>
      </c>
      <c r="O327" s="445" t="s">
        <v>63</v>
      </c>
      <c r="P327" s="445" t="s">
        <v>5448</v>
      </c>
    </row>
    <row r="328" spans="1:16" s="17" customFormat="1" ht="33" customHeight="1">
      <c r="A328" s="441" t="s">
        <v>4507</v>
      </c>
      <c r="B328" s="407">
        <v>46167</v>
      </c>
      <c r="C328" s="4"/>
      <c r="D328" s="4"/>
      <c r="E328" s="31"/>
      <c r="F328" s="193"/>
      <c r="G328" s="16"/>
      <c r="H328" s="417" t="s">
        <v>4673</v>
      </c>
      <c r="I328" s="31"/>
      <c r="J328" s="31"/>
      <c r="K328" s="125"/>
      <c r="L328" s="16"/>
      <c r="M328" s="8"/>
      <c r="N328" s="31"/>
      <c r="O328" s="449"/>
      <c r="P328" s="631"/>
    </row>
    <row r="329" spans="1:16" s="17" customFormat="1" ht="33" customHeight="1">
      <c r="A329" s="442"/>
      <c r="B329" s="407">
        <v>46167</v>
      </c>
      <c r="C329" s="4"/>
      <c r="D329" s="4"/>
      <c r="E329" s="293"/>
      <c r="F329" s="31"/>
      <c r="G329" s="16"/>
      <c r="H329" s="193"/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46168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9"/>
      <c r="O330" s="448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46169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50"/>
      <c r="P333" s="631"/>
    </row>
    <row r="334" spans="1:16" s="17" customFormat="1" ht="33" customHeight="1">
      <c r="A334" s="442"/>
      <c r="B334" s="407">
        <v>46170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50"/>
      <c r="P335" s="631"/>
    </row>
    <row r="336" spans="1:16" s="17" customFormat="1" ht="33" customHeight="1">
      <c r="A336" s="442"/>
      <c r="B336" s="407">
        <v>46171</v>
      </c>
      <c r="C336" s="4"/>
      <c r="D336" s="4"/>
      <c r="E336" s="31"/>
      <c r="F336" s="293"/>
      <c r="G336" s="16"/>
      <c r="H336" s="193"/>
      <c r="I336" s="31"/>
      <c r="J336" s="193"/>
      <c r="K336" s="125"/>
      <c r="L336" s="16"/>
      <c r="M336" s="8"/>
      <c r="N336" s="31"/>
      <c r="O336" s="447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31"/>
      <c r="G337" s="16"/>
      <c r="H337" s="193"/>
      <c r="I337" s="31"/>
      <c r="J337" s="31"/>
      <c r="K337" s="125"/>
      <c r="L337" s="16"/>
      <c r="M337" s="8"/>
      <c r="N337" s="31"/>
      <c r="O337" s="446"/>
      <c r="P337" s="631"/>
    </row>
    <row r="338" spans="1:16" s="17" customFormat="1" ht="33" customHeight="1">
      <c r="A338" s="442"/>
      <c r="B338" s="407">
        <v>46172</v>
      </c>
      <c r="C338" s="4"/>
      <c r="D338" s="4"/>
      <c r="E338" s="31"/>
      <c r="F338" s="31"/>
      <c r="G338" s="16"/>
      <c r="H338" s="193"/>
      <c r="I338" s="193"/>
      <c r="J338" s="193"/>
      <c r="K338" s="125"/>
      <c r="L338" s="16"/>
      <c r="M338" s="8"/>
      <c r="N338" s="193"/>
      <c r="O338" s="456"/>
      <c r="P338" s="631"/>
    </row>
    <row r="339" spans="1:16" s="17" customFormat="1" ht="33" customHeight="1">
      <c r="A339" s="443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31"/>
      <c r="O339" s="450"/>
      <c r="P339" s="631"/>
    </row>
    <row r="340" spans="1:16" s="17" customFormat="1" ht="33" customHeight="1">
      <c r="A340" s="444" t="s">
        <v>0</v>
      </c>
      <c r="B340" s="326" t="s">
        <v>1</v>
      </c>
      <c r="C340" s="325" t="s">
        <v>2</v>
      </c>
      <c r="D340" s="325" t="s">
        <v>3</v>
      </c>
      <c r="E340" s="325" t="s">
        <v>4</v>
      </c>
      <c r="F340" s="325" t="s">
        <v>5</v>
      </c>
      <c r="G340" s="325" t="s">
        <v>6</v>
      </c>
      <c r="H340" s="327" t="s">
        <v>7</v>
      </c>
      <c r="I340" s="325" t="s">
        <v>8</v>
      </c>
      <c r="J340" s="325" t="s">
        <v>9</v>
      </c>
      <c r="K340" s="328" t="s">
        <v>10</v>
      </c>
      <c r="L340" s="329" t="s">
        <v>11</v>
      </c>
      <c r="M340" s="325" t="s">
        <v>12</v>
      </c>
      <c r="N340" s="330" t="s">
        <v>13</v>
      </c>
      <c r="O340" s="445" t="s">
        <v>63</v>
      </c>
      <c r="P340" s="445" t="s">
        <v>5448</v>
      </c>
    </row>
    <row r="341" spans="1:16" s="17" customFormat="1" ht="33" customHeight="1">
      <c r="A341" s="441" t="s">
        <v>4508</v>
      </c>
      <c r="B341" s="407">
        <v>46174</v>
      </c>
      <c r="C341" s="4"/>
      <c r="D341" s="4"/>
      <c r="E341" s="31"/>
      <c r="F341" s="193"/>
      <c r="G341" s="16"/>
      <c r="H341" s="193"/>
      <c r="I341" s="31"/>
      <c r="J341" s="31"/>
      <c r="K341" s="125"/>
      <c r="L341" s="16"/>
      <c r="M341" s="8"/>
      <c r="N341" s="31"/>
      <c r="O341" s="449"/>
      <c r="P341" s="631"/>
    </row>
    <row r="342" spans="1:16" s="17" customFormat="1" ht="33" customHeight="1">
      <c r="A342" s="442"/>
      <c r="B342" s="407">
        <v>46174</v>
      </c>
      <c r="C342" s="4"/>
      <c r="D342" s="4"/>
      <c r="E342" s="293"/>
      <c r="F342" s="31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46175</v>
      </c>
      <c r="C343" s="4"/>
      <c r="D343" s="4"/>
      <c r="E343" s="31"/>
      <c r="F343" s="31"/>
      <c r="G343" s="16"/>
      <c r="H343" s="193"/>
      <c r="I343" s="31"/>
      <c r="J343" s="193"/>
      <c r="K343" s="125"/>
      <c r="L343" s="16"/>
      <c r="M343" s="8"/>
      <c r="N343" s="439"/>
      <c r="O343" s="448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46176</v>
      </c>
      <c r="C345" s="4"/>
      <c r="D345" s="4"/>
      <c r="E345" s="31"/>
      <c r="F345" s="31"/>
      <c r="G345" s="16"/>
      <c r="H345" s="417" t="s">
        <v>4761</v>
      </c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50"/>
      <c r="P346" s="631"/>
    </row>
    <row r="347" spans="1:16" s="17" customFormat="1" ht="33" customHeight="1">
      <c r="A347" s="442"/>
      <c r="B347" s="407">
        <v>46177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50"/>
      <c r="P348" s="631"/>
    </row>
    <row r="349" spans="1:16" s="17" customFormat="1" ht="33" customHeight="1">
      <c r="A349" s="442"/>
      <c r="B349" s="407">
        <v>46178</v>
      </c>
      <c r="C349" s="4" t="s">
        <v>113</v>
      </c>
      <c r="D349" s="4" t="s">
        <v>5266</v>
      </c>
      <c r="E349" s="513" t="s">
        <v>5276</v>
      </c>
      <c r="F349" s="513" t="s">
        <v>5277</v>
      </c>
      <c r="G349" s="16" t="s">
        <v>5281</v>
      </c>
      <c r="H349" s="514" t="s">
        <v>5270</v>
      </c>
      <c r="I349" s="31"/>
      <c r="J349" s="193"/>
      <c r="K349" s="125"/>
      <c r="L349" s="16"/>
      <c r="M349" s="8"/>
      <c r="N349" s="31"/>
      <c r="O349" s="447"/>
      <c r="P349" s="631"/>
    </row>
    <row r="350" spans="1:16" s="17" customFormat="1" ht="33" customHeight="1">
      <c r="A350" s="442"/>
      <c r="B350" s="407">
        <v>46178</v>
      </c>
      <c r="C350" s="4"/>
      <c r="D350" s="4"/>
      <c r="E350" s="31"/>
      <c r="F350" s="31"/>
      <c r="G350" s="16"/>
      <c r="H350" s="193"/>
      <c r="I350" s="31"/>
      <c r="J350" s="31"/>
      <c r="K350" s="125"/>
      <c r="L350" s="16"/>
      <c r="M350" s="8"/>
      <c r="N350" s="31"/>
      <c r="O350" s="446"/>
      <c r="P350" s="631"/>
    </row>
    <row r="351" spans="1:16" s="17" customFormat="1" ht="33" customHeight="1">
      <c r="A351" s="442"/>
      <c r="B351" s="407">
        <v>46179</v>
      </c>
      <c r="C351" s="4"/>
      <c r="D351" s="4"/>
      <c r="E351" s="31"/>
      <c r="F351" s="31"/>
      <c r="G351" s="16"/>
      <c r="H351" s="193"/>
      <c r="I351" s="193"/>
      <c r="J351" s="193"/>
      <c r="K351" s="125"/>
      <c r="L351" s="16"/>
      <c r="M351" s="8"/>
      <c r="N351" s="193"/>
      <c r="O351" s="456"/>
      <c r="P351" s="631"/>
    </row>
    <row r="352" spans="1:16" s="17" customFormat="1" ht="33" customHeight="1">
      <c r="A352" s="443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31"/>
      <c r="O352" s="450"/>
      <c r="P352" s="631"/>
    </row>
    <row r="353" spans="1:16" s="17" customFormat="1" ht="33" customHeight="1">
      <c r="A353" s="444" t="s">
        <v>0</v>
      </c>
      <c r="B353" s="326" t="s">
        <v>1</v>
      </c>
      <c r="C353" s="325" t="s">
        <v>2</v>
      </c>
      <c r="D353" s="325" t="s">
        <v>3</v>
      </c>
      <c r="E353" s="325" t="s">
        <v>4</v>
      </c>
      <c r="F353" s="325" t="s">
        <v>5</v>
      </c>
      <c r="G353" s="325" t="s">
        <v>6</v>
      </c>
      <c r="H353" s="327" t="s">
        <v>7</v>
      </c>
      <c r="I353" s="325" t="s">
        <v>8</v>
      </c>
      <c r="J353" s="325" t="s">
        <v>9</v>
      </c>
      <c r="K353" s="328" t="s">
        <v>10</v>
      </c>
      <c r="L353" s="329" t="s">
        <v>11</v>
      </c>
      <c r="M353" s="325" t="s">
        <v>12</v>
      </c>
      <c r="N353" s="330" t="s">
        <v>13</v>
      </c>
      <c r="O353" s="445" t="s">
        <v>63</v>
      </c>
      <c r="P353" s="445" t="s">
        <v>5448</v>
      </c>
    </row>
    <row r="354" spans="1:16" s="17" customFormat="1" ht="33" customHeight="1">
      <c r="A354" s="441" t="s">
        <v>4509</v>
      </c>
      <c r="B354" s="407">
        <v>46181</v>
      </c>
      <c r="C354" s="4" t="s">
        <v>113</v>
      </c>
      <c r="D354" s="4" t="s">
        <v>5266</v>
      </c>
      <c r="E354" s="513" t="s">
        <v>5267</v>
      </c>
      <c r="F354" s="513" t="s">
        <v>5268</v>
      </c>
      <c r="G354" s="16" t="s">
        <v>5274</v>
      </c>
      <c r="H354" s="514" t="s">
        <v>5270</v>
      </c>
      <c r="I354" s="31" t="s">
        <v>5275</v>
      </c>
      <c r="J354" s="31"/>
      <c r="K354" s="125"/>
      <c r="L354" s="16"/>
      <c r="M354" s="8"/>
      <c r="N354" s="31"/>
      <c r="O354" s="449"/>
      <c r="P354" s="631"/>
    </row>
    <row r="355" spans="1:16" s="17" customFormat="1" ht="33" customHeight="1">
      <c r="A355" s="442"/>
      <c r="B355" s="407">
        <v>46181</v>
      </c>
      <c r="C355" s="4"/>
      <c r="D355" s="4"/>
      <c r="E355" s="293"/>
      <c r="F355" s="31"/>
      <c r="G355" s="16"/>
      <c r="H355" s="193"/>
      <c r="I355" s="31"/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46182</v>
      </c>
      <c r="C356" s="4" t="s">
        <v>113</v>
      </c>
      <c r="D356" s="4" t="s">
        <v>5266</v>
      </c>
      <c r="E356" s="31" t="s">
        <v>5267</v>
      </c>
      <c r="F356" s="31" t="s">
        <v>5268</v>
      </c>
      <c r="G356" s="16" t="s">
        <v>5269</v>
      </c>
      <c r="H356" s="193" t="s">
        <v>5270</v>
      </c>
      <c r="I356" s="31"/>
      <c r="J356" s="193" t="s">
        <v>5271</v>
      </c>
      <c r="K356" s="125"/>
      <c r="L356" s="16"/>
      <c r="M356" s="8"/>
      <c r="N356" s="439"/>
      <c r="O356" s="448"/>
      <c r="P356" s="631"/>
    </row>
    <row r="357" spans="1:16" s="17" customFormat="1" ht="33" customHeight="1">
      <c r="A357" s="442"/>
      <c r="B357" s="407">
        <v>46182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46183</v>
      </c>
      <c r="C358" s="4" t="s">
        <v>113</v>
      </c>
      <c r="D358" s="4" t="s">
        <v>5266</v>
      </c>
      <c r="E358" s="513" t="s">
        <v>5267</v>
      </c>
      <c r="F358" s="513" t="s">
        <v>5268</v>
      </c>
      <c r="G358" s="16" t="s">
        <v>5272</v>
      </c>
      <c r="H358" s="514" t="s">
        <v>5270</v>
      </c>
      <c r="I358" s="31" t="s">
        <v>5273</v>
      </c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50"/>
      <c r="P359" s="631"/>
    </row>
    <row r="360" spans="1:16" s="17" customFormat="1" ht="33" customHeight="1">
      <c r="A360" s="442"/>
      <c r="B360" s="407">
        <v>46184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50"/>
      <c r="P361" s="631"/>
    </row>
    <row r="362" spans="1:16" s="17" customFormat="1" ht="33" customHeight="1">
      <c r="A362" s="442"/>
      <c r="B362" s="407">
        <v>46185</v>
      </c>
      <c r="C362" s="4"/>
      <c r="D362" s="4"/>
      <c r="E362" s="31"/>
      <c r="F362" s="293"/>
      <c r="G362" s="16"/>
      <c r="H362" s="193"/>
      <c r="I362" s="31"/>
      <c r="J362" s="193"/>
      <c r="K362" s="125"/>
      <c r="L362" s="16"/>
      <c r="M362" s="8"/>
      <c r="N362" s="31"/>
      <c r="O362" s="447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31"/>
      <c r="G363" s="16"/>
      <c r="H363" s="193"/>
      <c r="I363" s="31"/>
      <c r="J363" s="31"/>
      <c r="K363" s="125"/>
      <c r="L363" s="16"/>
      <c r="M363" s="8"/>
      <c r="N363" s="31"/>
      <c r="O363" s="446"/>
      <c r="P363" s="631"/>
    </row>
    <row r="364" spans="1:16" s="17" customFormat="1" ht="33" customHeight="1">
      <c r="A364" s="442"/>
      <c r="B364" s="407">
        <v>46186</v>
      </c>
      <c r="C364" s="4"/>
      <c r="D364" s="4"/>
      <c r="E364" s="31"/>
      <c r="F364" s="31"/>
      <c r="G364" s="16"/>
      <c r="H364" s="193"/>
      <c r="I364" s="193"/>
      <c r="J364" s="193"/>
      <c r="K364" s="125"/>
      <c r="L364" s="16"/>
      <c r="M364" s="8"/>
      <c r="N364" s="193"/>
      <c r="O364" s="456"/>
      <c r="P364" s="631"/>
    </row>
    <row r="365" spans="1:16">
      <c r="A365" s="442"/>
      <c r="B365" s="407">
        <v>46186</v>
      </c>
      <c r="C365" s="10"/>
      <c r="D365" s="10"/>
      <c r="E365" s="334"/>
      <c r="F365" s="334"/>
      <c r="G365" s="7"/>
      <c r="H365" s="155"/>
      <c r="I365" s="155"/>
      <c r="J365" s="155"/>
      <c r="K365" s="331"/>
      <c r="L365" s="7"/>
      <c r="M365" s="440"/>
      <c r="N365" s="334"/>
      <c r="O365" s="461"/>
      <c r="P365" s="26"/>
    </row>
    <row r="369" spans="2:2">
      <c r="B369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62" activePane="bottomLeft" state="frozen"/>
      <selection pane="bottomLeft" activeCell="I1394" sqref="I139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5340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5341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5343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5344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5347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5349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5350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5484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5485</v>
      </c>
    </row>
    <row r="1370" spans="1:14">
      <c r="A1370" s="518">
        <v>14</v>
      </c>
      <c r="B1370" s="863"/>
      <c r="C1370" s="152" t="s">
        <v>5484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5486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5487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5488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5489</v>
      </c>
      <c r="J1372" s="650" t="s">
        <v>5490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5491</v>
      </c>
      <c r="D1373" s="129" t="s">
        <v>306</v>
      </c>
      <c r="E1373" s="129" t="s">
        <v>322</v>
      </c>
      <c r="F1373" s="130" t="s">
        <v>5437</v>
      </c>
      <c r="G1373" s="651" t="s">
        <v>5492</v>
      </c>
      <c r="H1373" s="651" t="s">
        <v>662</v>
      </c>
      <c r="I1373" s="651" t="s">
        <v>5493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5494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5495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5496</v>
      </c>
      <c r="D1375" s="650" t="s">
        <v>306</v>
      </c>
      <c r="E1375" s="650" t="s">
        <v>322</v>
      </c>
      <c r="F1375" s="650" t="s">
        <v>5437</v>
      </c>
      <c r="G1375" s="651" t="s">
        <v>5497</v>
      </c>
      <c r="H1375" s="651" t="s">
        <v>3117</v>
      </c>
      <c r="I1375" s="651" t="s">
        <v>5498</v>
      </c>
      <c r="J1375" s="650" t="s">
        <v>5490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5499</v>
      </c>
      <c r="D1376" s="129" t="s">
        <v>5500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5501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5502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5503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5504</v>
      </c>
    </row>
    <row r="1378" spans="1:14" ht="36">
      <c r="A1378" s="518">
        <v>14</v>
      </c>
      <c r="B1378" s="865"/>
      <c r="C1378" s="652" t="s">
        <v>5505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5506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5507</v>
      </c>
    </row>
    <row r="1379" spans="1:14">
      <c r="A1379" s="518">
        <v>14</v>
      </c>
      <c r="B1379" s="865"/>
      <c r="C1379" s="130" t="s">
        <v>5505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5508</v>
      </c>
      <c r="K1379" s="658" t="s">
        <v>692</v>
      </c>
      <c r="L1379" s="635" t="s">
        <v>309</v>
      </c>
      <c r="M1379" s="536">
        <v>500000</v>
      </c>
      <c r="N1379" s="636" t="s">
        <v>5509</v>
      </c>
    </row>
    <row r="1380" spans="1:14">
      <c r="A1380" s="518">
        <v>14</v>
      </c>
      <c r="B1380" s="865"/>
      <c r="C1380" s="130" t="s">
        <v>5510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5508</v>
      </c>
      <c r="K1380" s="658" t="s">
        <v>692</v>
      </c>
      <c r="L1380" s="635" t="s">
        <v>309</v>
      </c>
      <c r="M1380" s="536">
        <v>500000</v>
      </c>
      <c r="N1380" s="636" t="s">
        <v>5509</v>
      </c>
    </row>
    <row r="1381" spans="1:14" ht="22.5">
      <c r="A1381" s="518">
        <v>14</v>
      </c>
      <c r="B1381" s="865"/>
      <c r="C1381" s="130" t="s">
        <v>5511</v>
      </c>
      <c r="D1381" s="129" t="s">
        <v>311</v>
      </c>
      <c r="E1381" s="129" t="s">
        <v>320</v>
      </c>
      <c r="F1381" s="653" t="s">
        <v>5512</v>
      </c>
      <c r="G1381" s="130" t="s">
        <v>5070</v>
      </c>
      <c r="H1381" s="130" t="s">
        <v>354</v>
      </c>
      <c r="I1381" s="130" t="s">
        <v>310</v>
      </c>
      <c r="J1381" s="130" t="s">
        <v>5508</v>
      </c>
      <c r="K1381" s="658" t="s">
        <v>692</v>
      </c>
      <c r="L1381" s="635" t="s">
        <v>309</v>
      </c>
      <c r="M1381" s="536">
        <v>500000</v>
      </c>
      <c r="N1381" s="636" t="s">
        <v>5509</v>
      </c>
    </row>
    <row r="1382" spans="1:14" ht="22.5">
      <c r="A1382" s="518">
        <v>14</v>
      </c>
      <c r="B1382" s="865"/>
      <c r="C1382" s="130" t="s">
        <v>5513</v>
      </c>
      <c r="D1382" s="129" t="s">
        <v>311</v>
      </c>
      <c r="E1382" s="129" t="s">
        <v>320</v>
      </c>
      <c r="F1382" s="653" t="s">
        <v>5512</v>
      </c>
      <c r="G1382" s="130" t="s">
        <v>5070</v>
      </c>
      <c r="H1382" s="130" t="s">
        <v>354</v>
      </c>
      <c r="I1382" s="130" t="s">
        <v>310</v>
      </c>
      <c r="J1382" s="130" t="s">
        <v>5508</v>
      </c>
      <c r="K1382" s="658" t="s">
        <v>692</v>
      </c>
      <c r="L1382" s="635" t="s">
        <v>309</v>
      </c>
      <c r="M1382" s="536">
        <v>500000</v>
      </c>
      <c r="N1382" s="636" t="s">
        <v>5509</v>
      </c>
    </row>
    <row r="1383" spans="1:14">
      <c r="A1383" s="518">
        <v>15</v>
      </c>
      <c r="B1383" s="707" t="s">
        <v>20</v>
      </c>
      <c r="C1383" s="668" t="s">
        <v>5536</v>
      </c>
      <c r="D1383" s="94" t="s">
        <v>306</v>
      </c>
      <c r="E1383" s="94" t="s">
        <v>322</v>
      </c>
      <c r="F1383" s="669" t="s">
        <v>5437</v>
      </c>
      <c r="G1383" s="669" t="s">
        <v>5535</v>
      </c>
      <c r="H1383" s="669" t="s">
        <v>23</v>
      </c>
      <c r="I1383" s="670" t="s">
        <v>5569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5533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5437</v>
      </c>
      <c r="G1384" s="669" t="s">
        <v>4948</v>
      </c>
      <c r="H1384" s="669" t="s">
        <v>1915</v>
      </c>
      <c r="I1384" s="670" t="s">
        <v>5438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5483</v>
      </c>
    </row>
    <row r="1385" spans="1:14">
      <c r="A1385" s="518">
        <v>15</v>
      </c>
      <c r="B1385" s="707"/>
      <c r="C1385" s="668">
        <v>46125</v>
      </c>
      <c r="D1385" s="94" t="s">
        <v>5587</v>
      </c>
      <c r="E1385" s="94" t="s">
        <v>322</v>
      </c>
      <c r="F1385" s="669" t="s">
        <v>5437</v>
      </c>
      <c r="G1385" s="669" t="s">
        <v>5588</v>
      </c>
      <c r="H1385" s="669" t="s">
        <v>5589</v>
      </c>
      <c r="I1385" s="670" t="s">
        <v>5590</v>
      </c>
      <c r="J1385" s="94" t="s">
        <v>5592</v>
      </c>
      <c r="K1385" s="690" t="s">
        <v>5591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5553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5586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5563</v>
      </c>
      <c r="D1387" s="666" t="s">
        <v>124</v>
      </c>
      <c r="E1387" s="666" t="s">
        <v>151</v>
      </c>
      <c r="F1387" s="664" t="s">
        <v>5264</v>
      </c>
      <c r="G1387" s="38" t="s">
        <v>5557</v>
      </c>
      <c r="H1387" s="677" t="s">
        <v>18</v>
      </c>
      <c r="I1387" s="667" t="s">
        <v>378</v>
      </c>
      <c r="J1387" s="666" t="s">
        <v>168</v>
      </c>
      <c r="K1387" s="666" t="s">
        <v>5593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5553</v>
      </c>
      <c r="D1388" s="666" t="s">
        <v>124</v>
      </c>
      <c r="E1388" s="666" t="s">
        <v>151</v>
      </c>
      <c r="F1388" s="664" t="s">
        <v>5264</v>
      </c>
      <c r="G1388" s="38" t="s">
        <v>5557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5594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5533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5483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5393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5523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5527</v>
      </c>
      <c r="J1393" s="664" t="s">
        <v>5528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5473</v>
      </c>
      <c r="J1395" s="678"/>
      <c r="K1395" s="679" t="s">
        <v>641</v>
      </c>
      <c r="L1395" s="666"/>
      <c r="M1395" s="694">
        <f>250000*2</f>
        <v>500000</v>
      </c>
      <c r="N1395" s="691" t="s">
        <v>5567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5539</v>
      </c>
      <c r="J1396" s="664" t="s">
        <v>5516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5478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4850000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3150000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8000000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5570</v>
      </c>
      <c r="B17" s="492">
        <f>'사전품의양식 (12)'!L4+'사전품의양식 (12)'!L5</f>
        <v>850000</v>
      </c>
      <c r="C17" s="492">
        <f>'사전품의양식 (12)'!L11+'사전품의양식 (12)'!L12</f>
        <v>850000</v>
      </c>
      <c r="D17" s="493">
        <f>SUM(B17:C17)</f>
        <v>1700000</v>
      </c>
    </row>
    <row r="18" spans="1:5">
      <c r="A18" s="491" t="s">
        <v>5571</v>
      </c>
      <c r="B18" s="492">
        <f>C11-B17</f>
        <v>4000000</v>
      </c>
      <c r="C18" s="492">
        <f>C12-C17</f>
        <v>2300000</v>
      </c>
      <c r="D18" s="492">
        <f>SUM(B18:C18)</f>
        <v>6300000</v>
      </c>
    </row>
    <row r="19" spans="1:5">
      <c r="A19" s="494" t="s">
        <v>4870</v>
      </c>
      <c r="B19" s="538">
        <f t="shared" ref="B19:C19" si="0">SUM(B17:B18)</f>
        <v>4850000</v>
      </c>
      <c r="C19" s="538">
        <f t="shared" si="0"/>
        <v>3150000</v>
      </c>
      <c r="D19" s="538">
        <f>SUM(D17:D18)</f>
        <v>8000000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B4" sqref="B4:M19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5480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 t="s">
        <v>5536</v>
      </c>
      <c r="C4" s="94" t="s">
        <v>306</v>
      </c>
      <c r="D4" s="94" t="s">
        <v>322</v>
      </c>
      <c r="E4" s="669" t="s">
        <v>5437</v>
      </c>
      <c r="F4" s="669" t="s">
        <v>5535</v>
      </c>
      <c r="G4" s="669" t="s">
        <v>5534</v>
      </c>
      <c r="H4" s="670" t="s">
        <v>5569</v>
      </c>
      <c r="I4" s="94" t="s">
        <v>1111</v>
      </c>
      <c r="J4" s="690" t="s">
        <v>5537</v>
      </c>
      <c r="K4" s="646"/>
      <c r="L4" s="400">
        <v>600000</v>
      </c>
      <c r="M4" s="691" t="s">
        <v>5533</v>
      </c>
    </row>
    <row r="5" spans="1:13" ht="16.5" customHeight="1">
      <c r="A5" s="714"/>
      <c r="B5" s="668">
        <v>46123</v>
      </c>
      <c r="C5" s="94" t="s">
        <v>306</v>
      </c>
      <c r="D5" s="94" t="s">
        <v>322</v>
      </c>
      <c r="E5" s="669" t="s">
        <v>5437</v>
      </c>
      <c r="F5" s="669" t="s">
        <v>4948</v>
      </c>
      <c r="G5" s="669" t="s">
        <v>1915</v>
      </c>
      <c r="H5" s="670" t="s">
        <v>5438</v>
      </c>
      <c r="I5" s="94" t="s">
        <v>1111</v>
      </c>
      <c r="J5" s="690" t="s">
        <v>3109</v>
      </c>
      <c r="K5" s="646"/>
      <c r="L5" s="400">
        <v>250000</v>
      </c>
      <c r="M5" s="691" t="s">
        <v>5483</v>
      </c>
    </row>
    <row r="6" spans="1:13" ht="16.5" customHeight="1">
      <c r="A6" s="714"/>
      <c r="B6" s="668">
        <v>46125</v>
      </c>
      <c r="C6" s="94" t="s">
        <v>5587</v>
      </c>
      <c r="D6" s="94" t="s">
        <v>322</v>
      </c>
      <c r="E6" s="669" t="s">
        <v>5437</v>
      </c>
      <c r="F6" s="669" t="s">
        <v>5588</v>
      </c>
      <c r="G6" s="669" t="s">
        <v>5589</v>
      </c>
      <c r="H6" s="670" t="s">
        <v>5590</v>
      </c>
      <c r="I6" s="94" t="s">
        <v>5592</v>
      </c>
      <c r="J6" s="690" t="s">
        <v>5591</v>
      </c>
      <c r="K6" s="666"/>
      <c r="L6" s="400">
        <v>250000</v>
      </c>
      <c r="M6" s="691"/>
    </row>
    <row r="7" spans="1:13">
      <c r="A7" s="714"/>
      <c r="B7" s="671" t="s">
        <v>5553</v>
      </c>
      <c r="C7" s="646" t="s">
        <v>124</v>
      </c>
      <c r="D7" s="646" t="s">
        <v>151</v>
      </c>
      <c r="E7" s="648" t="s">
        <v>5554</v>
      </c>
      <c r="F7" s="38">
        <v>1614</v>
      </c>
      <c r="G7" s="669" t="s">
        <v>1915</v>
      </c>
      <c r="H7" s="647" t="s">
        <v>5555</v>
      </c>
      <c r="I7" s="646" t="s">
        <v>5556</v>
      </c>
      <c r="J7" s="646" t="s">
        <v>5586</v>
      </c>
      <c r="K7" s="646"/>
      <c r="L7" s="96">
        <f>250000*5</f>
        <v>1250000</v>
      </c>
      <c r="M7" s="693"/>
    </row>
    <row r="8" spans="1:13">
      <c r="A8" s="714"/>
      <c r="B8" s="671" t="s">
        <v>5563</v>
      </c>
      <c r="C8" s="646" t="s">
        <v>124</v>
      </c>
      <c r="D8" s="646" t="s">
        <v>151</v>
      </c>
      <c r="E8" s="648" t="s">
        <v>5554</v>
      </c>
      <c r="F8" s="38" t="s">
        <v>5557</v>
      </c>
      <c r="G8" s="677" t="s">
        <v>5558</v>
      </c>
      <c r="H8" s="647" t="s">
        <v>378</v>
      </c>
      <c r="I8" s="646" t="s">
        <v>168</v>
      </c>
      <c r="J8" s="646" t="s">
        <v>5593</v>
      </c>
      <c r="K8" s="646"/>
      <c r="L8" s="96">
        <f>250000*5</f>
        <v>1250000</v>
      </c>
      <c r="M8" s="693"/>
    </row>
    <row r="9" spans="1:13">
      <c r="A9" s="714"/>
      <c r="B9" s="671" t="s">
        <v>5562</v>
      </c>
      <c r="C9" s="646" t="s">
        <v>124</v>
      </c>
      <c r="D9" s="646" t="s">
        <v>151</v>
      </c>
      <c r="E9" s="648" t="s">
        <v>5554</v>
      </c>
      <c r="F9" s="38" t="s">
        <v>5557</v>
      </c>
      <c r="G9" s="677" t="s">
        <v>5559</v>
      </c>
      <c r="H9" s="647" t="s">
        <v>5560</v>
      </c>
      <c r="I9" s="646" t="s">
        <v>5561</v>
      </c>
      <c r="J9" s="646" t="s">
        <v>3255</v>
      </c>
      <c r="K9" s="646"/>
      <c r="L9" s="96">
        <f>250000*5</f>
        <v>1250000</v>
      </c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4850000</v>
      </c>
      <c r="M10" s="646"/>
    </row>
    <row r="11" spans="1:13">
      <c r="A11" s="713" t="s">
        <v>21</v>
      </c>
      <c r="B11" s="668">
        <v>46097</v>
      </c>
      <c r="C11" s="646" t="s">
        <v>21</v>
      </c>
      <c r="D11" s="646" t="s">
        <v>4891</v>
      </c>
      <c r="E11" s="38" t="s">
        <v>4892</v>
      </c>
      <c r="F11" s="648" t="s">
        <v>2920</v>
      </c>
      <c r="G11" s="672" t="s">
        <v>4893</v>
      </c>
      <c r="H11" s="38" t="s">
        <v>4896</v>
      </c>
      <c r="I11" s="648"/>
      <c r="J11" s="648" t="s">
        <v>4894</v>
      </c>
      <c r="K11" s="646" t="s">
        <v>4895</v>
      </c>
      <c r="L11" s="96">
        <v>600000</v>
      </c>
      <c r="M11" s="691" t="s">
        <v>5533</v>
      </c>
    </row>
    <row r="12" spans="1:13">
      <c r="A12" s="714"/>
      <c r="B12" s="671">
        <v>46120</v>
      </c>
      <c r="C12" s="673" t="s">
        <v>21</v>
      </c>
      <c r="D12" s="673" t="s">
        <v>14</v>
      </c>
      <c r="E12" s="674" t="s">
        <v>107</v>
      </c>
      <c r="F12" s="674" t="s">
        <v>2963</v>
      </c>
      <c r="G12" s="675" t="s">
        <v>143</v>
      </c>
      <c r="H12" s="676" t="s">
        <v>5440</v>
      </c>
      <c r="I12" s="674"/>
      <c r="J12" s="674" t="s">
        <v>5481</v>
      </c>
      <c r="K12" s="646" t="s">
        <v>5482</v>
      </c>
      <c r="L12" s="96">
        <v>250000</v>
      </c>
      <c r="M12" s="691" t="s">
        <v>5483</v>
      </c>
    </row>
    <row r="13" spans="1:13">
      <c r="A13" s="714"/>
      <c r="B13" s="668">
        <v>46125</v>
      </c>
      <c r="C13" s="646" t="s">
        <v>96</v>
      </c>
      <c r="D13" s="646" t="s">
        <v>139</v>
      </c>
      <c r="E13" s="648" t="s">
        <v>100</v>
      </c>
      <c r="F13" s="38" t="s">
        <v>3012</v>
      </c>
      <c r="G13" s="677" t="s">
        <v>1382</v>
      </c>
      <c r="H13" s="38" t="s">
        <v>5393</v>
      </c>
      <c r="I13" s="648" t="s">
        <v>202</v>
      </c>
      <c r="J13" s="648" t="s">
        <v>686</v>
      </c>
      <c r="K13" s="646" t="s">
        <v>105</v>
      </c>
      <c r="L13" s="694">
        <v>250000</v>
      </c>
      <c r="M13" s="691" t="s">
        <v>5565</v>
      </c>
    </row>
    <row r="14" spans="1:13">
      <c r="A14" s="714"/>
      <c r="B14" s="671">
        <v>46125</v>
      </c>
      <c r="C14" s="646" t="s">
        <v>96</v>
      </c>
      <c r="D14" s="646" t="s">
        <v>139</v>
      </c>
      <c r="E14" s="678" t="s">
        <v>1791</v>
      </c>
      <c r="F14" s="648" t="s">
        <v>2139</v>
      </c>
      <c r="G14" s="672" t="s">
        <v>67</v>
      </c>
      <c r="H14" s="38" t="s">
        <v>5523</v>
      </c>
      <c r="I14" s="648" t="s">
        <v>90</v>
      </c>
      <c r="J14" s="38" t="s">
        <v>686</v>
      </c>
      <c r="K14" s="646" t="s">
        <v>105</v>
      </c>
      <c r="L14" s="694">
        <v>250000</v>
      </c>
      <c r="M14" s="691" t="s">
        <v>5566</v>
      </c>
    </row>
    <row r="15" spans="1:13" ht="27">
      <c r="A15" s="714"/>
      <c r="B15" s="668">
        <v>46126</v>
      </c>
      <c r="C15" s="673" t="s">
        <v>96</v>
      </c>
      <c r="D15" s="673" t="s">
        <v>99</v>
      </c>
      <c r="E15" s="676" t="s">
        <v>100</v>
      </c>
      <c r="F15" s="676" t="s">
        <v>3904</v>
      </c>
      <c r="G15" s="675" t="s">
        <v>171</v>
      </c>
      <c r="H15" s="38" t="s">
        <v>5527</v>
      </c>
      <c r="I15" s="648" t="s">
        <v>5528</v>
      </c>
      <c r="J15" s="38" t="s">
        <v>686</v>
      </c>
      <c r="K15" s="646" t="s">
        <v>105</v>
      </c>
      <c r="L15" s="694">
        <v>250000</v>
      </c>
      <c r="M15" s="691" t="s">
        <v>127</v>
      </c>
    </row>
    <row r="16" spans="1:13">
      <c r="A16" s="714"/>
      <c r="B16" s="668">
        <v>46128</v>
      </c>
      <c r="C16" s="44" t="s">
        <v>21</v>
      </c>
      <c r="D16" s="44" t="s">
        <v>30</v>
      </c>
      <c r="E16" s="678" t="s">
        <v>107</v>
      </c>
      <c r="F16" s="678" t="s">
        <v>1972</v>
      </c>
      <c r="G16" s="672" t="s">
        <v>376</v>
      </c>
      <c r="H16" s="679" t="s">
        <v>4852</v>
      </c>
      <c r="I16" s="678" t="s">
        <v>90</v>
      </c>
      <c r="J16" s="678" t="s">
        <v>641</v>
      </c>
      <c r="K16" s="44" t="s">
        <v>15</v>
      </c>
      <c r="L16" s="694">
        <f>250000*2</f>
        <v>500000</v>
      </c>
      <c r="M16" s="691" t="s">
        <v>393</v>
      </c>
    </row>
    <row r="17" spans="1:13">
      <c r="A17" s="714"/>
      <c r="B17" s="671">
        <v>46128</v>
      </c>
      <c r="C17" s="646" t="s">
        <v>96</v>
      </c>
      <c r="D17" s="646" t="s">
        <v>139</v>
      </c>
      <c r="E17" s="678" t="s">
        <v>1791</v>
      </c>
      <c r="F17" s="648" t="s">
        <v>2821</v>
      </c>
      <c r="G17" s="672" t="s">
        <v>23</v>
      </c>
      <c r="H17" s="38" t="s">
        <v>5473</v>
      </c>
      <c r="I17" s="678"/>
      <c r="J17" s="679" t="s">
        <v>641</v>
      </c>
      <c r="K17" s="646"/>
      <c r="L17" s="694">
        <f>250000*2</f>
        <v>500000</v>
      </c>
      <c r="M17" s="691" t="s">
        <v>5567</v>
      </c>
    </row>
    <row r="18" spans="1:13" ht="27">
      <c r="A18" s="714"/>
      <c r="B18" s="671">
        <v>46129</v>
      </c>
      <c r="C18" s="673" t="s">
        <v>21</v>
      </c>
      <c r="D18" s="673" t="s">
        <v>17</v>
      </c>
      <c r="E18" s="676" t="s">
        <v>78</v>
      </c>
      <c r="F18" s="676" t="s">
        <v>3904</v>
      </c>
      <c r="G18" s="675" t="s">
        <v>36</v>
      </c>
      <c r="H18" s="38" t="s">
        <v>5539</v>
      </c>
      <c r="I18" s="648" t="s">
        <v>5516</v>
      </c>
      <c r="J18" s="38" t="s">
        <v>410</v>
      </c>
      <c r="K18" s="646" t="s">
        <v>105</v>
      </c>
      <c r="L18" s="694">
        <v>300000</v>
      </c>
      <c r="M18" s="691" t="s">
        <v>127</v>
      </c>
    </row>
    <row r="19" spans="1:13">
      <c r="A19" s="714"/>
      <c r="B19" s="671">
        <v>46129</v>
      </c>
      <c r="C19" s="44" t="s">
        <v>21</v>
      </c>
      <c r="D19" s="44" t="s">
        <v>31</v>
      </c>
      <c r="E19" s="676" t="s">
        <v>100</v>
      </c>
      <c r="F19" s="678" t="s">
        <v>2333</v>
      </c>
      <c r="G19" s="672" t="s">
        <v>23</v>
      </c>
      <c r="H19" s="679" t="s">
        <v>5478</v>
      </c>
      <c r="I19" s="648" t="s">
        <v>5564</v>
      </c>
      <c r="J19" s="38" t="s">
        <v>686</v>
      </c>
      <c r="K19" s="646" t="s">
        <v>105</v>
      </c>
      <c r="L19" s="694">
        <v>250000</v>
      </c>
      <c r="M19" s="691" t="s">
        <v>5568</v>
      </c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3150000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8000000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4501</v>
      </c>
      <c r="B36" s="668">
        <v>46125</v>
      </c>
      <c r="C36" s="646" t="s">
        <v>96</v>
      </c>
      <c r="D36" s="646" t="s">
        <v>139</v>
      </c>
      <c r="E36" s="648" t="s">
        <v>100</v>
      </c>
      <c r="F36" s="38" t="s">
        <v>3012</v>
      </c>
      <c r="G36" s="677" t="s">
        <v>1382</v>
      </c>
      <c r="H36" s="38" t="s">
        <v>5393</v>
      </c>
      <c r="I36" s="648" t="s">
        <v>202</v>
      </c>
      <c r="J36" s="648" t="s">
        <v>686</v>
      </c>
      <c r="K36" s="646" t="s">
        <v>105</v>
      </c>
      <c r="L36" s="685">
        <v>2</v>
      </c>
      <c r="M36" s="685"/>
      <c r="N36" s="648"/>
    </row>
    <row r="37" spans="1:14" ht="33" customHeight="1">
      <c r="A37" s="644"/>
      <c r="B37" s="671">
        <v>46125</v>
      </c>
      <c r="C37" s="646" t="s">
        <v>21</v>
      </c>
      <c r="D37" s="646" t="s">
        <v>139</v>
      </c>
      <c r="E37" s="648" t="s">
        <v>100</v>
      </c>
      <c r="F37" s="38" t="s">
        <v>5551</v>
      </c>
      <c r="G37" s="677" t="s">
        <v>553</v>
      </c>
      <c r="H37" s="38" t="s">
        <v>216</v>
      </c>
      <c r="I37" s="648" t="s">
        <v>202</v>
      </c>
      <c r="J37" s="648" t="s">
        <v>686</v>
      </c>
      <c r="K37" s="646" t="s">
        <v>105</v>
      </c>
      <c r="L37" s="685">
        <v>2</v>
      </c>
      <c r="M37" s="685"/>
      <c r="N37" s="648"/>
    </row>
    <row r="38" spans="1:14" ht="33" customHeight="1">
      <c r="A38" s="644"/>
      <c r="B38" s="671">
        <v>46125</v>
      </c>
      <c r="C38" s="646" t="s">
        <v>138</v>
      </c>
      <c r="D38" s="646" t="s">
        <v>139</v>
      </c>
      <c r="E38" s="678" t="s">
        <v>1791</v>
      </c>
      <c r="F38" s="679" t="s">
        <v>5292</v>
      </c>
      <c r="G38" s="672" t="s">
        <v>106</v>
      </c>
      <c r="H38" s="38" t="s">
        <v>5468</v>
      </c>
      <c r="I38" s="648"/>
      <c r="J38" s="38" t="s">
        <v>1877</v>
      </c>
      <c r="K38" s="646" t="s">
        <v>105</v>
      </c>
      <c r="L38" s="685">
        <v>2</v>
      </c>
      <c r="M38" s="685"/>
      <c r="N38" s="648"/>
    </row>
    <row r="39" spans="1:14" ht="33" customHeight="1">
      <c r="A39" s="644"/>
      <c r="B39" s="671">
        <v>46125</v>
      </c>
      <c r="C39" s="646" t="s">
        <v>96</v>
      </c>
      <c r="D39" s="646" t="s">
        <v>139</v>
      </c>
      <c r="E39" s="678" t="s">
        <v>1791</v>
      </c>
      <c r="F39" s="648" t="s">
        <v>2139</v>
      </c>
      <c r="G39" s="672" t="s">
        <v>67</v>
      </c>
      <c r="H39" s="38" t="s">
        <v>5523</v>
      </c>
      <c r="I39" s="648" t="s">
        <v>90</v>
      </c>
      <c r="J39" s="38" t="s">
        <v>686</v>
      </c>
      <c r="K39" s="646" t="s">
        <v>105</v>
      </c>
      <c r="L39" s="685">
        <v>2</v>
      </c>
      <c r="M39" s="685"/>
      <c r="N39" s="648"/>
    </row>
    <row r="40" spans="1:14" ht="33" customHeight="1">
      <c r="A40" s="644"/>
      <c r="B40" s="671">
        <v>46125</v>
      </c>
      <c r="C40" s="646" t="s">
        <v>96</v>
      </c>
      <c r="D40" s="646" t="s">
        <v>139</v>
      </c>
      <c r="E40" s="678" t="s">
        <v>1791</v>
      </c>
      <c r="F40" s="648" t="s">
        <v>2139</v>
      </c>
      <c r="G40" s="672" t="s">
        <v>205</v>
      </c>
      <c r="H40" s="38" t="s">
        <v>5522</v>
      </c>
      <c r="I40" s="648" t="s">
        <v>90</v>
      </c>
      <c r="J40" s="38" t="s">
        <v>686</v>
      </c>
      <c r="K40" s="646" t="s">
        <v>105</v>
      </c>
      <c r="L40" s="685">
        <v>2</v>
      </c>
      <c r="M40" s="685"/>
      <c r="N40" s="648"/>
    </row>
    <row r="41" spans="1:14" ht="33" customHeight="1">
      <c r="A41" s="644"/>
      <c r="B41" s="671">
        <v>46125</v>
      </c>
      <c r="C41" s="44" t="s">
        <v>21</v>
      </c>
      <c r="D41" s="44" t="s">
        <v>14</v>
      </c>
      <c r="E41" s="678" t="s">
        <v>1897</v>
      </c>
      <c r="F41" s="678" t="s">
        <v>4949</v>
      </c>
      <c r="G41" s="672" t="s">
        <v>5520</v>
      </c>
      <c r="H41" s="679" t="s">
        <v>5323</v>
      </c>
      <c r="I41" s="679"/>
      <c r="J41" s="679" t="s">
        <v>5542</v>
      </c>
      <c r="K41" s="673" t="s">
        <v>15</v>
      </c>
      <c r="L41" s="685">
        <v>4</v>
      </c>
      <c r="M41" s="685"/>
      <c r="N41" s="648"/>
    </row>
    <row r="42" spans="1:14" ht="33" customHeight="1">
      <c r="A42" s="644"/>
      <c r="B42" s="668">
        <v>46126</v>
      </c>
      <c r="C42" s="44" t="s">
        <v>21</v>
      </c>
      <c r="D42" s="44" t="s">
        <v>14</v>
      </c>
      <c r="E42" s="678" t="s">
        <v>1897</v>
      </c>
      <c r="F42" s="678" t="s">
        <v>4949</v>
      </c>
      <c r="G42" s="672" t="s">
        <v>5520</v>
      </c>
      <c r="H42" s="679" t="s">
        <v>5323</v>
      </c>
      <c r="I42" s="679" t="s">
        <v>202</v>
      </c>
      <c r="J42" s="679" t="s">
        <v>5542</v>
      </c>
      <c r="K42" s="673" t="s">
        <v>15</v>
      </c>
      <c r="L42" s="685">
        <v>4</v>
      </c>
      <c r="M42" s="685"/>
      <c r="N42" s="648"/>
    </row>
    <row r="43" spans="1:14" ht="33" customHeight="1">
      <c r="A43" s="644"/>
      <c r="B43" s="668">
        <v>46126</v>
      </c>
      <c r="C43" s="673" t="s">
        <v>96</v>
      </c>
      <c r="D43" s="673" t="s">
        <v>99</v>
      </c>
      <c r="E43" s="676" t="s">
        <v>100</v>
      </c>
      <c r="F43" s="676" t="s">
        <v>3904</v>
      </c>
      <c r="G43" s="675" t="s">
        <v>171</v>
      </c>
      <c r="H43" s="38" t="s">
        <v>5527</v>
      </c>
      <c r="I43" s="648" t="s">
        <v>5528</v>
      </c>
      <c r="J43" s="38" t="s">
        <v>686</v>
      </c>
      <c r="K43" s="646" t="s">
        <v>105</v>
      </c>
      <c r="L43" s="685">
        <v>3</v>
      </c>
      <c r="M43" s="685"/>
      <c r="N43" s="648"/>
    </row>
    <row r="44" spans="1:14" ht="27">
      <c r="A44" s="644"/>
      <c r="B44" s="668">
        <v>46127</v>
      </c>
      <c r="C44" s="646" t="s">
        <v>96</v>
      </c>
      <c r="D44" s="646" t="s">
        <v>99</v>
      </c>
      <c r="E44" s="38" t="s">
        <v>3313</v>
      </c>
      <c r="F44" s="648" t="s">
        <v>2838</v>
      </c>
      <c r="G44" s="677" t="s">
        <v>5467</v>
      </c>
      <c r="H44" s="38" t="s">
        <v>5545</v>
      </c>
      <c r="I44" s="648" t="s">
        <v>90</v>
      </c>
      <c r="J44" s="648"/>
      <c r="K44" s="646" t="s">
        <v>105</v>
      </c>
      <c r="L44" s="685">
        <v>1</v>
      </c>
      <c r="M44" s="685"/>
      <c r="N44" s="648"/>
    </row>
    <row r="45" spans="1:14">
      <c r="A45" s="644"/>
      <c r="B45" s="668">
        <v>46127</v>
      </c>
      <c r="C45" s="44" t="s">
        <v>21</v>
      </c>
      <c r="D45" s="44" t="s">
        <v>14</v>
      </c>
      <c r="E45" s="678" t="s">
        <v>1897</v>
      </c>
      <c r="F45" s="678" t="s">
        <v>4949</v>
      </c>
      <c r="G45" s="672" t="s">
        <v>5520</v>
      </c>
      <c r="H45" s="679" t="s">
        <v>5323</v>
      </c>
      <c r="I45" s="679"/>
      <c r="J45" s="679" t="s">
        <v>506</v>
      </c>
      <c r="K45" s="673" t="s">
        <v>15</v>
      </c>
      <c r="L45" s="685">
        <v>3</v>
      </c>
      <c r="M45" s="685"/>
      <c r="N45" s="648"/>
    </row>
    <row r="46" spans="1:14">
      <c r="A46" s="644"/>
      <c r="B46" s="668">
        <v>46128</v>
      </c>
      <c r="C46" s="44" t="s">
        <v>21</v>
      </c>
      <c r="D46" s="44" t="s">
        <v>30</v>
      </c>
      <c r="E46" s="678" t="s">
        <v>107</v>
      </c>
      <c r="F46" s="678" t="s">
        <v>1972</v>
      </c>
      <c r="G46" s="672" t="s">
        <v>376</v>
      </c>
      <c r="H46" s="679" t="s">
        <v>4852</v>
      </c>
      <c r="I46" s="678" t="s">
        <v>90</v>
      </c>
      <c r="J46" s="678" t="s">
        <v>641</v>
      </c>
      <c r="K46" s="44" t="s">
        <v>15</v>
      </c>
      <c r="L46" s="685">
        <v>3</v>
      </c>
      <c r="M46" s="685"/>
      <c r="N46" s="648"/>
    </row>
    <row r="47" spans="1:14">
      <c r="A47" s="644"/>
      <c r="B47" s="671">
        <v>46128</v>
      </c>
      <c r="C47" s="646" t="s">
        <v>96</v>
      </c>
      <c r="D47" s="646" t="s">
        <v>139</v>
      </c>
      <c r="E47" s="38" t="s">
        <v>107</v>
      </c>
      <c r="F47" s="648" t="s">
        <v>1972</v>
      </c>
      <c r="G47" s="677" t="s">
        <v>143</v>
      </c>
      <c r="H47" s="38" t="s">
        <v>5538</v>
      </c>
      <c r="I47" s="648" t="s">
        <v>90</v>
      </c>
      <c r="J47" s="648"/>
      <c r="K47" s="646" t="s">
        <v>105</v>
      </c>
      <c r="L47" s="685">
        <v>1</v>
      </c>
      <c r="M47" s="685"/>
      <c r="N47" s="648"/>
    </row>
    <row r="48" spans="1:14">
      <c r="A48" s="644"/>
      <c r="B48" s="671">
        <v>46128</v>
      </c>
      <c r="C48" s="646" t="s">
        <v>96</v>
      </c>
      <c r="D48" s="646" t="s">
        <v>139</v>
      </c>
      <c r="E48" s="678" t="s">
        <v>1791</v>
      </c>
      <c r="F48" s="648" t="s">
        <v>2821</v>
      </c>
      <c r="G48" s="672" t="s">
        <v>23</v>
      </c>
      <c r="H48" s="38" t="s">
        <v>5473</v>
      </c>
      <c r="I48" s="678"/>
      <c r="J48" s="679" t="s">
        <v>641</v>
      </c>
      <c r="K48" s="44" t="s">
        <v>105</v>
      </c>
      <c r="L48" s="686">
        <v>2</v>
      </c>
      <c r="M48" s="686"/>
      <c r="N48" s="648"/>
    </row>
    <row r="49" spans="1:14">
      <c r="A49" s="644"/>
      <c r="B49" s="671">
        <v>46128</v>
      </c>
      <c r="C49" s="44" t="s">
        <v>21</v>
      </c>
      <c r="D49" s="44" t="s">
        <v>14</v>
      </c>
      <c r="E49" s="678" t="s">
        <v>1897</v>
      </c>
      <c r="F49" s="678" t="s">
        <v>4949</v>
      </c>
      <c r="G49" s="672" t="s">
        <v>5520</v>
      </c>
      <c r="H49" s="679" t="s">
        <v>5323</v>
      </c>
      <c r="I49" s="679"/>
      <c r="J49" s="679" t="s">
        <v>506</v>
      </c>
      <c r="K49" s="673" t="s">
        <v>15</v>
      </c>
      <c r="L49" s="685">
        <v>3</v>
      </c>
      <c r="M49" s="685"/>
      <c r="N49" s="648"/>
    </row>
    <row r="50" spans="1:14">
      <c r="A50" s="644"/>
      <c r="B50" s="668">
        <v>46129</v>
      </c>
      <c r="C50" s="44" t="s">
        <v>21</v>
      </c>
      <c r="D50" s="44" t="s">
        <v>14</v>
      </c>
      <c r="E50" s="678" t="s">
        <v>1897</v>
      </c>
      <c r="F50" s="678" t="s">
        <v>4949</v>
      </c>
      <c r="G50" s="672" t="s">
        <v>5520</v>
      </c>
      <c r="H50" s="679" t="s">
        <v>5323</v>
      </c>
      <c r="I50" s="679"/>
      <c r="J50" s="679" t="s">
        <v>506</v>
      </c>
      <c r="K50" s="673" t="s">
        <v>15</v>
      </c>
      <c r="L50" s="685">
        <v>3</v>
      </c>
      <c r="M50" s="685"/>
      <c r="N50" s="648"/>
    </row>
    <row r="51" spans="1:14" ht="27">
      <c r="A51" s="644"/>
      <c r="B51" s="671">
        <v>46129</v>
      </c>
      <c r="C51" s="673" t="s">
        <v>21</v>
      </c>
      <c r="D51" s="673" t="s">
        <v>17</v>
      </c>
      <c r="E51" s="676" t="s">
        <v>78</v>
      </c>
      <c r="F51" s="676" t="s">
        <v>3904</v>
      </c>
      <c r="G51" s="675" t="s">
        <v>36</v>
      </c>
      <c r="H51" s="38" t="s">
        <v>5539</v>
      </c>
      <c r="I51" s="648" t="s">
        <v>5516</v>
      </c>
      <c r="J51" s="38" t="s">
        <v>410</v>
      </c>
      <c r="K51" s="646" t="s">
        <v>105</v>
      </c>
      <c r="L51" s="685">
        <v>2</v>
      </c>
      <c r="M51" s="685"/>
      <c r="N51" s="648"/>
    </row>
    <row r="52" spans="1:14">
      <c r="A52" s="645"/>
      <c r="B52" s="671">
        <v>46129</v>
      </c>
      <c r="C52" s="44" t="s">
        <v>21</v>
      </c>
      <c r="D52" s="44" t="s">
        <v>31</v>
      </c>
      <c r="E52" s="676" t="s">
        <v>100</v>
      </c>
      <c r="F52" s="678" t="s">
        <v>2333</v>
      </c>
      <c r="G52" s="672" t="s">
        <v>23</v>
      </c>
      <c r="H52" s="679" t="s">
        <v>5478</v>
      </c>
      <c r="I52" s="648" t="s">
        <v>90</v>
      </c>
      <c r="J52" s="38" t="s">
        <v>686</v>
      </c>
      <c r="K52" s="646" t="s">
        <v>105</v>
      </c>
      <c r="L52" s="685">
        <v>3</v>
      </c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9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3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3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8" t="s">
        <v>5422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8" t="s">
        <v>5423</v>
      </c>
      <c r="I20" s="708"/>
      <c r="J20" s="708"/>
      <c r="K20" s="708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2026-04-14T04:19:43Z</dcterms:modified>
</cp:coreProperties>
</file>