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111" i="4" l="1"/>
  <c r="M1686" i="2"/>
  <c r="M1681" i="2"/>
  <c r="M1680" i="2"/>
  <c r="L14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<sst xmlns="http://schemas.openxmlformats.org/spreadsheetml/2006/main" count="30183" uniqueCount="7387">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</sst>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4"/>
  <sheetViews>
    <sheetView showGridLines="0" tabSelected="1" topLeftCell="B729" zoomScaleNormal="100" workbookViewId="0">
      <selection activeCell="H739" sqref="H73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0" t="s">
        <v>3261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3"/>
      <c r="Q169" s="874"/>
      <c r="R169" s="874"/>
      <c r="S169" s="87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1" t="s">
        <v>4688</v>
      </c>
      <c r="Q182" s="872"/>
      <c r="R182" s="872"/>
      <c r="S182" s="87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77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78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78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79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77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78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78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7239</v>
      </c>
      <c r="K698" s="125" t="s">
        <v>7184</v>
      </c>
      <c r="L698" s="16">
        <v>9080</v>
      </c>
      <c r="M698" s="8">
        <v>3</v>
      </c>
      <c r="N698" s="807"/>
      <c r="O698" s="431" t="s">
        <v>7240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7250</v>
      </c>
      <c r="F706" s="825" t="s">
        <v>7251</v>
      </c>
      <c r="G706" s="16" t="s">
        <v>7252</v>
      </c>
      <c r="H706" s="830" t="s">
        <v>7253</v>
      </c>
      <c r="I706" s="825" t="s">
        <v>7254</v>
      </c>
      <c r="J706" s="830"/>
      <c r="K706" s="277" t="s">
        <v>7255</v>
      </c>
      <c r="L706" s="16" t="s">
        <v>7256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7287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7247</v>
      </c>
      <c r="I709" s="825" t="s">
        <v>7199</v>
      </c>
      <c r="J709" s="825" t="s">
        <v>7246</v>
      </c>
      <c r="K709" s="125" t="s">
        <v>7194</v>
      </c>
      <c r="L709" s="16" t="s">
        <v>7200</v>
      </c>
      <c r="M709" s="8">
        <v>4</v>
      </c>
      <c r="N709" s="825"/>
      <c r="O709" s="431" t="s">
        <v>7248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7242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7257</v>
      </c>
      <c r="D713" s="4" t="s">
        <v>7258</v>
      </c>
      <c r="E713" s="846" t="s">
        <v>7259</v>
      </c>
      <c r="F713" s="846">
        <v>7062</v>
      </c>
      <c r="G713" s="16" t="s">
        <v>7260</v>
      </c>
      <c r="H713" s="849" t="s">
        <v>7276</v>
      </c>
      <c r="I713" s="846" t="s">
        <v>7274</v>
      </c>
      <c r="J713" s="849" t="s">
        <v>7262</v>
      </c>
      <c r="K713" s="277"/>
      <c r="L713" s="16" t="s">
        <v>7267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7257</v>
      </c>
      <c r="D714" s="4" t="s">
        <v>7258</v>
      </c>
      <c r="E714" s="846" t="s">
        <v>7259</v>
      </c>
      <c r="F714" s="846">
        <v>7062</v>
      </c>
      <c r="G714" s="16" t="s">
        <v>7260</v>
      </c>
      <c r="H714" s="849" t="s">
        <v>7261</v>
      </c>
      <c r="I714" s="846" t="s">
        <v>7275</v>
      </c>
      <c r="J714" s="849" t="s">
        <v>7263</v>
      </c>
      <c r="K714" s="277"/>
      <c r="L714" s="16" t="s">
        <v>7268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7242</v>
      </c>
      <c r="I715" s="825" t="s">
        <v>1948</v>
      </c>
      <c r="J715" s="825" t="s">
        <v>7297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7278</v>
      </c>
      <c r="B719" s="399">
        <v>46300</v>
      </c>
      <c r="C719" s="4"/>
      <c r="D719" s="4"/>
      <c r="E719" s="825"/>
      <c r="F719" s="825"/>
      <c r="G719" s="16"/>
      <c r="H719" s="830" t="s">
        <v>7269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7328</v>
      </c>
      <c r="F720" s="857" t="s">
        <v>7329</v>
      </c>
      <c r="G720" s="16" t="s">
        <v>7330</v>
      </c>
      <c r="H720" s="863" t="s">
        <v>7340</v>
      </c>
      <c r="I720" s="857"/>
      <c r="J720" s="857" t="s">
        <v>7332</v>
      </c>
      <c r="K720" s="125" t="s">
        <v>7333</v>
      </c>
      <c r="L720" s="16" t="s">
        <v>7334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7326</v>
      </c>
      <c r="I721" s="857" t="s">
        <v>7327</v>
      </c>
      <c r="J721" s="857"/>
      <c r="K721" s="125" t="s">
        <v>7298</v>
      </c>
      <c r="L721" s="16" t="s">
        <v>7299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7328</v>
      </c>
      <c r="F722" s="857" t="s">
        <v>7329</v>
      </c>
      <c r="G722" s="16" t="s">
        <v>7330</v>
      </c>
      <c r="H722" s="863" t="s">
        <v>7331</v>
      </c>
      <c r="I722" s="857"/>
      <c r="J722" s="857" t="s">
        <v>7332</v>
      </c>
      <c r="K722" s="125" t="s">
        <v>7333</v>
      </c>
      <c r="L722" s="16" t="s">
        <v>7334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 t="s">
        <v>21</v>
      </c>
      <c r="D723" s="4" t="s">
        <v>14</v>
      </c>
      <c r="E723" s="825" t="s">
        <v>107</v>
      </c>
      <c r="F723" s="830" t="s">
        <v>6745</v>
      </c>
      <c r="G723" s="16" t="s">
        <v>67</v>
      </c>
      <c r="H723" s="830" t="s">
        <v>213</v>
      </c>
      <c r="I723" s="825"/>
      <c r="J723" s="825" t="s">
        <v>255</v>
      </c>
      <c r="K723" s="125" t="s">
        <v>15</v>
      </c>
      <c r="L723" s="16" t="s">
        <v>4550</v>
      </c>
      <c r="M723" s="8">
        <v>1</v>
      </c>
      <c r="N723" s="422"/>
      <c r="O723" s="430" t="s">
        <v>7300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7328</v>
      </c>
      <c r="F724" s="857" t="s">
        <v>7336</v>
      </c>
      <c r="G724" s="16" t="s">
        <v>7330</v>
      </c>
      <c r="H724" s="863" t="s">
        <v>7335</v>
      </c>
      <c r="I724" s="857"/>
      <c r="J724" s="857" t="s">
        <v>7332</v>
      </c>
      <c r="K724" s="125" t="s">
        <v>7333</v>
      </c>
      <c r="L724" s="16" t="s">
        <v>7334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7289</v>
      </c>
      <c r="E725" s="849" t="s">
        <v>7294</v>
      </c>
      <c r="F725" s="31" t="s">
        <v>7290</v>
      </c>
      <c r="G725" s="16" t="s">
        <v>7291</v>
      </c>
      <c r="H725" s="193" t="s">
        <v>7302</v>
      </c>
      <c r="I725" s="31"/>
      <c r="J725" s="846" t="s">
        <v>7266</v>
      </c>
      <c r="K725" s="125" t="s">
        <v>7292</v>
      </c>
      <c r="L725" s="16" t="s">
        <v>7293</v>
      </c>
      <c r="M725" s="8">
        <v>2</v>
      </c>
      <c r="N725" s="422"/>
      <c r="O725" s="430" t="s">
        <v>7301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7328</v>
      </c>
      <c r="F726" s="857" t="s">
        <v>7336</v>
      </c>
      <c r="G726" s="16" t="s">
        <v>7330</v>
      </c>
      <c r="H726" s="863" t="s">
        <v>7335</v>
      </c>
      <c r="I726" s="857"/>
      <c r="J726" s="857" t="s">
        <v>7332</v>
      </c>
      <c r="K726" s="125" t="s">
        <v>7333</v>
      </c>
      <c r="L726" s="16" t="s">
        <v>7334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7328</v>
      </c>
      <c r="F727" s="857" t="s">
        <v>7336</v>
      </c>
      <c r="G727" s="16" t="s">
        <v>7330</v>
      </c>
      <c r="H727" s="863" t="s">
        <v>7335</v>
      </c>
      <c r="I727" s="857"/>
      <c r="J727" s="857" t="s">
        <v>7332</v>
      </c>
      <c r="K727" s="125" t="s">
        <v>7333</v>
      </c>
      <c r="L727" s="16" t="s">
        <v>7334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7270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1177">
        <v>46305</v>
      </c>
      <c r="C729" s="4" t="s">
        <v>21</v>
      </c>
      <c r="D729" s="4" t="s">
        <v>14</v>
      </c>
      <c r="E729" s="857" t="s">
        <v>7328</v>
      </c>
      <c r="F729" s="857" t="s">
        <v>7329</v>
      </c>
      <c r="G729" s="16" t="s">
        <v>7330</v>
      </c>
      <c r="H729" s="863" t="s">
        <v>7337</v>
      </c>
      <c r="I729" s="857"/>
      <c r="J729" s="857" t="s">
        <v>7332</v>
      </c>
      <c r="K729" s="125" t="s">
        <v>7333</v>
      </c>
      <c r="L729" s="16" t="s">
        <v>7334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1177">
        <v>46305</v>
      </c>
      <c r="C730" s="4" t="s">
        <v>7381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7382</v>
      </c>
      <c r="I730" s="825"/>
      <c r="J730" s="825" t="s">
        <v>7243</v>
      </c>
      <c r="K730" s="125" t="s">
        <v>7194</v>
      </c>
      <c r="L730" s="16" t="s">
        <v>7244</v>
      </c>
      <c r="M730" s="8">
        <v>2</v>
      </c>
      <c r="N730" s="31"/>
      <c r="O730" s="430" t="s">
        <v>7249</v>
      </c>
      <c r="P730" s="31"/>
    </row>
    <row r="731" spans="1:16" s="17" customFormat="1" ht="33" customHeight="1">
      <c r="A731" s="856"/>
      <c r="B731" s="1177">
        <v>46306</v>
      </c>
      <c r="C731" s="4" t="s">
        <v>21</v>
      </c>
      <c r="D731" s="4" t="s">
        <v>14</v>
      </c>
      <c r="E731" s="857" t="s">
        <v>7328</v>
      </c>
      <c r="F731" s="857" t="s">
        <v>7329</v>
      </c>
      <c r="G731" s="16" t="s">
        <v>7330</v>
      </c>
      <c r="H731" s="863" t="s">
        <v>7337</v>
      </c>
      <c r="I731" s="857"/>
      <c r="J731" s="857" t="s">
        <v>7332</v>
      </c>
      <c r="K731" s="125" t="s">
        <v>7333</v>
      </c>
      <c r="L731" s="16" t="s">
        <v>7334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7245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7279</v>
      </c>
      <c r="B735" s="399">
        <v>46307</v>
      </c>
      <c r="C735" s="4" t="s">
        <v>7307</v>
      </c>
      <c r="D735" s="4" t="s">
        <v>7308</v>
      </c>
      <c r="E735" s="31" t="s">
        <v>7309</v>
      </c>
      <c r="F735" s="31" t="s">
        <v>7310</v>
      </c>
      <c r="G735" s="16" t="s">
        <v>7311</v>
      </c>
      <c r="H735" s="193" t="s">
        <v>7386</v>
      </c>
      <c r="I735" s="31"/>
      <c r="J735" s="863" t="s">
        <v>7317</v>
      </c>
      <c r="K735" s="125" t="s">
        <v>7312</v>
      </c>
      <c r="L735" s="16" t="s">
        <v>7313</v>
      </c>
      <c r="M735" s="8">
        <v>2</v>
      </c>
      <c r="N735" s="31"/>
      <c r="O735" s="429" t="s">
        <v>7319</v>
      </c>
      <c r="P735" s="31"/>
    </row>
    <row r="736" spans="1:16" s="17" customFormat="1" ht="54">
      <c r="A736" s="855"/>
      <c r="B736" s="399">
        <v>46307</v>
      </c>
      <c r="C736" s="4" t="s">
        <v>7307</v>
      </c>
      <c r="D736" s="4" t="s">
        <v>7308</v>
      </c>
      <c r="E736" s="857" t="s">
        <v>7309</v>
      </c>
      <c r="F736" s="857" t="s">
        <v>7310</v>
      </c>
      <c r="G736" s="16" t="s">
        <v>7383</v>
      </c>
      <c r="H736" s="863" t="s">
        <v>7385</v>
      </c>
      <c r="I736" s="857"/>
      <c r="J736" s="863" t="s">
        <v>7384</v>
      </c>
      <c r="K736" s="125" t="s">
        <v>15</v>
      </c>
      <c r="L736" s="16" t="s">
        <v>7342</v>
      </c>
      <c r="M736" s="8">
        <v>1</v>
      </c>
      <c r="N736" s="857"/>
      <c r="O736" s="429" t="s">
        <v>7319</v>
      </c>
      <c r="P736" s="857"/>
    </row>
    <row r="737" spans="1:16" s="17" customFormat="1" ht="33" customHeight="1">
      <c r="A737" s="855"/>
      <c r="B737" s="399">
        <v>46307</v>
      </c>
      <c r="C737" s="4" t="s">
        <v>21</v>
      </c>
      <c r="D737" s="4" t="s">
        <v>14</v>
      </c>
      <c r="E737" s="857" t="s">
        <v>7328</v>
      </c>
      <c r="F737" s="857" t="s">
        <v>7329</v>
      </c>
      <c r="G737" s="16" t="s">
        <v>7330</v>
      </c>
      <c r="H737" s="863" t="s">
        <v>7337</v>
      </c>
      <c r="I737" s="857"/>
      <c r="J737" s="857" t="s">
        <v>7332</v>
      </c>
      <c r="K737" s="125" t="s">
        <v>7333</v>
      </c>
      <c r="L737" s="16" t="s">
        <v>7334</v>
      </c>
      <c r="M737" s="8">
        <v>2</v>
      </c>
      <c r="N737" s="857"/>
      <c r="O737" s="429"/>
      <c r="P737" s="857"/>
    </row>
    <row r="738" spans="1:16" s="17" customFormat="1" ht="33" customHeight="1">
      <c r="A738" s="595"/>
      <c r="B738" s="399">
        <v>46308</v>
      </c>
      <c r="C738" s="4" t="s">
        <v>64</v>
      </c>
      <c r="D738" s="4" t="s">
        <v>30</v>
      </c>
      <c r="E738" s="857" t="s">
        <v>1895</v>
      </c>
      <c r="F738" s="857">
        <v>7062</v>
      </c>
      <c r="G738" s="16" t="s">
        <v>205</v>
      </c>
      <c r="H738" s="863" t="s">
        <v>7314</v>
      </c>
      <c r="I738" s="31"/>
      <c r="J738" s="863" t="s">
        <v>7317</v>
      </c>
      <c r="K738" s="125" t="s">
        <v>7312</v>
      </c>
      <c r="L738" s="16" t="s">
        <v>7313</v>
      </c>
      <c r="M738" s="8">
        <v>2</v>
      </c>
      <c r="N738" s="31"/>
      <c r="O738" s="429" t="s">
        <v>7320</v>
      </c>
      <c r="P738" s="31"/>
    </row>
    <row r="739" spans="1:16" s="17" customFormat="1" ht="33" customHeight="1">
      <c r="A739" s="855"/>
      <c r="B739" s="399">
        <v>46308</v>
      </c>
      <c r="C739" s="4" t="s">
        <v>21</v>
      </c>
      <c r="D739" s="4" t="s">
        <v>14</v>
      </c>
      <c r="E739" s="857" t="s">
        <v>7328</v>
      </c>
      <c r="F739" s="857" t="s">
        <v>7329</v>
      </c>
      <c r="G739" s="16" t="s">
        <v>7330</v>
      </c>
      <c r="H739" s="863" t="s">
        <v>7337</v>
      </c>
      <c r="I739" s="857"/>
      <c r="J739" s="857" t="s">
        <v>7332</v>
      </c>
      <c r="K739" s="125" t="s">
        <v>7333</v>
      </c>
      <c r="L739" s="16" t="s">
        <v>7334</v>
      </c>
      <c r="M739" s="8">
        <v>2</v>
      </c>
      <c r="N739" s="857"/>
      <c r="O739" s="429"/>
      <c r="P739" s="857"/>
    </row>
    <row r="740" spans="1:16" s="17" customFormat="1" ht="33" customHeight="1">
      <c r="A740" s="595"/>
      <c r="B740" s="399">
        <v>46309</v>
      </c>
      <c r="C740" s="4" t="s">
        <v>64</v>
      </c>
      <c r="D740" s="4" t="s">
        <v>30</v>
      </c>
      <c r="E740" s="857" t="s">
        <v>1895</v>
      </c>
      <c r="F740" s="857">
        <v>7062</v>
      </c>
      <c r="G740" s="16" t="s">
        <v>205</v>
      </c>
      <c r="H740" s="863" t="s">
        <v>7265</v>
      </c>
      <c r="I740" s="31"/>
      <c r="J740" s="863" t="s">
        <v>7317</v>
      </c>
      <c r="K740" s="125" t="s">
        <v>7312</v>
      </c>
      <c r="L740" s="16" t="s">
        <v>7313</v>
      </c>
      <c r="M740" s="8">
        <v>2</v>
      </c>
      <c r="N740" s="422"/>
      <c r="O740" s="430" t="s">
        <v>7319</v>
      </c>
      <c r="P740" s="31"/>
    </row>
    <row r="741" spans="1:16" s="17" customFormat="1" ht="33" customHeight="1">
      <c r="A741" s="855"/>
      <c r="B741" s="399">
        <v>46309</v>
      </c>
      <c r="C741" s="4" t="s">
        <v>21</v>
      </c>
      <c r="D741" s="4" t="s">
        <v>14</v>
      </c>
      <c r="E741" s="857" t="s">
        <v>7328</v>
      </c>
      <c r="F741" s="857" t="s">
        <v>7329</v>
      </c>
      <c r="G741" s="16" t="s">
        <v>7330</v>
      </c>
      <c r="H741" s="863" t="s">
        <v>7338</v>
      </c>
      <c r="I741" s="857"/>
      <c r="J741" s="857" t="s">
        <v>7332</v>
      </c>
      <c r="K741" s="125" t="s">
        <v>7333</v>
      </c>
      <c r="L741" s="16" t="s">
        <v>7334</v>
      </c>
      <c r="M741" s="8">
        <v>2</v>
      </c>
      <c r="N741" s="861"/>
      <c r="O741" s="430"/>
      <c r="P741" s="857"/>
    </row>
    <row r="742" spans="1:16" s="17" customFormat="1" ht="33" customHeight="1">
      <c r="A742" s="595"/>
      <c r="B742" s="399">
        <v>46310</v>
      </c>
      <c r="C742" s="4" t="s">
        <v>21</v>
      </c>
      <c r="D742" s="4" t="s">
        <v>14</v>
      </c>
      <c r="E742" s="825" t="s">
        <v>107</v>
      </c>
      <c r="F742" s="830" t="s">
        <v>6745</v>
      </c>
      <c r="G742" s="16" t="s">
        <v>376</v>
      </c>
      <c r="H742" s="862" t="s">
        <v>7295</v>
      </c>
      <c r="I742" s="825" t="s">
        <v>7318</v>
      </c>
      <c r="J742" s="825"/>
      <c r="K742" s="125" t="s">
        <v>15</v>
      </c>
      <c r="L742" s="16" t="s">
        <v>7315</v>
      </c>
      <c r="M742" s="8">
        <v>1</v>
      </c>
      <c r="N742" s="422"/>
      <c r="O742" s="430" t="s">
        <v>7296</v>
      </c>
      <c r="P742" s="31"/>
    </row>
    <row r="743" spans="1:16" s="17" customFormat="1" ht="33" customHeight="1">
      <c r="A743" s="855"/>
      <c r="B743" s="399">
        <v>46310</v>
      </c>
      <c r="C743" s="4" t="s">
        <v>21</v>
      </c>
      <c r="D743" s="4" t="s">
        <v>14</v>
      </c>
      <c r="E743" s="857" t="s">
        <v>7328</v>
      </c>
      <c r="F743" s="857" t="s">
        <v>7329</v>
      </c>
      <c r="G743" s="16" t="s">
        <v>7330</v>
      </c>
      <c r="H743" s="863" t="s">
        <v>7331</v>
      </c>
      <c r="I743" s="857"/>
      <c r="J743" s="857" t="s">
        <v>7332</v>
      </c>
      <c r="K743" s="125" t="s">
        <v>7333</v>
      </c>
      <c r="L743" s="16" t="s">
        <v>7334</v>
      </c>
      <c r="M743" s="8">
        <v>2</v>
      </c>
      <c r="N743" s="861"/>
      <c r="O743" s="430"/>
      <c r="P743" s="857"/>
    </row>
    <row r="744" spans="1:16" s="17" customFormat="1" ht="33" customHeight="1">
      <c r="A744" s="843"/>
      <c r="B744" s="399">
        <v>46310</v>
      </c>
      <c r="C744" s="4" t="s">
        <v>7257</v>
      </c>
      <c r="D744" s="4" t="s">
        <v>7258</v>
      </c>
      <c r="E744" s="846" t="s">
        <v>7259</v>
      </c>
      <c r="F744" s="846">
        <v>7062</v>
      </c>
      <c r="G744" s="16" t="s">
        <v>7264</v>
      </c>
      <c r="H744" s="849" t="s">
        <v>7271</v>
      </c>
      <c r="I744" s="846"/>
      <c r="J744" s="849" t="s">
        <v>7316</v>
      </c>
      <c r="K744" s="125" t="s">
        <v>7272</v>
      </c>
      <c r="L744" s="16" t="s">
        <v>7273</v>
      </c>
      <c r="M744" s="8">
        <v>3</v>
      </c>
      <c r="N744" s="848"/>
      <c r="O744" s="430" t="s">
        <v>7321</v>
      </c>
      <c r="P744" s="846"/>
    </row>
    <row r="745" spans="1:16" s="17" customFormat="1" ht="33" customHeight="1">
      <c r="A745" s="595"/>
      <c r="B745" s="399">
        <v>46311</v>
      </c>
      <c r="C745" s="4" t="s">
        <v>21</v>
      </c>
      <c r="D745" s="4" t="s">
        <v>14</v>
      </c>
      <c r="E745" s="857" t="s">
        <v>7328</v>
      </c>
      <c r="F745" s="857" t="s">
        <v>7329</v>
      </c>
      <c r="G745" s="16" t="s">
        <v>7330</v>
      </c>
      <c r="H745" s="863" t="s">
        <v>7331</v>
      </c>
      <c r="I745" s="857"/>
      <c r="J745" s="857" t="s">
        <v>7332</v>
      </c>
      <c r="K745" s="125" t="s">
        <v>7333</v>
      </c>
      <c r="L745" s="16" t="s">
        <v>7334</v>
      </c>
      <c r="M745" s="8">
        <v>2</v>
      </c>
      <c r="N745" s="422"/>
      <c r="O745" s="430"/>
      <c r="P745" s="31"/>
    </row>
    <row r="746" spans="1:16" s="17" customFormat="1" ht="33" customHeight="1">
      <c r="A746" s="855"/>
      <c r="B746" s="399">
        <v>46311</v>
      </c>
      <c r="C746" s="4" t="s">
        <v>21</v>
      </c>
      <c r="D746" s="4" t="s">
        <v>14</v>
      </c>
      <c r="E746" s="857" t="s">
        <v>107</v>
      </c>
      <c r="F746" s="863" t="s">
        <v>6745</v>
      </c>
      <c r="G746" s="16" t="s">
        <v>67</v>
      </c>
      <c r="H746" s="863" t="s">
        <v>213</v>
      </c>
      <c r="I746" s="857"/>
      <c r="J746" s="857" t="s">
        <v>255</v>
      </c>
      <c r="K746" s="125" t="s">
        <v>15</v>
      </c>
      <c r="L746" s="16" t="s">
        <v>4550</v>
      </c>
      <c r="M746" s="8">
        <v>1</v>
      </c>
      <c r="N746" s="861"/>
      <c r="O746" s="430"/>
      <c r="P746" s="857"/>
    </row>
    <row r="747" spans="1:16" s="17" customFormat="1" ht="33" customHeight="1">
      <c r="A747" s="596"/>
      <c r="B747" s="369">
        <v>46312</v>
      </c>
      <c r="C747" s="4" t="s">
        <v>21</v>
      </c>
      <c r="D747" s="4" t="s">
        <v>14</v>
      </c>
      <c r="E747" s="857" t="s">
        <v>7328</v>
      </c>
      <c r="F747" s="857" t="s">
        <v>7329</v>
      </c>
      <c r="G747" s="16" t="s">
        <v>7330</v>
      </c>
      <c r="H747" s="863" t="s">
        <v>7339</v>
      </c>
      <c r="I747" s="857"/>
      <c r="J747" s="857" t="s">
        <v>7332</v>
      </c>
      <c r="K747" s="125" t="s">
        <v>7333</v>
      </c>
      <c r="L747" s="16" t="s">
        <v>7334</v>
      </c>
      <c r="M747" s="8">
        <v>2</v>
      </c>
      <c r="N747" s="31"/>
      <c r="O747" s="432"/>
      <c r="P747" s="31"/>
    </row>
    <row r="748" spans="1:16" s="17" customFormat="1" ht="33" customHeight="1">
      <c r="A748" s="322" t="s">
        <v>0</v>
      </c>
      <c r="B748" s="323" t="s">
        <v>1</v>
      </c>
      <c r="C748" s="322" t="s">
        <v>2</v>
      </c>
      <c r="D748" s="322" t="s">
        <v>3</v>
      </c>
      <c r="E748" s="322" t="s">
        <v>4</v>
      </c>
      <c r="F748" s="322" t="s">
        <v>5</v>
      </c>
      <c r="G748" s="322" t="s">
        <v>6</v>
      </c>
      <c r="H748" s="324" t="s">
        <v>7</v>
      </c>
      <c r="I748" s="322" t="s">
        <v>8</v>
      </c>
      <c r="J748" s="322" t="s">
        <v>9</v>
      </c>
      <c r="K748" s="325" t="s">
        <v>10</v>
      </c>
      <c r="L748" s="326" t="s">
        <v>11</v>
      </c>
      <c r="M748" s="322" t="s">
        <v>12</v>
      </c>
      <c r="N748" s="327" t="s">
        <v>13</v>
      </c>
      <c r="O748" s="427" t="s">
        <v>63</v>
      </c>
      <c r="P748" s="322" t="s">
        <v>123</v>
      </c>
    </row>
    <row r="749" spans="1:16" s="17" customFormat="1" ht="33" customHeight="1">
      <c r="A749" s="792" t="s">
        <v>7280</v>
      </c>
      <c r="B749" s="399">
        <v>46314</v>
      </c>
      <c r="C749" s="4" t="s">
        <v>138</v>
      </c>
      <c r="D749" s="4" t="s">
        <v>7322</v>
      </c>
      <c r="E749" s="797" t="s">
        <v>7323</v>
      </c>
      <c r="F749" s="797" t="s">
        <v>7324</v>
      </c>
      <c r="G749" s="16" t="s">
        <v>7311</v>
      </c>
      <c r="H749" s="800" t="s">
        <v>7325</v>
      </c>
      <c r="I749" s="797"/>
      <c r="J749" s="797" t="s">
        <v>7341</v>
      </c>
      <c r="K749" s="125" t="s">
        <v>7312</v>
      </c>
      <c r="L749" s="16" t="s">
        <v>7342</v>
      </c>
      <c r="M749" s="8"/>
      <c r="N749" s="797"/>
      <c r="O749" s="431"/>
      <c r="P749" s="797"/>
    </row>
    <row r="750" spans="1:16" s="17" customFormat="1" ht="33" customHeight="1">
      <c r="A750" s="793"/>
      <c r="B750" s="399">
        <v>46315</v>
      </c>
      <c r="C750" s="4" t="s">
        <v>138</v>
      </c>
      <c r="D750" s="4" t="s">
        <v>7322</v>
      </c>
      <c r="E750" s="857" t="s">
        <v>7323</v>
      </c>
      <c r="F750" s="857" t="s">
        <v>7324</v>
      </c>
      <c r="G750" s="16" t="s">
        <v>7311</v>
      </c>
      <c r="H750" s="863" t="s">
        <v>7325</v>
      </c>
      <c r="I750" s="857"/>
      <c r="J750" s="857" t="s">
        <v>7341</v>
      </c>
      <c r="K750" s="125" t="s">
        <v>7312</v>
      </c>
      <c r="L750" s="16" t="s">
        <v>7342</v>
      </c>
      <c r="M750" s="8"/>
      <c r="N750" s="797"/>
      <c r="O750" s="431"/>
      <c r="P750" s="797"/>
    </row>
    <row r="751" spans="1:16" s="17" customFormat="1" ht="33" customHeight="1">
      <c r="A751" s="793"/>
      <c r="B751" s="399">
        <v>46316</v>
      </c>
      <c r="C751" s="4" t="s">
        <v>138</v>
      </c>
      <c r="D751" s="4" t="s">
        <v>7322</v>
      </c>
      <c r="E751" s="857" t="s">
        <v>7323</v>
      </c>
      <c r="F751" s="857" t="s">
        <v>7324</v>
      </c>
      <c r="G751" s="16" t="s">
        <v>7311</v>
      </c>
      <c r="H751" s="863" t="s">
        <v>7325</v>
      </c>
      <c r="I751" s="857"/>
      <c r="J751" s="857" t="s">
        <v>7341</v>
      </c>
      <c r="K751" s="125" t="s">
        <v>7312</v>
      </c>
      <c r="L751" s="16" t="s">
        <v>7342</v>
      </c>
      <c r="M751" s="8"/>
      <c r="N751" s="799"/>
      <c r="O751" s="430"/>
      <c r="P751" s="797"/>
    </row>
    <row r="752" spans="1:16" s="17" customFormat="1" ht="33" customHeight="1">
      <c r="A752" s="793"/>
      <c r="B752" s="399">
        <v>46317</v>
      </c>
      <c r="C752" s="4" t="s">
        <v>138</v>
      </c>
      <c r="D752" s="4" t="s">
        <v>7322</v>
      </c>
      <c r="E752" s="857" t="s">
        <v>7323</v>
      </c>
      <c r="F752" s="857" t="s">
        <v>7324</v>
      </c>
      <c r="G752" s="16" t="s">
        <v>7311</v>
      </c>
      <c r="H752" s="863" t="s">
        <v>7325</v>
      </c>
      <c r="I752" s="857"/>
      <c r="J752" s="857" t="s">
        <v>7341</v>
      </c>
      <c r="K752" s="125" t="s">
        <v>7312</v>
      </c>
      <c r="L752" s="16" t="s">
        <v>7342</v>
      </c>
      <c r="M752" s="8"/>
      <c r="N752" s="799"/>
      <c r="O752" s="430"/>
      <c r="P752" s="797"/>
    </row>
    <row r="753" spans="1:16" s="17" customFormat="1" ht="33" customHeight="1">
      <c r="A753" s="793"/>
      <c r="B753" s="399">
        <v>46318</v>
      </c>
      <c r="C753" s="4"/>
      <c r="D753" s="4"/>
      <c r="E753" s="797"/>
      <c r="F753" s="797"/>
      <c r="G753" s="16"/>
      <c r="H753" s="800"/>
      <c r="I753" s="797"/>
      <c r="J753" s="800"/>
      <c r="K753" s="125"/>
      <c r="L753" s="16"/>
      <c r="M753" s="8"/>
      <c r="N753" s="799"/>
      <c r="O753" s="430"/>
      <c r="P753" s="797"/>
    </row>
    <row r="754" spans="1:16" s="17" customFormat="1" ht="33" customHeight="1">
      <c r="A754" s="794"/>
      <c r="B754" s="369">
        <v>46319</v>
      </c>
      <c r="C754" s="4"/>
      <c r="D754" s="4"/>
      <c r="E754" s="291"/>
      <c r="F754" s="797"/>
      <c r="G754" s="16"/>
      <c r="H754" s="800"/>
      <c r="I754" s="797"/>
      <c r="J754" s="797"/>
      <c r="K754" s="125"/>
      <c r="L754" s="16"/>
      <c r="M754" s="8"/>
      <c r="N754" s="797"/>
      <c r="O754" s="432"/>
      <c r="P754" s="797"/>
    </row>
    <row r="755" spans="1:16" s="17" customFormat="1" ht="33" customHeight="1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>
      <c r="A756" s="854" t="s">
        <v>7343</v>
      </c>
      <c r="B756" s="399">
        <v>46321</v>
      </c>
      <c r="C756" s="4"/>
      <c r="D756" s="4"/>
      <c r="E756" s="857"/>
      <c r="F756" s="857"/>
      <c r="G756" s="16"/>
      <c r="H756" s="863"/>
      <c r="I756" s="857"/>
      <c r="J756" s="857"/>
      <c r="K756" s="125"/>
      <c r="L756" s="16"/>
      <c r="M756" s="8"/>
      <c r="N756" s="857"/>
      <c r="O756" s="431"/>
      <c r="P756" s="857"/>
    </row>
    <row r="757" spans="1:16" s="17" customFormat="1" ht="33" customHeight="1">
      <c r="A757" s="855"/>
      <c r="B757" s="399">
        <v>46322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57"/>
      <c r="O757" s="431"/>
      <c r="P757" s="857"/>
    </row>
    <row r="758" spans="1:16" s="17" customFormat="1" ht="33" customHeight="1">
      <c r="A758" s="855"/>
      <c r="B758" s="399">
        <v>46323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61"/>
      <c r="O758" s="430"/>
      <c r="P758" s="857"/>
    </row>
    <row r="759" spans="1:16" s="17" customFormat="1" ht="33" customHeight="1">
      <c r="A759" s="855"/>
      <c r="B759" s="399">
        <v>46324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5"/>
      <c r="B760" s="399">
        <v>46325</v>
      </c>
      <c r="C760" s="4"/>
      <c r="D760" s="4"/>
      <c r="E760" s="857"/>
      <c r="F760" s="857"/>
      <c r="G760" s="16"/>
      <c r="H760" s="863"/>
      <c r="I760" s="857"/>
      <c r="J760" s="863"/>
      <c r="K760" s="125"/>
      <c r="L760" s="16"/>
      <c r="M760" s="8"/>
      <c r="N760" s="861"/>
      <c r="O760" s="430"/>
      <c r="P760" s="857"/>
    </row>
    <row r="761" spans="1:16" s="17" customFormat="1" ht="33" customHeight="1">
      <c r="A761" s="856"/>
      <c r="B761" s="369">
        <v>46326</v>
      </c>
      <c r="C761" s="4"/>
      <c r="D761" s="4"/>
      <c r="E761" s="291"/>
      <c r="F761" s="857"/>
      <c r="G761" s="16"/>
      <c r="H761" s="863"/>
      <c r="I761" s="857"/>
      <c r="J761" s="857"/>
      <c r="K761" s="125"/>
      <c r="L761" s="16"/>
      <c r="M761" s="8"/>
      <c r="N761" s="857"/>
      <c r="O761" s="432"/>
      <c r="P761" s="857"/>
    </row>
    <row r="762" spans="1:16" s="17" customFormat="1" ht="33" customHeight="1">
      <c r="A762" s="322" t="s">
        <v>0</v>
      </c>
      <c r="B762" s="323" t="s">
        <v>1</v>
      </c>
      <c r="C762" s="322" t="s">
        <v>2</v>
      </c>
      <c r="D762" s="322" t="s">
        <v>3</v>
      </c>
      <c r="E762" s="322" t="s">
        <v>4</v>
      </c>
      <c r="F762" s="322" t="s">
        <v>5</v>
      </c>
      <c r="G762" s="322" t="s">
        <v>6</v>
      </c>
      <c r="H762" s="324" t="s">
        <v>7</v>
      </c>
      <c r="I762" s="322" t="s">
        <v>8</v>
      </c>
      <c r="J762" s="322" t="s">
        <v>9</v>
      </c>
      <c r="K762" s="325" t="s">
        <v>10</v>
      </c>
      <c r="L762" s="326" t="s">
        <v>11</v>
      </c>
      <c r="M762" s="322" t="s">
        <v>12</v>
      </c>
      <c r="N762" s="327" t="s">
        <v>13</v>
      </c>
      <c r="O762" s="427" t="s">
        <v>63</v>
      </c>
      <c r="P762" s="322" t="s">
        <v>123</v>
      </c>
    </row>
    <row r="763" spans="1:16" s="17" customFormat="1" ht="33" customHeight="1">
      <c r="A763" s="854" t="s">
        <v>7344</v>
      </c>
      <c r="B763" s="369">
        <v>46328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57"/>
      <c r="O763" s="431"/>
      <c r="P763" s="857"/>
    </row>
    <row r="764" spans="1:16" s="17" customFormat="1" ht="33" customHeight="1">
      <c r="A764" s="855"/>
      <c r="B764" s="369">
        <v>46329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69">
        <v>46330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61"/>
      <c r="O765" s="430"/>
      <c r="P765" s="857"/>
    </row>
    <row r="766" spans="1:16" s="17" customFormat="1" ht="33" customHeight="1">
      <c r="A766" s="855"/>
      <c r="B766" s="369">
        <v>46331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69">
        <v>46332</v>
      </c>
      <c r="C767" s="4"/>
      <c r="D767" s="4"/>
      <c r="E767" s="857"/>
      <c r="F767" s="857"/>
      <c r="G767" s="16"/>
      <c r="H767" s="863"/>
      <c r="I767" s="857"/>
      <c r="J767" s="863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6"/>
      <c r="B768" s="369">
        <v>46333</v>
      </c>
      <c r="C768" s="4"/>
      <c r="D768" s="4"/>
      <c r="E768" s="291"/>
      <c r="F768" s="857"/>
      <c r="G768" s="16"/>
      <c r="H768" s="863"/>
      <c r="I768" s="857"/>
      <c r="J768" s="857"/>
      <c r="K768" s="125"/>
      <c r="L768" s="16"/>
      <c r="M768" s="8"/>
      <c r="N768" s="857"/>
      <c r="O768" s="432"/>
      <c r="P768" s="857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854" t="s">
        <v>7345</v>
      </c>
      <c r="B770" s="369">
        <v>46335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57"/>
      <c r="O770" s="431"/>
      <c r="P770" s="857"/>
    </row>
    <row r="771" spans="1:16" s="17" customFormat="1" ht="33" customHeight="1">
      <c r="A771" s="855"/>
      <c r="B771" s="369">
        <v>46336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46337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61"/>
      <c r="O772" s="430"/>
      <c r="P772" s="857"/>
    </row>
    <row r="773" spans="1:16" s="17" customFormat="1" ht="33" customHeight="1">
      <c r="A773" s="855"/>
      <c r="B773" s="369">
        <v>46338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46339</v>
      </c>
      <c r="C774" s="4"/>
      <c r="D774" s="4"/>
      <c r="E774" s="857"/>
      <c r="F774" s="857"/>
      <c r="G774" s="16"/>
      <c r="H774" s="863"/>
      <c r="I774" s="857"/>
      <c r="J774" s="863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6"/>
      <c r="B775" s="369">
        <v>46340</v>
      </c>
      <c r="C775" s="4"/>
      <c r="D775" s="4"/>
      <c r="E775" s="291"/>
      <c r="F775" s="857"/>
      <c r="G775" s="16"/>
      <c r="H775" s="863"/>
      <c r="I775" s="857"/>
      <c r="J775" s="857"/>
      <c r="K775" s="125"/>
      <c r="L775" s="16"/>
      <c r="M775" s="8"/>
      <c r="N775" s="857"/>
      <c r="O775" s="432"/>
      <c r="P775" s="857"/>
    </row>
    <row r="776" spans="1:16" s="17" customFormat="1" ht="33" customHeight="1">
      <c r="A776" s="322" t="s">
        <v>0</v>
      </c>
      <c r="B776" s="323" t="s">
        <v>1</v>
      </c>
      <c r="C776" s="322" t="s">
        <v>2</v>
      </c>
      <c r="D776" s="322" t="s">
        <v>3</v>
      </c>
      <c r="E776" s="322" t="s">
        <v>4</v>
      </c>
      <c r="F776" s="322" t="s">
        <v>5</v>
      </c>
      <c r="G776" s="322" t="s">
        <v>6</v>
      </c>
      <c r="H776" s="324" t="s">
        <v>7</v>
      </c>
      <c r="I776" s="322" t="s">
        <v>8</v>
      </c>
      <c r="J776" s="322" t="s">
        <v>9</v>
      </c>
      <c r="K776" s="325" t="s">
        <v>10</v>
      </c>
      <c r="L776" s="326" t="s">
        <v>11</v>
      </c>
      <c r="M776" s="322" t="s">
        <v>12</v>
      </c>
      <c r="N776" s="327" t="s">
        <v>13</v>
      </c>
      <c r="O776" s="427" t="s">
        <v>63</v>
      </c>
      <c r="P776" s="322" t="s">
        <v>123</v>
      </c>
    </row>
    <row r="777" spans="1:16" s="17" customFormat="1" ht="33" customHeight="1">
      <c r="A777" s="854" t="s">
        <v>7346</v>
      </c>
      <c r="B777" s="369">
        <v>46342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57"/>
      <c r="O777" s="431"/>
      <c r="P777" s="857"/>
    </row>
    <row r="778" spans="1:16" s="17" customFormat="1" ht="33" customHeight="1">
      <c r="A778" s="855"/>
      <c r="B778" s="369">
        <v>46343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46344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61"/>
      <c r="O779" s="430"/>
      <c r="P779" s="857"/>
    </row>
    <row r="780" spans="1:16" s="17" customFormat="1" ht="33" customHeight="1">
      <c r="A780" s="855"/>
      <c r="B780" s="369">
        <v>46345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46346</v>
      </c>
      <c r="C781" s="4"/>
      <c r="D781" s="4"/>
      <c r="E781" s="857"/>
      <c r="F781" s="857"/>
      <c r="G781" s="16"/>
      <c r="H781" s="863"/>
      <c r="I781" s="857"/>
      <c r="J781" s="863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6"/>
      <c r="B782" s="369">
        <v>46347</v>
      </c>
      <c r="C782" s="4"/>
      <c r="D782" s="4"/>
      <c r="E782" s="291"/>
      <c r="F782" s="857"/>
      <c r="G782" s="16"/>
      <c r="H782" s="863"/>
      <c r="I782" s="857"/>
      <c r="J782" s="857"/>
      <c r="K782" s="125"/>
      <c r="L782" s="16"/>
      <c r="M782" s="8"/>
      <c r="N782" s="857"/>
      <c r="O782" s="432"/>
      <c r="P782" s="857"/>
    </row>
    <row r="783" spans="1:16" s="17" customFormat="1" ht="33" customHeight="1">
      <c r="A783" s="322" t="s">
        <v>0</v>
      </c>
      <c r="B783" s="323" t="s">
        <v>1</v>
      </c>
      <c r="C783" s="322" t="s">
        <v>2</v>
      </c>
      <c r="D783" s="322" t="s">
        <v>3</v>
      </c>
      <c r="E783" s="322" t="s">
        <v>4</v>
      </c>
      <c r="F783" s="322" t="s">
        <v>5</v>
      </c>
      <c r="G783" s="322" t="s">
        <v>6</v>
      </c>
      <c r="H783" s="324" t="s">
        <v>7</v>
      </c>
      <c r="I783" s="322" t="s">
        <v>8</v>
      </c>
      <c r="J783" s="322" t="s">
        <v>9</v>
      </c>
      <c r="K783" s="325" t="s">
        <v>10</v>
      </c>
      <c r="L783" s="326" t="s">
        <v>11</v>
      </c>
      <c r="M783" s="322" t="s">
        <v>12</v>
      </c>
      <c r="N783" s="327" t="s">
        <v>13</v>
      </c>
      <c r="O783" s="427" t="s">
        <v>63</v>
      </c>
      <c r="P783" s="322" t="s">
        <v>123</v>
      </c>
    </row>
    <row r="784" spans="1:16" s="17" customFormat="1" ht="33" customHeight="1">
      <c r="A784" s="854" t="s">
        <v>7347</v>
      </c>
      <c r="B784" s="369">
        <v>46349</v>
      </c>
      <c r="C784" s="4" t="s">
        <v>138</v>
      </c>
      <c r="D784" s="4" t="s">
        <v>7322</v>
      </c>
      <c r="E784" s="857" t="s">
        <v>7323</v>
      </c>
      <c r="F784" s="857" t="s">
        <v>7324</v>
      </c>
      <c r="G784" s="16" t="s">
        <v>7311</v>
      </c>
      <c r="H784" s="863" t="s">
        <v>7353</v>
      </c>
      <c r="I784" s="857"/>
      <c r="J784" s="857" t="s">
        <v>7341</v>
      </c>
      <c r="K784" s="125" t="s">
        <v>7312</v>
      </c>
      <c r="L784" s="16" t="s">
        <v>7342</v>
      </c>
      <c r="M784" s="8"/>
      <c r="N784" s="857"/>
      <c r="O784" s="431"/>
      <c r="P784" s="857"/>
    </row>
    <row r="785" spans="1:16" s="17" customFormat="1" ht="33" customHeight="1">
      <c r="A785" s="855"/>
      <c r="B785" s="369">
        <v>46350</v>
      </c>
      <c r="C785" s="4" t="s">
        <v>138</v>
      </c>
      <c r="D785" s="4" t="s">
        <v>7322</v>
      </c>
      <c r="E785" s="857" t="s">
        <v>7323</v>
      </c>
      <c r="F785" s="857" t="s">
        <v>7324</v>
      </c>
      <c r="G785" s="16" t="s">
        <v>7311</v>
      </c>
      <c r="H785" s="863" t="s">
        <v>7353</v>
      </c>
      <c r="I785" s="857"/>
      <c r="J785" s="857" t="s">
        <v>7341</v>
      </c>
      <c r="K785" s="125" t="s">
        <v>7312</v>
      </c>
      <c r="L785" s="16" t="s">
        <v>7342</v>
      </c>
      <c r="M785" s="8"/>
      <c r="N785" s="857"/>
      <c r="O785" s="431"/>
      <c r="P785" s="857"/>
    </row>
    <row r="786" spans="1:16" s="17" customFormat="1" ht="33" customHeight="1">
      <c r="A786" s="855"/>
      <c r="B786" s="369">
        <v>46351</v>
      </c>
      <c r="C786" s="4" t="s">
        <v>138</v>
      </c>
      <c r="D786" s="4" t="s">
        <v>7322</v>
      </c>
      <c r="E786" s="857" t="s">
        <v>7323</v>
      </c>
      <c r="F786" s="857" t="s">
        <v>7324</v>
      </c>
      <c r="G786" s="16" t="s">
        <v>7311</v>
      </c>
      <c r="H786" s="863" t="s">
        <v>7353</v>
      </c>
      <c r="I786" s="857"/>
      <c r="J786" s="857" t="s">
        <v>7341</v>
      </c>
      <c r="K786" s="125" t="s">
        <v>7312</v>
      </c>
      <c r="L786" s="16" t="s">
        <v>7342</v>
      </c>
      <c r="M786" s="8"/>
      <c r="N786" s="861"/>
      <c r="O786" s="430"/>
      <c r="P786" s="857"/>
    </row>
    <row r="787" spans="1:16" s="17" customFormat="1" ht="33" customHeight="1">
      <c r="A787" s="855"/>
      <c r="B787" s="369">
        <v>46352</v>
      </c>
      <c r="C787" s="4" t="s">
        <v>138</v>
      </c>
      <c r="D787" s="4" t="s">
        <v>7322</v>
      </c>
      <c r="E787" s="857" t="s">
        <v>7323</v>
      </c>
      <c r="F787" s="857" t="s">
        <v>7324</v>
      </c>
      <c r="G787" s="16" t="s">
        <v>7311</v>
      </c>
      <c r="H787" s="863" t="s">
        <v>7353</v>
      </c>
      <c r="I787" s="857"/>
      <c r="J787" s="857" t="s">
        <v>7341</v>
      </c>
      <c r="K787" s="125" t="s">
        <v>7312</v>
      </c>
      <c r="L787" s="16" t="s">
        <v>7342</v>
      </c>
      <c r="M787" s="8"/>
      <c r="N787" s="861"/>
      <c r="O787" s="430"/>
      <c r="P787" s="857"/>
    </row>
    <row r="788" spans="1:16" s="17" customFormat="1" ht="33" customHeight="1">
      <c r="A788" s="855"/>
      <c r="B788" s="369">
        <v>46353</v>
      </c>
      <c r="C788" s="4"/>
      <c r="D788" s="4"/>
      <c r="E788" s="857"/>
      <c r="F788" s="857"/>
      <c r="G788" s="16"/>
      <c r="H788" s="863"/>
      <c r="I788" s="857"/>
      <c r="J788" s="863"/>
      <c r="K788" s="125"/>
      <c r="L788" s="16"/>
      <c r="M788" s="8"/>
      <c r="N788" s="861"/>
      <c r="O788" s="430"/>
      <c r="P788" s="857"/>
    </row>
    <row r="789" spans="1:16" s="17" customFormat="1" ht="33" customHeight="1">
      <c r="A789" s="856"/>
      <c r="B789" s="369">
        <v>46354</v>
      </c>
      <c r="C789" s="4"/>
      <c r="D789" s="4"/>
      <c r="E789" s="291"/>
      <c r="F789" s="857"/>
      <c r="G789" s="16"/>
      <c r="H789" s="863"/>
      <c r="I789" s="857"/>
      <c r="J789" s="857"/>
      <c r="K789" s="125"/>
      <c r="L789" s="16"/>
      <c r="M789" s="8"/>
      <c r="N789" s="857"/>
      <c r="O789" s="432"/>
      <c r="P789" s="857"/>
    </row>
    <row r="790" spans="1:16" s="17" customFormat="1" ht="33" customHeight="1">
      <c r="A790" s="322" t="s">
        <v>0</v>
      </c>
      <c r="B790" s="323" t="s">
        <v>1</v>
      </c>
      <c r="C790" s="322" t="s">
        <v>2</v>
      </c>
      <c r="D790" s="322" t="s">
        <v>3</v>
      </c>
      <c r="E790" s="322" t="s">
        <v>4</v>
      </c>
      <c r="F790" s="322" t="s">
        <v>5</v>
      </c>
      <c r="G790" s="322" t="s">
        <v>6</v>
      </c>
      <c r="H790" s="324" t="s">
        <v>7</v>
      </c>
      <c r="I790" s="322" t="s">
        <v>8</v>
      </c>
      <c r="J790" s="322" t="s">
        <v>9</v>
      </c>
      <c r="K790" s="325" t="s">
        <v>10</v>
      </c>
      <c r="L790" s="326" t="s">
        <v>11</v>
      </c>
      <c r="M790" s="322" t="s">
        <v>12</v>
      </c>
      <c r="N790" s="327" t="s">
        <v>13</v>
      </c>
      <c r="O790" s="427" t="s">
        <v>63</v>
      </c>
      <c r="P790" s="322" t="s">
        <v>123</v>
      </c>
    </row>
    <row r="791" spans="1:16" s="17" customFormat="1" ht="33" customHeight="1">
      <c r="A791" s="854" t="s">
        <v>7348</v>
      </c>
      <c r="B791" s="369">
        <v>46356</v>
      </c>
      <c r="C791" s="4"/>
      <c r="D791" s="4"/>
      <c r="E791" s="857"/>
      <c r="F791" s="857"/>
      <c r="G791" s="16"/>
      <c r="H791" s="863"/>
      <c r="I791" s="857"/>
      <c r="J791" s="857"/>
      <c r="K791" s="125"/>
      <c r="L791" s="16"/>
      <c r="M791" s="8"/>
      <c r="N791" s="857"/>
      <c r="O791" s="431"/>
      <c r="P791" s="857"/>
    </row>
    <row r="792" spans="1:16" s="17" customFormat="1" ht="33" customHeight="1">
      <c r="A792" s="855"/>
      <c r="B792" s="369">
        <v>46357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57"/>
      <c r="O792" s="431"/>
      <c r="P792" s="857"/>
    </row>
    <row r="793" spans="1:16" s="17" customFormat="1" ht="33" customHeight="1">
      <c r="A793" s="855"/>
      <c r="B793" s="369">
        <v>46358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61"/>
      <c r="O793" s="430"/>
      <c r="P793" s="857"/>
    </row>
    <row r="794" spans="1:16" s="17" customFormat="1" ht="33" customHeight="1">
      <c r="A794" s="855"/>
      <c r="B794" s="369">
        <v>46359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5"/>
      <c r="B795" s="369">
        <v>46360</v>
      </c>
      <c r="C795" s="4"/>
      <c r="D795" s="4"/>
      <c r="E795" s="857"/>
      <c r="F795" s="857"/>
      <c r="G795" s="16"/>
      <c r="H795" s="863"/>
      <c r="I795" s="857"/>
      <c r="J795" s="863"/>
      <c r="K795" s="125"/>
      <c r="L795" s="16"/>
      <c r="M795" s="8"/>
      <c r="N795" s="861"/>
      <c r="O795" s="430"/>
      <c r="P795" s="857"/>
    </row>
    <row r="796" spans="1:16" s="17" customFormat="1" ht="33" customHeight="1">
      <c r="A796" s="856"/>
      <c r="B796" s="369">
        <v>46361</v>
      </c>
      <c r="C796" s="4"/>
      <c r="D796" s="4"/>
      <c r="E796" s="291"/>
      <c r="F796" s="857"/>
      <c r="G796" s="16"/>
      <c r="H796" s="863"/>
      <c r="I796" s="857"/>
      <c r="J796" s="857"/>
      <c r="K796" s="125"/>
      <c r="L796" s="16"/>
      <c r="M796" s="8"/>
      <c r="N796" s="857"/>
      <c r="O796" s="432"/>
      <c r="P796" s="857"/>
    </row>
    <row r="797" spans="1:16" s="17" customFormat="1" ht="33" customHeight="1">
      <c r="A797" s="322" t="s">
        <v>0</v>
      </c>
      <c r="B797" s="323" t="s">
        <v>1</v>
      </c>
      <c r="C797" s="322" t="s">
        <v>2</v>
      </c>
      <c r="D797" s="322" t="s">
        <v>3</v>
      </c>
      <c r="E797" s="322" t="s">
        <v>4</v>
      </c>
      <c r="F797" s="322" t="s">
        <v>5</v>
      </c>
      <c r="G797" s="322" t="s">
        <v>6</v>
      </c>
      <c r="H797" s="324" t="s">
        <v>7</v>
      </c>
      <c r="I797" s="322" t="s">
        <v>8</v>
      </c>
      <c r="J797" s="322" t="s">
        <v>9</v>
      </c>
      <c r="K797" s="325" t="s">
        <v>10</v>
      </c>
      <c r="L797" s="326" t="s">
        <v>11</v>
      </c>
      <c r="M797" s="322" t="s">
        <v>12</v>
      </c>
      <c r="N797" s="327" t="s">
        <v>13</v>
      </c>
      <c r="O797" s="427" t="s">
        <v>63</v>
      </c>
      <c r="P797" s="322" t="s">
        <v>123</v>
      </c>
    </row>
    <row r="798" spans="1:16" s="17" customFormat="1" ht="33" customHeight="1">
      <c r="A798" s="854" t="s">
        <v>7349</v>
      </c>
      <c r="B798" s="369">
        <v>46363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57"/>
      <c r="O798" s="431"/>
      <c r="P798" s="857"/>
    </row>
    <row r="799" spans="1:16" s="17" customFormat="1" ht="33" customHeight="1">
      <c r="A799" s="855"/>
      <c r="B799" s="369">
        <v>46364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46365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61"/>
      <c r="O800" s="430"/>
      <c r="P800" s="857"/>
    </row>
    <row r="801" spans="1:16" s="17" customFormat="1" ht="33" customHeight="1">
      <c r="A801" s="855"/>
      <c r="B801" s="369">
        <v>46366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46367</v>
      </c>
      <c r="C802" s="4"/>
      <c r="D802" s="4"/>
      <c r="E802" s="857"/>
      <c r="F802" s="857"/>
      <c r="G802" s="16"/>
      <c r="H802" s="863"/>
      <c r="I802" s="857"/>
      <c r="J802" s="863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6"/>
      <c r="B803" s="369">
        <v>46368</v>
      </c>
      <c r="C803" s="4"/>
      <c r="D803" s="4"/>
      <c r="E803" s="291"/>
      <c r="F803" s="857"/>
      <c r="G803" s="16"/>
      <c r="H803" s="863"/>
      <c r="I803" s="857"/>
      <c r="J803" s="857"/>
      <c r="K803" s="125"/>
      <c r="L803" s="16"/>
      <c r="M803" s="8"/>
      <c r="N803" s="857"/>
      <c r="O803" s="432"/>
      <c r="P803" s="857"/>
    </row>
    <row r="804" spans="1:16" s="17" customFormat="1" ht="33" customHeight="1">
      <c r="A804" s="322" t="s">
        <v>0</v>
      </c>
      <c r="B804" s="323" t="s">
        <v>1</v>
      </c>
      <c r="C804" s="322" t="s">
        <v>2</v>
      </c>
      <c r="D804" s="322" t="s">
        <v>3</v>
      </c>
      <c r="E804" s="322" t="s">
        <v>4</v>
      </c>
      <c r="F804" s="322" t="s">
        <v>5</v>
      </c>
      <c r="G804" s="322" t="s">
        <v>6</v>
      </c>
      <c r="H804" s="324" t="s">
        <v>7</v>
      </c>
      <c r="I804" s="322" t="s">
        <v>8</v>
      </c>
      <c r="J804" s="322" t="s">
        <v>9</v>
      </c>
      <c r="K804" s="325" t="s">
        <v>10</v>
      </c>
      <c r="L804" s="326" t="s">
        <v>11</v>
      </c>
      <c r="M804" s="322" t="s">
        <v>12</v>
      </c>
      <c r="N804" s="327" t="s">
        <v>13</v>
      </c>
      <c r="O804" s="427" t="s">
        <v>63</v>
      </c>
      <c r="P804" s="322" t="s">
        <v>123</v>
      </c>
    </row>
    <row r="805" spans="1:16" s="17" customFormat="1" ht="33" customHeight="1">
      <c r="A805" s="854" t="s">
        <v>7350</v>
      </c>
      <c r="B805" s="369">
        <v>46370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57"/>
      <c r="O805" s="431"/>
      <c r="P805" s="857"/>
    </row>
    <row r="806" spans="1:16" s="17" customFormat="1" ht="33" customHeight="1">
      <c r="A806" s="855"/>
      <c r="B806" s="369">
        <v>46371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46372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61"/>
      <c r="O807" s="430"/>
      <c r="P807" s="857"/>
    </row>
    <row r="808" spans="1:16" s="17" customFormat="1" ht="33" customHeight="1">
      <c r="A808" s="855"/>
      <c r="B808" s="369">
        <v>46373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46374</v>
      </c>
      <c r="C809" s="4"/>
      <c r="D809" s="4"/>
      <c r="E809" s="857"/>
      <c r="F809" s="857"/>
      <c r="G809" s="16"/>
      <c r="H809" s="863"/>
      <c r="I809" s="857"/>
      <c r="J809" s="863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6"/>
      <c r="B810" s="369">
        <v>46375</v>
      </c>
      <c r="C810" s="4"/>
      <c r="D810" s="4"/>
      <c r="E810" s="291"/>
      <c r="F810" s="857"/>
      <c r="G810" s="16"/>
      <c r="H810" s="863"/>
      <c r="I810" s="857"/>
      <c r="J810" s="857"/>
      <c r="K810" s="125"/>
      <c r="L810" s="16"/>
      <c r="M810" s="8"/>
      <c r="N810" s="857"/>
      <c r="O810" s="432"/>
      <c r="P810" s="857"/>
    </row>
    <row r="811" spans="1:16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6" s="17" customFormat="1" ht="33" customHeight="1">
      <c r="A812" s="854" t="s">
        <v>7351</v>
      </c>
      <c r="B812" s="369">
        <v>46377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57"/>
      <c r="O812" s="431"/>
      <c r="P812" s="857"/>
    </row>
    <row r="813" spans="1:16" s="17" customFormat="1" ht="33" customHeight="1">
      <c r="A813" s="855"/>
      <c r="B813" s="369">
        <v>46378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46379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61"/>
      <c r="O814" s="430"/>
      <c r="P814" s="857"/>
    </row>
    <row r="815" spans="1:16" s="17" customFormat="1" ht="33" customHeight="1">
      <c r="A815" s="855"/>
      <c r="B815" s="369">
        <v>46380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46381</v>
      </c>
      <c r="C816" s="4"/>
      <c r="D816" s="4"/>
      <c r="E816" s="857"/>
      <c r="F816" s="857"/>
      <c r="G816" s="16"/>
      <c r="H816" s="863"/>
      <c r="I816" s="857"/>
      <c r="J816" s="863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6"/>
      <c r="B817" s="369">
        <v>46382</v>
      </c>
      <c r="C817" s="4"/>
      <c r="D817" s="4"/>
      <c r="E817" s="291"/>
      <c r="F817" s="857"/>
      <c r="G817" s="16"/>
      <c r="H817" s="863"/>
      <c r="I817" s="857"/>
      <c r="J817" s="857"/>
      <c r="K817" s="125"/>
      <c r="L817" s="16"/>
      <c r="M817" s="8"/>
      <c r="N817" s="857"/>
      <c r="O817" s="432"/>
      <c r="P817" s="857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54" t="s">
        <v>7352</v>
      </c>
      <c r="B819" s="369">
        <v>46384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57"/>
      <c r="O819" s="431"/>
      <c r="P819" s="857"/>
    </row>
    <row r="820" spans="1:16" s="17" customFormat="1" ht="33" customHeight="1">
      <c r="A820" s="855"/>
      <c r="B820" s="369">
        <v>46385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46386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61"/>
      <c r="O821" s="430"/>
      <c r="P821" s="857"/>
    </row>
    <row r="822" spans="1:16" s="17" customFormat="1" ht="33" customHeight="1">
      <c r="A822" s="855"/>
      <c r="B822" s="369">
        <v>46387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46388</v>
      </c>
      <c r="C823" s="4"/>
      <c r="D823" s="4"/>
      <c r="E823" s="857"/>
      <c r="F823" s="857"/>
      <c r="G823" s="16"/>
      <c r="H823" s="863"/>
      <c r="I823" s="857"/>
      <c r="J823" s="863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6"/>
      <c r="B824" s="369">
        <v>46389</v>
      </c>
      <c r="C824" s="4"/>
      <c r="D824" s="4"/>
      <c r="E824" s="291"/>
      <c r="F824" s="857"/>
      <c r="G824" s="16"/>
      <c r="H824" s="863"/>
      <c r="I824" s="857"/>
      <c r="J824" s="857"/>
      <c r="K824" s="125"/>
      <c r="L824" s="16"/>
      <c r="M824" s="8"/>
      <c r="N824" s="857"/>
      <c r="O824" s="432"/>
      <c r="P824" s="85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86"/>
  <sheetViews>
    <sheetView zoomScaleNormal="100" zoomScaleSheetLayoutView="115" workbookViewId="0">
      <pane ySplit="2" topLeftCell="A1675" activePane="bottomLeft" state="frozen"/>
      <selection pane="bottomLeft" activeCell="M1684" sqref="M1684:M16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3" t="s">
        <v>161</v>
      </c>
      <c r="B1" s="983" t="s">
        <v>162</v>
      </c>
      <c r="C1" s="981" t="s">
        <v>1</v>
      </c>
      <c r="D1" s="981" t="s">
        <v>2</v>
      </c>
      <c r="E1" s="981" t="s">
        <v>3</v>
      </c>
      <c r="F1" s="27" t="s">
        <v>54</v>
      </c>
      <c r="G1" s="981" t="s">
        <v>5</v>
      </c>
      <c r="H1" s="981" t="s">
        <v>6</v>
      </c>
      <c r="I1" s="981" t="s">
        <v>7</v>
      </c>
      <c r="J1" s="981" t="s">
        <v>55</v>
      </c>
      <c r="K1" s="985" t="s">
        <v>483</v>
      </c>
      <c r="L1" s="987" t="s">
        <v>56</v>
      </c>
      <c r="M1" s="979" t="s">
        <v>57</v>
      </c>
      <c r="N1" s="981" t="s">
        <v>58</v>
      </c>
    </row>
    <row r="2" spans="1:14">
      <c r="A2" s="984"/>
      <c r="B2" s="984"/>
      <c r="C2" s="982"/>
      <c r="D2" s="982"/>
      <c r="E2" s="982"/>
      <c r="F2" s="28" t="s">
        <v>59</v>
      </c>
      <c r="G2" s="982"/>
      <c r="H2" s="982"/>
      <c r="I2" s="982"/>
      <c r="J2" s="982"/>
      <c r="K2" s="986"/>
      <c r="L2" s="988"/>
      <c r="M2" s="980"/>
      <c r="N2" s="982"/>
    </row>
    <row r="3" spans="1:14" ht="27">
      <c r="A3" s="55">
        <v>1</v>
      </c>
      <c r="B3" s="94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5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6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6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58"/>
      <c r="C9" s="9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58"/>
      <c r="C10" s="9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5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58"/>
      <c r="C12" s="9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58"/>
      <c r="C13" s="9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58"/>
      <c r="C14" s="9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58"/>
      <c r="C15" s="9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58"/>
      <c r="C16" s="9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6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6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6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4"/>
    </row>
    <row r="24" spans="1:17" ht="27">
      <c r="A24" s="55">
        <v>4</v>
      </c>
      <c r="B24" s="942" t="s">
        <v>21</v>
      </c>
      <c r="C24" s="94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48" t="s">
        <v>85</v>
      </c>
      <c r="K24" s="965" t="s">
        <v>41</v>
      </c>
      <c r="L24" s="6" t="s">
        <v>15</v>
      </c>
      <c r="M24" s="970">
        <v>180000</v>
      </c>
      <c r="N24" s="45" t="s">
        <v>194</v>
      </c>
    </row>
    <row r="25" spans="1:17" ht="27">
      <c r="A25" s="55">
        <v>4</v>
      </c>
      <c r="B25" s="958"/>
      <c r="C25" s="94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49"/>
      <c r="K25" s="966"/>
      <c r="L25" s="6" t="s">
        <v>15</v>
      </c>
      <c r="M25" s="971"/>
      <c r="N25" s="45" t="s">
        <v>194</v>
      </c>
    </row>
    <row r="26" spans="1:17">
      <c r="A26" s="55">
        <v>4</v>
      </c>
      <c r="B26" s="958"/>
      <c r="C26" s="94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3"/>
      <c r="C27" s="94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5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58"/>
      <c r="C32" s="94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58"/>
      <c r="C33" s="94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2" t="s">
        <v>20</v>
      </c>
      <c r="C35" s="94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3"/>
      <c r="C36" s="94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2" t="s">
        <v>20</v>
      </c>
      <c r="C37" s="94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3"/>
      <c r="C38" s="94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7"/>
      <c r="C40" s="94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7"/>
      <c r="C41" s="94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8"/>
      <c r="C45" s="96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8"/>
      <c r="C46" s="97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5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2" t="s">
        <v>64</v>
      </c>
      <c r="C67" s="94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5" t="s">
        <v>435</v>
      </c>
      <c r="L67" s="6" t="s">
        <v>436</v>
      </c>
      <c r="M67" s="970">
        <v>750000</v>
      </c>
      <c r="N67" s="45" t="s">
        <v>446</v>
      </c>
    </row>
    <row r="68" spans="1:15" ht="27">
      <c r="A68" s="55">
        <v>19</v>
      </c>
      <c r="B68" s="958"/>
      <c r="C68" s="96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6"/>
      <c r="L68" s="6" t="s">
        <v>411</v>
      </c>
      <c r="M68" s="971"/>
      <c r="N68" s="45" t="s">
        <v>445</v>
      </c>
    </row>
    <row r="69" spans="1:15">
      <c r="A69" s="55">
        <v>19</v>
      </c>
      <c r="B69" s="958"/>
      <c r="C69" s="94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5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5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5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5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5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58"/>
      <c r="C83" s="94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58"/>
      <c r="C84" s="94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58"/>
      <c r="C85" s="94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58"/>
      <c r="C86" s="94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5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5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58"/>
      <c r="C93" s="94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58"/>
      <c r="C94" s="96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58"/>
      <c r="C95" s="94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5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2" t="s">
        <v>21</v>
      </c>
      <c r="C99" s="94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58"/>
      <c r="C100" s="94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5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5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5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5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59" t="s">
        <v>658</v>
      </c>
      <c r="C110" s="9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0"/>
      <c r="C115" s="9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48" t="s">
        <v>168</v>
      </c>
      <c r="K117" s="965" t="s">
        <v>645</v>
      </c>
      <c r="L117" s="57" t="s">
        <v>209</v>
      </c>
      <c r="M117" s="994">
        <f>250000*5</f>
        <v>1250000</v>
      </c>
      <c r="N117" s="942" t="s">
        <v>121</v>
      </c>
    </row>
    <row r="118" spans="1:14">
      <c r="A118" s="101">
        <v>28</v>
      </c>
      <c r="B118" s="958"/>
      <c r="C118" s="96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95"/>
      <c r="N118" s="958"/>
    </row>
    <row r="119" spans="1:14">
      <c r="A119" s="101">
        <v>28</v>
      </c>
      <c r="B119" s="958"/>
      <c r="C119" s="96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49"/>
      <c r="K119" s="966"/>
      <c r="L119" s="57" t="s">
        <v>209</v>
      </c>
      <c r="M119" s="996"/>
      <c r="N119" s="943"/>
    </row>
    <row r="120" spans="1:14">
      <c r="A120" s="101">
        <v>28</v>
      </c>
      <c r="B120" s="943"/>
      <c r="C120" s="94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59" t="s">
        <v>307</v>
      </c>
      <c r="C122" s="9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0"/>
      <c r="C123" s="96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59" t="s">
        <v>664</v>
      </c>
      <c r="K123" s="967" t="s">
        <v>707</v>
      </c>
      <c r="L123" s="110" t="s">
        <v>324</v>
      </c>
      <c r="M123" s="997" t="s">
        <v>708</v>
      </c>
      <c r="N123" s="110"/>
    </row>
    <row r="124" spans="1:14">
      <c r="A124" s="55">
        <v>29</v>
      </c>
      <c r="B124" s="960"/>
      <c r="C124" s="96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0"/>
      <c r="K124" s="968"/>
      <c r="L124" s="110" t="s">
        <v>324</v>
      </c>
      <c r="M124" s="998"/>
      <c r="N124" s="110"/>
    </row>
    <row r="125" spans="1:14">
      <c r="A125" s="55">
        <v>29</v>
      </c>
      <c r="B125" s="960"/>
      <c r="C125" s="96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69"/>
      <c r="L125" s="110" t="s">
        <v>324</v>
      </c>
      <c r="M125" s="999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0"/>
      <c r="C130" s="9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0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0"/>
      <c r="C132" s="9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0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2" t="s">
        <v>618</v>
      </c>
      <c r="C135" s="94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58"/>
      <c r="C136" s="96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58"/>
      <c r="C137" s="96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3"/>
      <c r="C138" s="94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58"/>
      <c r="C140" s="94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58"/>
      <c r="C141" s="94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2" t="s">
        <v>735</v>
      </c>
    </row>
    <row r="142" spans="1:14">
      <c r="A142" s="55">
        <v>30</v>
      </c>
      <c r="B142" s="94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2" t="s">
        <v>20</v>
      </c>
      <c r="C146" s="940" t="s">
        <v>869</v>
      </c>
      <c r="D146" s="965" t="s">
        <v>19</v>
      </c>
      <c r="E146" s="10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3"/>
      <c r="C147" s="941"/>
      <c r="D147" s="966"/>
      <c r="E147" s="10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2" t="s">
        <v>123</v>
      </c>
      <c r="C148" s="940" t="s">
        <v>782</v>
      </c>
      <c r="D148" s="965" t="s">
        <v>19</v>
      </c>
      <c r="E148" s="10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3"/>
      <c r="C149" s="941"/>
      <c r="D149" s="966"/>
      <c r="E149" s="10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5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2" t="s">
        <v>247</v>
      </c>
    </row>
    <row r="154" spans="1:14" ht="27">
      <c r="A154" s="55">
        <v>34</v>
      </c>
      <c r="B154" s="958"/>
      <c r="C154" s="94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58"/>
    </row>
    <row r="155" spans="1:14" ht="27">
      <c r="A155" s="55">
        <v>34</v>
      </c>
      <c r="B155" s="958"/>
      <c r="C155" s="94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3"/>
    </row>
    <row r="156" spans="1:14" ht="27">
      <c r="A156" s="55">
        <v>34</v>
      </c>
      <c r="B156" s="958"/>
      <c r="C156" s="94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2" t="s">
        <v>825</v>
      </c>
    </row>
    <row r="157" spans="1:14" ht="27">
      <c r="A157" s="55">
        <v>34</v>
      </c>
      <c r="B157" s="958"/>
      <c r="C157" s="94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58"/>
    </row>
    <row r="158" spans="1:14" ht="27">
      <c r="A158" s="55">
        <v>34</v>
      </c>
      <c r="B158" s="958"/>
      <c r="C158" s="94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58"/>
    </row>
    <row r="159" spans="1:14" ht="27">
      <c r="A159" s="55">
        <v>34</v>
      </c>
      <c r="B159" s="958"/>
      <c r="C159" s="94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58"/>
    </row>
    <row r="160" spans="1:14" ht="27">
      <c r="A160" s="55">
        <v>34</v>
      </c>
      <c r="B160" s="95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58"/>
    </row>
    <row r="161" spans="1:15" ht="27">
      <c r="A161" s="55">
        <v>34</v>
      </c>
      <c r="B161" s="95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3"/>
    </row>
    <row r="162" spans="1:15" ht="27">
      <c r="A162" s="55">
        <v>34</v>
      </c>
      <c r="B162" s="94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5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5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8" t="s">
        <v>849</v>
      </c>
      <c r="C167" s="90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9"/>
      <c r="C168" s="90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9"/>
      <c r="C169" s="90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20"/>
      <c r="C170" s="90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2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9"/>
      <c r="C178" s="90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20"/>
      <c r="C179" s="90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9"/>
      <c r="C181" s="94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48" t="s">
        <v>838</v>
      </c>
      <c r="K181" s="965" t="s">
        <v>985</v>
      </c>
      <c r="L181" s="6" t="s">
        <v>910</v>
      </c>
      <c r="M181" s="994">
        <f>180000+200000+200000</f>
        <v>580000</v>
      </c>
      <c r="N181" s="45" t="s">
        <v>806</v>
      </c>
    </row>
    <row r="182" spans="1:14">
      <c r="A182" s="55">
        <v>36</v>
      </c>
      <c r="B182" s="919"/>
      <c r="C182" s="96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49"/>
      <c r="K182" s="966"/>
      <c r="L182" s="6" t="s">
        <v>911</v>
      </c>
      <c r="M182" s="996"/>
      <c r="N182" s="45" t="s">
        <v>806</v>
      </c>
    </row>
    <row r="183" spans="1:14">
      <c r="A183" s="55">
        <v>36</v>
      </c>
      <c r="B183" s="919"/>
      <c r="C183" s="94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2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9"/>
      <c r="C187" s="90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20"/>
      <c r="C188" s="90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2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8" t="s">
        <v>939</v>
      </c>
      <c r="C192" s="90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9"/>
      <c r="C193" s="90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2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9"/>
      <c r="C196" s="94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9"/>
      <c r="C197" s="94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9"/>
      <c r="C198" s="94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20"/>
      <c r="C199" s="94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8" t="s">
        <v>20</v>
      </c>
      <c r="C200" s="90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9"/>
      <c r="C201" s="90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9"/>
      <c r="C202" s="90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20"/>
      <c r="C203" s="90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2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8" t="s">
        <v>20</v>
      </c>
      <c r="C207" s="90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9"/>
      <c r="C208" s="90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2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2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2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2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8" t="s">
        <v>20</v>
      </c>
      <c r="C218" s="90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9"/>
      <c r="C219" s="90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2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2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2" t="s">
        <v>247</v>
      </c>
    </row>
    <row r="226" spans="1:14">
      <c r="A226" s="55">
        <v>44</v>
      </c>
      <c r="B226" s="91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58"/>
    </row>
    <row r="227" spans="1:14">
      <c r="A227" s="55">
        <v>44</v>
      </c>
      <c r="B227" s="92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3"/>
    </row>
    <row r="228" spans="1:14">
      <c r="A228" s="55">
        <v>44</v>
      </c>
      <c r="B228" s="91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2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2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2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2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2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2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2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9"/>
      <c r="C249" s="90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2" t="s">
        <v>247</v>
      </c>
    </row>
    <row r="250" spans="1:14">
      <c r="A250" s="55">
        <v>48</v>
      </c>
      <c r="B250" s="920"/>
      <c r="C250" s="90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3"/>
    </row>
    <row r="251" spans="1:14">
      <c r="A251" s="55">
        <v>48</v>
      </c>
      <c r="B251" s="91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2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9"/>
      <c r="C256" s="90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2" t="s">
        <v>247</v>
      </c>
    </row>
    <row r="257" spans="1:14">
      <c r="A257" s="55">
        <v>49</v>
      </c>
      <c r="B257" s="920"/>
      <c r="C257" s="90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3"/>
    </row>
    <row r="258" spans="1:14" ht="40.5">
      <c r="A258" s="55">
        <v>49</v>
      </c>
      <c r="B258" s="91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2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9" t="s">
        <v>1103</v>
      </c>
    </row>
    <row r="262" spans="1:14" ht="25.5">
      <c r="A262" s="132">
        <v>49</v>
      </c>
      <c r="B262" s="9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0"/>
    </row>
    <row r="263" spans="1:14" ht="16.5" customHeight="1">
      <c r="A263" s="55">
        <v>50</v>
      </c>
      <c r="B263" s="918" t="s">
        <v>20</v>
      </c>
      <c r="C263" s="90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9"/>
      <c r="C264" s="90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9"/>
      <c r="C265" s="90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9"/>
      <c r="C266" s="90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20"/>
      <c r="C267" s="90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1" t="s">
        <v>658</v>
      </c>
      <c r="C268" s="92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32"/>
      <c r="C269" s="95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33"/>
      <c r="C270" s="93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8" t="s">
        <v>20</v>
      </c>
      <c r="C271" s="90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9"/>
      <c r="C272" s="90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9"/>
      <c r="C273" s="90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9"/>
      <c r="C275" s="90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9"/>
      <c r="C276" s="90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2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52" t="s">
        <v>1196</v>
      </c>
      <c r="B278" s="953"/>
      <c r="C278" s="953"/>
      <c r="D278" s="953"/>
      <c r="E278" s="953"/>
      <c r="F278" s="953"/>
      <c r="G278" s="953"/>
      <c r="H278" s="953"/>
      <c r="I278" s="953"/>
      <c r="J278" s="953"/>
      <c r="K278" s="953"/>
      <c r="L278" s="953"/>
      <c r="M278" s="953"/>
      <c r="N278" s="954"/>
    </row>
    <row r="279" spans="1:15" ht="16.5" customHeight="1">
      <c r="A279" s="55">
        <v>1</v>
      </c>
      <c r="B279" s="918" t="s">
        <v>20</v>
      </c>
      <c r="C279" s="90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20"/>
      <c r="C280" s="90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8" t="s">
        <v>64</v>
      </c>
      <c r="C281" s="90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9"/>
      <c r="C282" s="90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9"/>
      <c r="C283" s="90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48" t="s">
        <v>1174</v>
      </c>
      <c r="K283" s="95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9"/>
      <c r="C284" s="90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49"/>
      <c r="K284" s="95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2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55" t="s">
        <v>123</v>
      </c>
      <c r="C287" s="92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56"/>
      <c r="C288" s="93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31" t="s">
        <v>64</v>
      </c>
      <c r="C289" s="92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2"/>
      <c r="C290" s="94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32"/>
      <c r="C291" s="94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9" t="s">
        <v>638</v>
      </c>
      <c r="K291" s="944" t="s">
        <v>671</v>
      </c>
      <c r="L291" s="148" t="s">
        <v>309</v>
      </c>
      <c r="M291" s="938" t="s">
        <v>672</v>
      </c>
      <c r="N291" s="148" t="s">
        <v>723</v>
      </c>
    </row>
    <row r="292" spans="1:15">
      <c r="A292" s="55">
        <v>2</v>
      </c>
      <c r="B292" s="932"/>
      <c r="C292" s="94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0"/>
      <c r="K292" s="945"/>
      <c r="L292" s="148" t="s">
        <v>309</v>
      </c>
      <c r="M292" s="939"/>
      <c r="N292" s="148" t="s">
        <v>723</v>
      </c>
    </row>
    <row r="293" spans="1:15">
      <c r="A293" s="55">
        <v>2</v>
      </c>
      <c r="B293" s="932"/>
      <c r="C293" s="94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32"/>
      <c r="C294" s="93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8" t="s">
        <v>20</v>
      </c>
      <c r="C296" s="90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9"/>
      <c r="C297" s="90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20"/>
      <c r="C298" s="90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2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8" t="s">
        <v>20</v>
      </c>
      <c r="C302" s="90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9"/>
      <c r="C303" s="90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9"/>
      <c r="C304" s="90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9"/>
      <c r="C305" s="90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20"/>
      <c r="C306" s="90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8" t="s">
        <v>20</v>
      </c>
      <c r="C308" s="90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20"/>
      <c r="C309" s="90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2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1" t="s">
        <v>307</v>
      </c>
      <c r="C313" s="92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33"/>
      <c r="C314" s="93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8" t="s">
        <v>20</v>
      </c>
      <c r="C316" s="90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9"/>
      <c r="C317" s="90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20"/>
      <c r="C318" s="90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2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8" t="s">
        <v>20</v>
      </c>
      <c r="C322" s="90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20"/>
      <c r="C323" s="90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2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8" t="s">
        <v>20</v>
      </c>
      <c r="C329" s="90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9"/>
      <c r="C330" s="90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20"/>
      <c r="C331" s="90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2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8" t="s">
        <v>20</v>
      </c>
      <c r="C334" s="90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9"/>
      <c r="C335" s="90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9"/>
      <c r="C336" s="90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20"/>
      <c r="C337" s="90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2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8" t="s">
        <v>20</v>
      </c>
      <c r="C342" s="90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9"/>
      <c r="C343" s="90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2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9"/>
      <c r="C349" s="94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20"/>
      <c r="C350" s="94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2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2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2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2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1" t="s">
        <v>307</v>
      </c>
      <c r="C375" s="128" t="s">
        <v>1531</v>
      </c>
      <c r="D375" s="929" t="s">
        <v>306</v>
      </c>
      <c r="E375" s="929" t="s">
        <v>322</v>
      </c>
      <c r="F375" s="929" t="s">
        <v>307</v>
      </c>
      <c r="G375" s="934">
        <v>4266</v>
      </c>
      <c r="H375" s="929" t="s">
        <v>640</v>
      </c>
      <c r="I375" s="934" t="s">
        <v>1533</v>
      </c>
      <c r="J375" s="929" t="s">
        <v>1534</v>
      </c>
      <c r="K375" s="936" t="s">
        <v>692</v>
      </c>
      <c r="L375" s="929" t="s">
        <v>324</v>
      </c>
      <c r="M375" s="938" t="s">
        <v>1535</v>
      </c>
      <c r="N375" s="929" t="s">
        <v>425</v>
      </c>
    </row>
    <row r="376" spans="1:19">
      <c r="A376" s="199" t="s">
        <v>1539</v>
      </c>
      <c r="B376" s="932"/>
      <c r="C376" s="129" t="s">
        <v>1532</v>
      </c>
      <c r="D376" s="930"/>
      <c r="E376" s="930"/>
      <c r="F376" s="930"/>
      <c r="G376" s="935"/>
      <c r="H376" s="930"/>
      <c r="I376" s="935"/>
      <c r="J376" s="930"/>
      <c r="K376" s="937"/>
      <c r="L376" s="930"/>
      <c r="M376" s="939"/>
      <c r="N376" s="930"/>
    </row>
    <row r="377" spans="1:19">
      <c r="A377" s="199" t="s">
        <v>1539</v>
      </c>
      <c r="B377" s="932"/>
      <c r="C377" s="128" t="s">
        <v>1536</v>
      </c>
      <c r="D377" s="929" t="s">
        <v>306</v>
      </c>
      <c r="E377" s="929" t="s">
        <v>322</v>
      </c>
      <c r="F377" s="929" t="s">
        <v>307</v>
      </c>
      <c r="G377" s="934">
        <v>3306</v>
      </c>
      <c r="H377" s="929" t="s">
        <v>1153</v>
      </c>
      <c r="I377" s="934" t="s">
        <v>1538</v>
      </c>
      <c r="J377" s="929" t="s">
        <v>1534</v>
      </c>
      <c r="K377" s="936" t="s">
        <v>692</v>
      </c>
      <c r="L377" s="929" t="s">
        <v>324</v>
      </c>
      <c r="M377" s="938" t="s">
        <v>1535</v>
      </c>
      <c r="N377" s="929" t="s">
        <v>425</v>
      </c>
    </row>
    <row r="378" spans="1:19">
      <c r="A378" s="199" t="s">
        <v>1539</v>
      </c>
      <c r="B378" s="933"/>
      <c r="C378" s="129" t="s">
        <v>1537</v>
      </c>
      <c r="D378" s="930"/>
      <c r="E378" s="930"/>
      <c r="F378" s="930"/>
      <c r="G378" s="935"/>
      <c r="H378" s="930"/>
      <c r="I378" s="935"/>
      <c r="J378" s="930"/>
      <c r="K378" s="937"/>
      <c r="L378" s="930"/>
      <c r="M378" s="939"/>
      <c r="N378" s="930"/>
    </row>
    <row r="379" spans="1:19" ht="27" customHeight="1">
      <c r="A379" s="123">
        <v>15</v>
      </c>
      <c r="B379" s="91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2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2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2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2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2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2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4" t="s">
        <v>1782</v>
      </c>
      <c r="C403" s="226" t="s">
        <v>1748</v>
      </c>
      <c r="D403" s="923" t="s">
        <v>306</v>
      </c>
      <c r="E403" s="923" t="s">
        <v>322</v>
      </c>
      <c r="F403" s="923" t="s">
        <v>307</v>
      </c>
      <c r="G403" s="925">
        <v>3306</v>
      </c>
      <c r="H403" s="923" t="s">
        <v>1153</v>
      </c>
      <c r="I403" s="925" t="s">
        <v>1749</v>
      </c>
      <c r="J403" s="923" t="s">
        <v>664</v>
      </c>
      <c r="K403" s="927" t="s">
        <v>1288</v>
      </c>
      <c r="L403" s="923" t="s">
        <v>324</v>
      </c>
      <c r="M403" s="921" t="s">
        <v>1750</v>
      </c>
      <c r="N403" s="923" t="s">
        <v>665</v>
      </c>
    </row>
    <row r="404" spans="1:14">
      <c r="A404" s="123">
        <v>18</v>
      </c>
      <c r="B404" s="905"/>
      <c r="C404" s="226" t="s">
        <v>1751</v>
      </c>
      <c r="D404" s="924"/>
      <c r="E404" s="924"/>
      <c r="F404" s="924"/>
      <c r="G404" s="926"/>
      <c r="H404" s="924"/>
      <c r="I404" s="926"/>
      <c r="J404" s="924"/>
      <c r="K404" s="928"/>
      <c r="L404" s="924"/>
      <c r="M404" s="922"/>
      <c r="N404" s="924"/>
    </row>
    <row r="405" spans="1:14" ht="22.5">
      <c r="A405" s="123">
        <v>18</v>
      </c>
      <c r="B405" s="9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5"/>
      <c r="C406" s="226" t="s">
        <v>1755</v>
      </c>
      <c r="D406" s="923" t="s">
        <v>306</v>
      </c>
      <c r="E406" s="923" t="s">
        <v>322</v>
      </c>
      <c r="F406" s="923" t="s">
        <v>307</v>
      </c>
      <c r="G406" s="925" t="s">
        <v>1756</v>
      </c>
      <c r="H406" s="923" t="s">
        <v>347</v>
      </c>
      <c r="I406" s="925" t="s">
        <v>1154</v>
      </c>
      <c r="J406" s="923" t="s">
        <v>664</v>
      </c>
      <c r="K406" s="923" t="s">
        <v>1757</v>
      </c>
      <c r="L406" s="923" t="s">
        <v>324</v>
      </c>
      <c r="M406" s="921" t="s">
        <v>1758</v>
      </c>
      <c r="N406" s="923" t="s">
        <v>665</v>
      </c>
    </row>
    <row r="407" spans="1:14">
      <c r="A407" s="123">
        <v>18</v>
      </c>
      <c r="B407" s="905"/>
      <c r="C407" s="226" t="s">
        <v>1759</v>
      </c>
      <c r="D407" s="924"/>
      <c r="E407" s="924"/>
      <c r="F407" s="924"/>
      <c r="G407" s="926"/>
      <c r="H407" s="924"/>
      <c r="I407" s="926"/>
      <c r="J407" s="924"/>
      <c r="K407" s="924"/>
      <c r="L407" s="924"/>
      <c r="M407" s="922"/>
      <c r="N407" s="924"/>
    </row>
    <row r="408" spans="1:14" ht="16.5" customHeight="1">
      <c r="A408" s="123">
        <v>18</v>
      </c>
      <c r="B408" s="905"/>
      <c r="C408" s="228" t="s">
        <v>1760</v>
      </c>
      <c r="D408" s="923" t="s">
        <v>306</v>
      </c>
      <c r="E408" s="923" t="s">
        <v>322</v>
      </c>
      <c r="F408" s="923" t="s">
        <v>307</v>
      </c>
      <c r="G408" s="925" t="s">
        <v>1761</v>
      </c>
      <c r="H408" s="923" t="s">
        <v>329</v>
      </c>
      <c r="I408" s="925" t="s">
        <v>1762</v>
      </c>
      <c r="J408" s="923" t="s">
        <v>664</v>
      </c>
      <c r="K408" s="923" t="s">
        <v>1763</v>
      </c>
      <c r="L408" s="923" t="s">
        <v>324</v>
      </c>
      <c r="M408" s="921" t="s">
        <v>1764</v>
      </c>
      <c r="N408" s="923" t="s">
        <v>1765</v>
      </c>
    </row>
    <row r="409" spans="1:14">
      <c r="A409" s="123">
        <v>18</v>
      </c>
      <c r="B409" s="906"/>
      <c r="C409" s="226" t="s">
        <v>1766</v>
      </c>
      <c r="D409" s="924"/>
      <c r="E409" s="924"/>
      <c r="F409" s="924"/>
      <c r="G409" s="926"/>
      <c r="H409" s="924"/>
      <c r="I409" s="926"/>
      <c r="J409" s="924"/>
      <c r="K409" s="924"/>
      <c r="L409" s="924"/>
      <c r="M409" s="922"/>
      <c r="N409" s="924"/>
    </row>
    <row r="410" spans="1:14" ht="16.5" customHeight="1">
      <c r="A410" s="123">
        <v>18</v>
      </c>
      <c r="B410" s="904" t="s">
        <v>253</v>
      </c>
      <c r="C410" s="1005" t="s">
        <v>1767</v>
      </c>
      <c r="D410" s="923" t="s">
        <v>311</v>
      </c>
      <c r="E410" s="923" t="s">
        <v>320</v>
      </c>
      <c r="F410" s="923" t="s">
        <v>709</v>
      </c>
      <c r="G410" s="923" t="s">
        <v>1768</v>
      </c>
      <c r="H410" s="1005" t="s">
        <v>1769</v>
      </c>
      <c r="I410" s="227" t="s">
        <v>1770</v>
      </c>
      <c r="J410" s="923"/>
      <c r="K410" s="1007" t="s">
        <v>1771</v>
      </c>
      <c r="L410" s="923" t="s">
        <v>309</v>
      </c>
      <c r="M410" s="921" t="s">
        <v>1764</v>
      </c>
      <c r="N410" s="923" t="s">
        <v>1772</v>
      </c>
    </row>
    <row r="411" spans="1:14">
      <c r="A411" s="123">
        <v>18</v>
      </c>
      <c r="B411" s="905"/>
      <c r="C411" s="1006"/>
      <c r="D411" s="924"/>
      <c r="E411" s="924"/>
      <c r="F411" s="924"/>
      <c r="G411" s="924"/>
      <c r="H411" s="1006"/>
      <c r="I411" s="227" t="s">
        <v>1773</v>
      </c>
      <c r="J411" s="924"/>
      <c r="K411" s="1008"/>
      <c r="L411" s="924"/>
      <c r="M411" s="922"/>
      <c r="N411" s="924"/>
    </row>
    <row r="412" spans="1:14" ht="22.5">
      <c r="A412" s="123">
        <v>18</v>
      </c>
      <c r="B412" s="9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5"/>
      <c r="C413" s="1005" t="s">
        <v>1776</v>
      </c>
      <c r="D413" s="1005" t="s">
        <v>700</v>
      </c>
      <c r="E413" s="923" t="s">
        <v>675</v>
      </c>
      <c r="F413" s="1005" t="s">
        <v>1777</v>
      </c>
      <c r="G413" s="1005" t="s">
        <v>1778</v>
      </c>
      <c r="H413" s="1005" t="s">
        <v>662</v>
      </c>
      <c r="I413" s="227" t="s">
        <v>1779</v>
      </c>
      <c r="J413" s="923" t="s">
        <v>638</v>
      </c>
      <c r="K413" s="923" t="s">
        <v>731</v>
      </c>
      <c r="L413" s="923" t="s">
        <v>309</v>
      </c>
      <c r="M413" s="921" t="s">
        <v>1780</v>
      </c>
      <c r="N413" s="923" t="s">
        <v>1781</v>
      </c>
    </row>
    <row r="414" spans="1:14">
      <c r="A414" s="123">
        <v>18</v>
      </c>
      <c r="B414" s="906"/>
      <c r="C414" s="1006"/>
      <c r="D414" s="1006"/>
      <c r="E414" s="924"/>
      <c r="F414" s="1006"/>
      <c r="G414" s="1006"/>
      <c r="H414" s="1006"/>
      <c r="I414" s="26"/>
      <c r="J414" s="924"/>
      <c r="K414" s="924"/>
      <c r="L414" s="924"/>
      <c r="M414" s="922"/>
      <c r="N414" s="924"/>
    </row>
    <row r="415" spans="1:14" ht="16.5" customHeight="1">
      <c r="A415" s="123">
        <v>19</v>
      </c>
      <c r="B415" s="904" t="s">
        <v>20</v>
      </c>
      <c r="C415" s="148" t="s">
        <v>1794</v>
      </c>
      <c r="D415" s="929" t="s">
        <v>306</v>
      </c>
      <c r="E415" s="929" t="s">
        <v>322</v>
      </c>
      <c r="F415" s="929" t="s">
        <v>307</v>
      </c>
      <c r="G415" s="934" t="s">
        <v>1796</v>
      </c>
      <c r="H415" s="929" t="s">
        <v>1797</v>
      </c>
      <c r="I415" s="934" t="s">
        <v>1792</v>
      </c>
      <c r="J415" s="929" t="s">
        <v>664</v>
      </c>
      <c r="K415" s="148" t="s">
        <v>1520</v>
      </c>
      <c r="L415" s="929" t="s">
        <v>324</v>
      </c>
      <c r="M415" s="938" t="s">
        <v>1799</v>
      </c>
      <c r="N415" s="929" t="s">
        <v>665</v>
      </c>
    </row>
    <row r="416" spans="1:14">
      <c r="A416" s="123">
        <v>19</v>
      </c>
      <c r="B416" s="905"/>
      <c r="C416" s="148" t="s">
        <v>1795</v>
      </c>
      <c r="D416" s="930"/>
      <c r="E416" s="930"/>
      <c r="F416" s="930"/>
      <c r="G416" s="935"/>
      <c r="H416" s="930"/>
      <c r="I416" s="935"/>
      <c r="J416" s="930"/>
      <c r="K416" s="148" t="s">
        <v>1798</v>
      </c>
      <c r="L416" s="930"/>
      <c r="M416" s="939"/>
      <c r="N416" s="930"/>
    </row>
    <row r="417" spans="1:14">
      <c r="A417" s="123">
        <v>19</v>
      </c>
      <c r="B417" s="905"/>
      <c r="C417" s="148" t="s">
        <v>1800</v>
      </c>
      <c r="D417" s="929" t="s">
        <v>306</v>
      </c>
      <c r="E417" s="929" t="s">
        <v>322</v>
      </c>
      <c r="F417" s="929" t="s">
        <v>307</v>
      </c>
      <c r="G417" s="934" t="s">
        <v>1801</v>
      </c>
      <c r="H417" s="929" t="s">
        <v>1802</v>
      </c>
      <c r="I417" s="934" t="s">
        <v>1803</v>
      </c>
      <c r="J417" s="929" t="s">
        <v>664</v>
      </c>
      <c r="K417" s="944" t="s">
        <v>1155</v>
      </c>
      <c r="L417" s="929" t="s">
        <v>324</v>
      </c>
      <c r="M417" s="938" t="s">
        <v>1804</v>
      </c>
      <c r="N417" s="929" t="s">
        <v>665</v>
      </c>
    </row>
    <row r="418" spans="1:14">
      <c r="A418" s="123">
        <v>19</v>
      </c>
      <c r="B418" s="906"/>
      <c r="C418" s="148" t="s">
        <v>1795</v>
      </c>
      <c r="D418" s="930"/>
      <c r="E418" s="930"/>
      <c r="F418" s="930"/>
      <c r="G418" s="935"/>
      <c r="H418" s="930"/>
      <c r="I418" s="935"/>
      <c r="J418" s="930"/>
      <c r="K418" s="945"/>
      <c r="L418" s="930"/>
      <c r="M418" s="939"/>
      <c r="N418" s="930"/>
    </row>
    <row r="419" spans="1:14" ht="16.5" customHeight="1">
      <c r="A419" s="123">
        <v>19</v>
      </c>
      <c r="B419" s="904" t="s">
        <v>21</v>
      </c>
      <c r="C419" s="959" t="s">
        <v>1805</v>
      </c>
      <c r="D419" s="959" t="s">
        <v>700</v>
      </c>
      <c r="E419" s="929" t="s">
        <v>675</v>
      </c>
      <c r="F419" s="959" t="s">
        <v>1806</v>
      </c>
      <c r="G419" s="959" t="s">
        <v>1807</v>
      </c>
      <c r="H419" s="959" t="s">
        <v>662</v>
      </c>
      <c r="I419" s="934" t="s">
        <v>1808</v>
      </c>
      <c r="J419" s="929"/>
      <c r="K419" s="1009" t="s">
        <v>1809</v>
      </c>
      <c r="L419" s="929" t="s">
        <v>309</v>
      </c>
      <c r="M419" s="938" t="s">
        <v>1810</v>
      </c>
      <c r="N419" s="149" t="s">
        <v>1811</v>
      </c>
    </row>
    <row r="420" spans="1:14">
      <c r="A420" s="123">
        <v>19</v>
      </c>
      <c r="B420" s="905"/>
      <c r="C420" s="961"/>
      <c r="D420" s="961"/>
      <c r="E420" s="930"/>
      <c r="F420" s="961"/>
      <c r="G420" s="961"/>
      <c r="H420" s="961"/>
      <c r="I420" s="935"/>
      <c r="J420" s="930"/>
      <c r="K420" s="1010"/>
      <c r="L420" s="930"/>
      <c r="M420" s="939"/>
      <c r="N420" s="149" t="s">
        <v>1812</v>
      </c>
    </row>
    <row r="421" spans="1:14">
      <c r="A421" s="123">
        <v>19</v>
      </c>
      <c r="B421" s="905"/>
      <c r="C421" s="1011" t="s">
        <v>1813</v>
      </c>
      <c r="D421" s="959" t="s">
        <v>700</v>
      </c>
      <c r="E421" s="929" t="s">
        <v>320</v>
      </c>
      <c r="F421" s="929" t="s">
        <v>337</v>
      </c>
      <c r="G421" s="959" t="s">
        <v>353</v>
      </c>
      <c r="H421" s="959" t="s">
        <v>1814</v>
      </c>
      <c r="I421" s="934" t="s">
        <v>1815</v>
      </c>
      <c r="J421" s="929" t="s">
        <v>638</v>
      </c>
      <c r="K421" s="1013" t="s">
        <v>692</v>
      </c>
      <c r="L421" s="929" t="s">
        <v>309</v>
      </c>
      <c r="M421" s="938" t="s">
        <v>1816</v>
      </c>
      <c r="N421" s="148" t="s">
        <v>1817</v>
      </c>
    </row>
    <row r="422" spans="1:14">
      <c r="A422" s="123">
        <v>19</v>
      </c>
      <c r="B422" s="905"/>
      <c r="C422" s="1012"/>
      <c r="D422" s="961"/>
      <c r="E422" s="930"/>
      <c r="F422" s="930"/>
      <c r="G422" s="961"/>
      <c r="H422" s="961"/>
      <c r="I422" s="935"/>
      <c r="J422" s="930"/>
      <c r="K422" s="1014"/>
      <c r="L422" s="930"/>
      <c r="M422" s="939"/>
      <c r="N422" s="148" t="s">
        <v>1818</v>
      </c>
    </row>
    <row r="423" spans="1:14">
      <c r="A423" s="123">
        <v>19</v>
      </c>
      <c r="B423" s="9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5"/>
      <c r="C424" s="959" t="s">
        <v>1820</v>
      </c>
      <c r="D424" s="959" t="s">
        <v>700</v>
      </c>
      <c r="E424" s="929" t="s">
        <v>320</v>
      </c>
      <c r="F424" s="929" t="s">
        <v>709</v>
      </c>
      <c r="G424" s="929" t="s">
        <v>1768</v>
      </c>
      <c r="H424" s="959" t="s">
        <v>1821</v>
      </c>
      <c r="I424" s="149" t="s">
        <v>1822</v>
      </c>
      <c r="J424" s="929" t="s">
        <v>638</v>
      </c>
      <c r="K424" s="929" t="s">
        <v>692</v>
      </c>
      <c r="L424" s="929" t="s">
        <v>309</v>
      </c>
      <c r="M424" s="938" t="s">
        <v>1535</v>
      </c>
      <c r="N424" s="934" t="s">
        <v>1824</v>
      </c>
    </row>
    <row r="425" spans="1:14">
      <c r="A425" s="123">
        <v>19</v>
      </c>
      <c r="B425" s="905"/>
      <c r="C425" s="961"/>
      <c r="D425" s="961"/>
      <c r="E425" s="930"/>
      <c r="F425" s="930"/>
      <c r="G425" s="930"/>
      <c r="H425" s="961"/>
      <c r="I425" s="149" t="s">
        <v>1823</v>
      </c>
      <c r="J425" s="930"/>
      <c r="K425" s="930"/>
      <c r="L425" s="930"/>
      <c r="M425" s="939"/>
      <c r="N425" s="935"/>
    </row>
    <row r="426" spans="1:14">
      <c r="A426" s="123">
        <v>19</v>
      </c>
      <c r="B426" s="9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4" t="s">
        <v>2078</v>
      </c>
      <c r="C452" s="243" t="s">
        <v>1906</v>
      </c>
      <c r="D452" s="910" t="s">
        <v>306</v>
      </c>
      <c r="E452" s="910" t="s">
        <v>322</v>
      </c>
      <c r="F452" s="910" t="s">
        <v>307</v>
      </c>
      <c r="G452" s="910">
        <v>3306</v>
      </c>
      <c r="H452" s="910" t="s">
        <v>1153</v>
      </c>
      <c r="I452" s="910" t="s">
        <v>1907</v>
      </c>
      <c r="J452" s="910" t="s">
        <v>1111</v>
      </c>
      <c r="K452" s="910" t="s">
        <v>692</v>
      </c>
      <c r="L452" s="910" t="s">
        <v>324</v>
      </c>
      <c r="M452" s="916" t="s">
        <v>1908</v>
      </c>
      <c r="N452" s="910" t="s">
        <v>665</v>
      </c>
    </row>
    <row r="453" spans="1:14">
      <c r="A453" s="123">
        <v>23</v>
      </c>
      <c r="B453" s="905"/>
      <c r="C453" s="243" t="s">
        <v>1909</v>
      </c>
      <c r="D453" s="911"/>
      <c r="E453" s="911"/>
      <c r="F453" s="911"/>
      <c r="G453" s="911"/>
      <c r="H453" s="911"/>
      <c r="I453" s="911"/>
      <c r="J453" s="911"/>
      <c r="K453" s="911"/>
      <c r="L453" s="911"/>
      <c r="M453" s="917"/>
      <c r="N453" s="911"/>
    </row>
    <row r="454" spans="1:14">
      <c r="A454" s="123">
        <v>23</v>
      </c>
      <c r="B454" s="905"/>
      <c r="C454" s="243" t="s">
        <v>1910</v>
      </c>
      <c r="D454" s="910" t="s">
        <v>306</v>
      </c>
      <c r="E454" s="910" t="s">
        <v>322</v>
      </c>
      <c r="F454" s="910" t="s">
        <v>307</v>
      </c>
      <c r="G454" s="914" t="s">
        <v>1418</v>
      </c>
      <c r="H454" s="910" t="s">
        <v>1911</v>
      </c>
      <c r="I454" s="914" t="s">
        <v>1154</v>
      </c>
      <c r="J454" s="910" t="s">
        <v>664</v>
      </c>
      <c r="K454" s="1015" t="s">
        <v>1763</v>
      </c>
      <c r="L454" s="910" t="s">
        <v>324</v>
      </c>
      <c r="M454" s="916" t="s">
        <v>1535</v>
      </c>
      <c r="N454" s="910" t="s">
        <v>665</v>
      </c>
    </row>
    <row r="455" spans="1:14">
      <c r="A455" s="123">
        <v>23</v>
      </c>
      <c r="B455" s="905"/>
      <c r="C455" s="243" t="s">
        <v>1909</v>
      </c>
      <c r="D455" s="911"/>
      <c r="E455" s="911"/>
      <c r="F455" s="911"/>
      <c r="G455" s="915"/>
      <c r="H455" s="911"/>
      <c r="I455" s="915"/>
      <c r="J455" s="911"/>
      <c r="K455" s="1016"/>
      <c r="L455" s="911"/>
      <c r="M455" s="917"/>
      <c r="N455" s="911"/>
    </row>
    <row r="456" spans="1:14">
      <c r="A456" s="123">
        <v>23</v>
      </c>
      <c r="B456" s="9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5"/>
      <c r="C457" s="243" t="s">
        <v>1917</v>
      </c>
      <c r="D457" s="910" t="s">
        <v>306</v>
      </c>
      <c r="E457" s="910" t="s">
        <v>322</v>
      </c>
      <c r="F457" s="910" t="s">
        <v>307</v>
      </c>
      <c r="G457" s="914">
        <v>4267</v>
      </c>
      <c r="H457" s="910" t="s">
        <v>640</v>
      </c>
      <c r="I457" s="914" t="s">
        <v>1154</v>
      </c>
      <c r="J457" s="910" t="s">
        <v>664</v>
      </c>
      <c r="K457" s="1015" t="s">
        <v>1763</v>
      </c>
      <c r="L457" s="910" t="s">
        <v>324</v>
      </c>
      <c r="M457" s="916" t="s">
        <v>1535</v>
      </c>
      <c r="N457" s="910" t="s">
        <v>665</v>
      </c>
    </row>
    <row r="458" spans="1:14">
      <c r="A458" s="123">
        <v>23</v>
      </c>
      <c r="B458" s="905"/>
      <c r="C458" s="243" t="s">
        <v>1918</v>
      </c>
      <c r="D458" s="911"/>
      <c r="E458" s="911"/>
      <c r="F458" s="911"/>
      <c r="G458" s="915"/>
      <c r="H458" s="911"/>
      <c r="I458" s="915"/>
      <c r="J458" s="911"/>
      <c r="K458" s="1016"/>
      <c r="L458" s="911"/>
      <c r="M458" s="917"/>
      <c r="N458" s="911"/>
    </row>
    <row r="459" spans="1:14">
      <c r="A459" s="123">
        <v>23</v>
      </c>
      <c r="B459" s="905"/>
      <c r="C459" s="243" t="s">
        <v>1917</v>
      </c>
      <c r="D459" s="910" t="s">
        <v>306</v>
      </c>
      <c r="E459" s="910" t="s">
        <v>322</v>
      </c>
      <c r="F459" s="910" t="s">
        <v>307</v>
      </c>
      <c r="G459" s="914" t="s">
        <v>1919</v>
      </c>
      <c r="H459" s="910" t="s">
        <v>662</v>
      </c>
      <c r="I459" s="914" t="s">
        <v>1920</v>
      </c>
      <c r="J459" s="910" t="s">
        <v>349</v>
      </c>
      <c r="K459" s="1017" t="s">
        <v>1916</v>
      </c>
      <c r="L459" s="910" t="s">
        <v>324</v>
      </c>
      <c r="M459" s="916" t="s">
        <v>1535</v>
      </c>
      <c r="N459" s="910" t="s">
        <v>425</v>
      </c>
    </row>
    <row r="460" spans="1:14">
      <c r="A460" s="123">
        <v>23</v>
      </c>
      <c r="B460" s="906"/>
      <c r="C460" s="244" t="s">
        <v>1918</v>
      </c>
      <c r="D460" s="911"/>
      <c r="E460" s="911"/>
      <c r="F460" s="911"/>
      <c r="G460" s="915"/>
      <c r="H460" s="911"/>
      <c r="I460" s="915"/>
      <c r="J460" s="911"/>
      <c r="K460" s="1018"/>
      <c r="L460" s="911"/>
      <c r="M460" s="917"/>
      <c r="N460" s="911"/>
    </row>
    <row r="461" spans="1:14">
      <c r="A461" s="123">
        <v>23</v>
      </c>
      <c r="B461" s="9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5"/>
      <c r="C462" s="910" t="s">
        <v>1921</v>
      </c>
      <c r="D462" s="910" t="s">
        <v>311</v>
      </c>
      <c r="E462" s="910" t="s">
        <v>675</v>
      </c>
      <c r="F462" s="910" t="s">
        <v>1926</v>
      </c>
      <c r="G462" s="910" t="s">
        <v>1927</v>
      </c>
      <c r="H462" s="912" t="s">
        <v>347</v>
      </c>
      <c r="I462" s="242" t="s">
        <v>1928</v>
      </c>
      <c r="J462" s="910"/>
      <c r="K462" s="914" t="s">
        <v>1924</v>
      </c>
      <c r="L462" s="910" t="s">
        <v>309</v>
      </c>
      <c r="M462" s="916" t="s">
        <v>1828</v>
      </c>
      <c r="N462" s="914" t="s">
        <v>1925</v>
      </c>
    </row>
    <row r="463" spans="1:14">
      <c r="A463" s="123">
        <v>23</v>
      </c>
      <c r="B463" s="905"/>
      <c r="C463" s="911"/>
      <c r="D463" s="911"/>
      <c r="E463" s="911"/>
      <c r="F463" s="911"/>
      <c r="G463" s="911"/>
      <c r="H463" s="913"/>
      <c r="I463" s="242" t="s">
        <v>1929</v>
      </c>
      <c r="J463" s="911"/>
      <c r="K463" s="915"/>
      <c r="L463" s="911"/>
      <c r="M463" s="917"/>
      <c r="N463" s="915"/>
    </row>
    <row r="464" spans="1:14" ht="24">
      <c r="A464" s="123">
        <v>23</v>
      </c>
      <c r="B464" s="9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2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5"/>
      <c r="C687" s="148" t="s">
        <v>2726</v>
      </c>
      <c r="D687" s="929" t="s">
        <v>306</v>
      </c>
      <c r="E687" s="929" t="s">
        <v>322</v>
      </c>
      <c r="F687" s="929" t="s">
        <v>307</v>
      </c>
      <c r="G687" s="934" t="s">
        <v>2719</v>
      </c>
      <c r="H687" s="929" t="s">
        <v>1047</v>
      </c>
      <c r="I687" s="934" t="s">
        <v>704</v>
      </c>
      <c r="J687" s="929" t="s">
        <v>664</v>
      </c>
      <c r="K687" s="1023" t="s">
        <v>1763</v>
      </c>
      <c r="L687" s="929"/>
      <c r="M687" s="938" t="s">
        <v>458</v>
      </c>
      <c r="N687" s="929" t="s">
        <v>665</v>
      </c>
    </row>
    <row r="688" spans="1:14">
      <c r="A688" s="123">
        <v>8</v>
      </c>
      <c r="B688" s="905"/>
      <c r="C688" s="148" t="s">
        <v>2727</v>
      </c>
      <c r="D688" s="930"/>
      <c r="E688" s="930"/>
      <c r="F688" s="930"/>
      <c r="G688" s="935"/>
      <c r="H688" s="930"/>
      <c r="I688" s="935"/>
      <c r="J688" s="930"/>
      <c r="K688" s="1024"/>
      <c r="L688" s="930"/>
      <c r="M688" s="939"/>
      <c r="N688" s="930"/>
    </row>
    <row r="689" spans="1:14">
      <c r="A689" s="123">
        <v>8</v>
      </c>
      <c r="B689" s="9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5"/>
      <c r="C690" s="148" t="s">
        <v>2730</v>
      </c>
      <c r="D690" s="929" t="s">
        <v>306</v>
      </c>
      <c r="E690" s="929" t="s">
        <v>322</v>
      </c>
      <c r="F690" s="929" t="s">
        <v>307</v>
      </c>
      <c r="G690" s="934" t="s">
        <v>2731</v>
      </c>
      <c r="H690" s="929" t="s">
        <v>640</v>
      </c>
      <c r="I690" s="934" t="s">
        <v>668</v>
      </c>
      <c r="J690" s="929" t="s">
        <v>349</v>
      </c>
      <c r="K690" s="1025" t="s">
        <v>2732</v>
      </c>
      <c r="L690" s="929"/>
      <c r="M690" s="938" t="s">
        <v>2769</v>
      </c>
      <c r="N690" s="929" t="s">
        <v>425</v>
      </c>
    </row>
    <row r="691" spans="1:14">
      <c r="A691" s="123">
        <v>8</v>
      </c>
      <c r="B691" s="906"/>
      <c r="C691" s="148" t="s">
        <v>2723</v>
      </c>
      <c r="D691" s="930"/>
      <c r="E691" s="930"/>
      <c r="F691" s="930"/>
      <c r="G691" s="935"/>
      <c r="H691" s="930"/>
      <c r="I691" s="935"/>
      <c r="J691" s="930"/>
      <c r="K691" s="1026"/>
      <c r="L691" s="930"/>
      <c r="M691" s="939"/>
      <c r="N691" s="930"/>
    </row>
    <row r="692" spans="1:14">
      <c r="A692" s="123">
        <v>8</v>
      </c>
      <c r="B692" s="9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5"/>
      <c r="C693" s="929" t="s">
        <v>2768</v>
      </c>
      <c r="D693" s="929" t="s">
        <v>311</v>
      </c>
      <c r="E693" s="929" t="s">
        <v>675</v>
      </c>
      <c r="F693" s="149" t="s">
        <v>1806</v>
      </c>
      <c r="G693" s="934" t="s">
        <v>689</v>
      </c>
      <c r="H693" s="934" t="s">
        <v>662</v>
      </c>
      <c r="I693" s="934" t="s">
        <v>2739</v>
      </c>
      <c r="J693" s="934"/>
      <c r="K693" s="934" t="s">
        <v>698</v>
      </c>
      <c r="L693" s="929" t="s">
        <v>309</v>
      </c>
      <c r="M693" s="938" t="s">
        <v>672</v>
      </c>
      <c r="N693" s="929" t="s">
        <v>2740</v>
      </c>
    </row>
    <row r="694" spans="1:14">
      <c r="A694" s="123">
        <v>8</v>
      </c>
      <c r="B694" s="906"/>
      <c r="C694" s="930"/>
      <c r="D694" s="930"/>
      <c r="E694" s="930"/>
      <c r="F694" s="149" t="s">
        <v>2738</v>
      </c>
      <c r="G694" s="935"/>
      <c r="H694" s="935"/>
      <c r="I694" s="935"/>
      <c r="J694" s="935"/>
      <c r="K694" s="935"/>
      <c r="L694" s="930"/>
      <c r="M694" s="939"/>
      <c r="N694" s="957"/>
    </row>
    <row r="695" spans="1:14">
      <c r="A695" s="123">
        <v>9</v>
      </c>
      <c r="B695" s="9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5"/>
      <c r="C697" s="243" t="s">
        <v>2745</v>
      </c>
      <c r="D697" s="910" t="s">
        <v>306</v>
      </c>
      <c r="E697" s="910" t="s">
        <v>322</v>
      </c>
      <c r="F697" s="910" t="s">
        <v>307</v>
      </c>
      <c r="G697" s="914" t="s">
        <v>2746</v>
      </c>
      <c r="H697" s="910" t="s">
        <v>405</v>
      </c>
      <c r="I697" s="914" t="s">
        <v>2747</v>
      </c>
      <c r="J697" s="910" t="s">
        <v>664</v>
      </c>
      <c r="K697" s="1027" t="s">
        <v>1757</v>
      </c>
      <c r="L697" s="910"/>
      <c r="M697" s="916">
        <v>750000</v>
      </c>
      <c r="N697" s="910" t="s">
        <v>665</v>
      </c>
    </row>
    <row r="698" spans="1:14">
      <c r="A698" s="123">
        <v>9</v>
      </c>
      <c r="B698" s="905"/>
      <c r="C698" s="243" t="s">
        <v>2748</v>
      </c>
      <c r="D698" s="911"/>
      <c r="E698" s="911"/>
      <c r="F698" s="911"/>
      <c r="G698" s="915"/>
      <c r="H698" s="911"/>
      <c r="I698" s="915"/>
      <c r="J698" s="911"/>
      <c r="K698" s="1028"/>
      <c r="L698" s="911"/>
      <c r="M698" s="917"/>
      <c r="N698" s="911"/>
    </row>
    <row r="699" spans="1:14">
      <c r="A699" s="123">
        <v>9</v>
      </c>
      <c r="B699" s="905"/>
      <c r="C699" s="243" t="s">
        <v>2745</v>
      </c>
      <c r="D699" s="910" t="s">
        <v>306</v>
      </c>
      <c r="E699" s="910" t="s">
        <v>322</v>
      </c>
      <c r="F699" s="910" t="s">
        <v>307</v>
      </c>
      <c r="G699" s="914" t="s">
        <v>2749</v>
      </c>
      <c r="H699" s="910" t="s">
        <v>662</v>
      </c>
      <c r="I699" s="914" t="s">
        <v>668</v>
      </c>
      <c r="J699" s="910" t="s">
        <v>349</v>
      </c>
      <c r="K699" s="1029" t="s">
        <v>2732</v>
      </c>
      <c r="L699" s="910"/>
      <c r="M699" s="916">
        <v>1000000</v>
      </c>
      <c r="N699" s="910" t="s">
        <v>425</v>
      </c>
    </row>
    <row r="700" spans="1:14">
      <c r="A700" s="123">
        <v>9</v>
      </c>
      <c r="B700" s="905"/>
      <c r="C700" s="243" t="s">
        <v>2750</v>
      </c>
      <c r="D700" s="911"/>
      <c r="E700" s="911"/>
      <c r="F700" s="911"/>
      <c r="G700" s="915"/>
      <c r="H700" s="911"/>
      <c r="I700" s="915"/>
      <c r="J700" s="911"/>
      <c r="K700" s="1030"/>
      <c r="L700" s="911"/>
      <c r="M700" s="917"/>
      <c r="N700" s="911"/>
    </row>
    <row r="701" spans="1:14">
      <c r="A701" s="123">
        <v>9</v>
      </c>
      <c r="B701" s="9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31" t="s">
        <v>2821</v>
      </c>
    </row>
    <row r="734" spans="1:14" ht="27">
      <c r="A734" s="123">
        <v>15</v>
      </c>
      <c r="B734" s="9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32"/>
    </row>
    <row r="735" spans="1:14">
      <c r="A735" s="123">
        <v>15</v>
      </c>
      <c r="B735" s="9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4" t="s">
        <v>3097</v>
      </c>
      <c r="C835" s="148" t="s">
        <v>3079</v>
      </c>
      <c r="D835" s="929" t="s">
        <v>306</v>
      </c>
      <c r="E835" s="929" t="s">
        <v>322</v>
      </c>
      <c r="F835" s="929" t="s">
        <v>307</v>
      </c>
      <c r="G835" s="934" t="s">
        <v>3051</v>
      </c>
      <c r="H835" s="929" t="s">
        <v>1993</v>
      </c>
      <c r="I835" s="934" t="s">
        <v>3052</v>
      </c>
      <c r="J835" s="929" t="s">
        <v>664</v>
      </c>
      <c r="K835" s="148" t="s">
        <v>3081</v>
      </c>
      <c r="L835" s="929"/>
      <c r="M835" s="1034" t="s">
        <v>3082</v>
      </c>
      <c r="N835" s="148" t="s">
        <v>3083</v>
      </c>
    </row>
    <row r="836" spans="1:14">
      <c r="A836" s="123">
        <v>29</v>
      </c>
      <c r="B836" s="905"/>
      <c r="C836" s="148" t="s">
        <v>3080</v>
      </c>
      <c r="D836" s="957"/>
      <c r="E836" s="957"/>
      <c r="F836" s="957"/>
      <c r="G836" s="1033"/>
      <c r="H836" s="957"/>
      <c r="I836" s="1033"/>
      <c r="J836" s="957"/>
      <c r="K836" s="148" t="s">
        <v>707</v>
      </c>
      <c r="L836" s="957"/>
      <c r="M836" s="1035"/>
      <c r="N836" s="148"/>
    </row>
    <row r="837" spans="1:14">
      <c r="A837" s="123">
        <v>29</v>
      </c>
      <c r="B837" s="905"/>
      <c r="C837" s="148"/>
      <c r="D837" s="930"/>
      <c r="E837" s="930"/>
      <c r="F837" s="930"/>
      <c r="G837" s="935"/>
      <c r="H837" s="930"/>
      <c r="I837" s="935"/>
      <c r="J837" s="930"/>
      <c r="K837" s="148"/>
      <c r="L837" s="930"/>
      <c r="M837" s="1036"/>
      <c r="N837" s="148" t="s">
        <v>3084</v>
      </c>
    </row>
    <row r="838" spans="1:14">
      <c r="A838" s="123">
        <v>29</v>
      </c>
      <c r="B838" s="9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4" t="s">
        <v>21</v>
      </c>
      <c r="C840" s="111" t="s">
        <v>3087</v>
      </c>
      <c r="D840" s="929" t="s">
        <v>311</v>
      </c>
      <c r="E840" s="929" t="s">
        <v>320</v>
      </c>
      <c r="F840" s="934" t="s">
        <v>2601</v>
      </c>
      <c r="G840" s="934" t="s">
        <v>3059</v>
      </c>
      <c r="H840" s="934" t="s">
        <v>3060</v>
      </c>
      <c r="I840" s="934" t="s">
        <v>3061</v>
      </c>
      <c r="J840" s="934" t="s">
        <v>702</v>
      </c>
      <c r="K840" s="934" t="s">
        <v>3062</v>
      </c>
      <c r="L840" s="929" t="s">
        <v>309</v>
      </c>
      <c r="M840" s="1034" t="s">
        <v>1816</v>
      </c>
      <c r="N840" s="929" t="s">
        <v>3088</v>
      </c>
    </row>
    <row r="841" spans="1:14">
      <c r="A841" s="123">
        <v>29</v>
      </c>
      <c r="B841" s="905"/>
      <c r="C841" s="111" t="s">
        <v>3065</v>
      </c>
      <c r="D841" s="930"/>
      <c r="E841" s="930"/>
      <c r="F841" s="935"/>
      <c r="G841" s="935"/>
      <c r="H841" s="935"/>
      <c r="I841" s="935"/>
      <c r="J841" s="935"/>
      <c r="K841" s="935"/>
      <c r="L841" s="930"/>
      <c r="M841" s="1036"/>
      <c r="N841" s="930"/>
    </row>
    <row r="842" spans="1:14">
      <c r="A842" s="123">
        <v>29</v>
      </c>
      <c r="B842" s="9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5"/>
      <c r="C844" s="111" t="s">
        <v>3079</v>
      </c>
      <c r="D844" s="929" t="s">
        <v>311</v>
      </c>
      <c r="E844" s="929" t="s">
        <v>320</v>
      </c>
      <c r="F844" s="934" t="s">
        <v>3068</v>
      </c>
      <c r="G844" s="934" t="s">
        <v>1919</v>
      </c>
      <c r="H844" s="934" t="s">
        <v>3069</v>
      </c>
      <c r="I844" s="149" t="s">
        <v>3090</v>
      </c>
      <c r="J844" s="934"/>
      <c r="K844" s="934" t="s">
        <v>3070</v>
      </c>
      <c r="L844" s="929" t="s">
        <v>309</v>
      </c>
      <c r="M844" s="1037" t="s">
        <v>3092</v>
      </c>
      <c r="N844" s="929" t="s">
        <v>1206</v>
      </c>
    </row>
    <row r="845" spans="1:14">
      <c r="A845" s="123">
        <v>29</v>
      </c>
      <c r="B845" s="905"/>
      <c r="C845" s="111" t="s">
        <v>3089</v>
      </c>
      <c r="D845" s="930"/>
      <c r="E845" s="930"/>
      <c r="F845" s="935"/>
      <c r="G845" s="935"/>
      <c r="H845" s="935"/>
      <c r="I845" s="149" t="s">
        <v>3091</v>
      </c>
      <c r="J845" s="935"/>
      <c r="K845" s="935"/>
      <c r="L845" s="930"/>
      <c r="M845" s="1038"/>
      <c r="N845" s="930"/>
    </row>
    <row r="846" spans="1:14">
      <c r="A846" s="123">
        <v>29</v>
      </c>
      <c r="B846" s="905"/>
      <c r="C846" s="111" t="s">
        <v>3079</v>
      </c>
      <c r="D846" s="929" t="s">
        <v>311</v>
      </c>
      <c r="E846" s="929" t="s">
        <v>320</v>
      </c>
      <c r="F846" s="934" t="s">
        <v>2601</v>
      </c>
      <c r="G846" s="934" t="s">
        <v>3059</v>
      </c>
      <c r="H846" s="934" t="s">
        <v>3060</v>
      </c>
      <c r="I846" s="934" t="s">
        <v>3071</v>
      </c>
      <c r="J846" s="934" t="s">
        <v>702</v>
      </c>
      <c r="K846" s="934" t="s">
        <v>1054</v>
      </c>
      <c r="L846" s="929" t="s">
        <v>309</v>
      </c>
      <c r="M846" s="1034" t="s">
        <v>3094</v>
      </c>
      <c r="N846" s="929" t="s">
        <v>3095</v>
      </c>
    </row>
    <row r="847" spans="1:14">
      <c r="A847" s="123">
        <v>29</v>
      </c>
      <c r="B847" s="905"/>
      <c r="C847" s="111"/>
      <c r="D847" s="957"/>
      <c r="E847" s="957"/>
      <c r="F847" s="1033"/>
      <c r="G847" s="1033"/>
      <c r="H847" s="1033"/>
      <c r="I847" s="1033"/>
      <c r="J847" s="1033"/>
      <c r="K847" s="1033"/>
      <c r="L847" s="957"/>
      <c r="M847" s="1035"/>
      <c r="N847" s="957"/>
    </row>
    <row r="848" spans="1:14">
      <c r="A848" s="123">
        <v>29</v>
      </c>
      <c r="B848" s="905"/>
      <c r="C848" s="111" t="s">
        <v>3093</v>
      </c>
      <c r="D848" s="930"/>
      <c r="E848" s="930"/>
      <c r="F848" s="935"/>
      <c r="G848" s="935"/>
      <c r="H848" s="935"/>
      <c r="I848" s="935"/>
      <c r="J848" s="935"/>
      <c r="K848" s="935"/>
      <c r="L848" s="930"/>
      <c r="M848" s="1036"/>
      <c r="N848" s="930"/>
    </row>
    <row r="849" spans="1:14">
      <c r="A849" s="123">
        <v>29</v>
      </c>
      <c r="B849" s="905"/>
      <c r="C849" s="111" t="s">
        <v>3096</v>
      </c>
      <c r="D849" s="929" t="s">
        <v>311</v>
      </c>
      <c r="E849" s="929" t="s">
        <v>320</v>
      </c>
      <c r="F849" s="934" t="s">
        <v>337</v>
      </c>
      <c r="G849" s="934" t="s">
        <v>3072</v>
      </c>
      <c r="H849" s="934" t="s">
        <v>354</v>
      </c>
      <c r="I849" s="934" t="s">
        <v>310</v>
      </c>
      <c r="J849" s="934" t="s">
        <v>638</v>
      </c>
      <c r="K849" s="934" t="s">
        <v>3073</v>
      </c>
      <c r="L849" s="929" t="s">
        <v>309</v>
      </c>
      <c r="M849" s="1034" t="s">
        <v>1816</v>
      </c>
      <c r="N849" s="929" t="s">
        <v>3095</v>
      </c>
    </row>
    <row r="850" spans="1:14">
      <c r="A850" s="123">
        <v>29</v>
      </c>
      <c r="B850" s="906"/>
      <c r="C850" s="111" t="s">
        <v>3089</v>
      </c>
      <c r="D850" s="930"/>
      <c r="E850" s="930"/>
      <c r="F850" s="935"/>
      <c r="G850" s="935"/>
      <c r="H850" s="935"/>
      <c r="I850" s="935"/>
      <c r="J850" s="935"/>
      <c r="K850" s="935"/>
      <c r="L850" s="930"/>
      <c r="M850" s="1036"/>
      <c r="N850" s="930"/>
    </row>
    <row r="851" spans="1:14">
      <c r="A851" s="123">
        <v>30</v>
      </c>
      <c r="B851" s="104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4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42"/>
      <c r="C853" s="148" t="s">
        <v>3106</v>
      </c>
      <c r="D853" s="929" t="s">
        <v>306</v>
      </c>
      <c r="E853" s="929" t="s">
        <v>322</v>
      </c>
      <c r="F853" s="929" t="s">
        <v>307</v>
      </c>
      <c r="G853" s="934" t="s">
        <v>3051</v>
      </c>
      <c r="H853" s="929" t="s">
        <v>1993</v>
      </c>
      <c r="I853" s="934" t="s">
        <v>3108</v>
      </c>
      <c r="J853" s="929" t="s">
        <v>664</v>
      </c>
      <c r="K853" s="148" t="s">
        <v>3109</v>
      </c>
      <c r="L853" s="929"/>
      <c r="M853" s="938" t="s">
        <v>3110</v>
      </c>
      <c r="N853" s="929" t="s">
        <v>665</v>
      </c>
    </row>
    <row r="854" spans="1:14">
      <c r="A854" s="123">
        <v>30</v>
      </c>
      <c r="B854" s="1042"/>
      <c r="C854" s="148" t="s">
        <v>3107</v>
      </c>
      <c r="D854" s="930"/>
      <c r="E854" s="930"/>
      <c r="F854" s="930"/>
      <c r="G854" s="935"/>
      <c r="H854" s="930"/>
      <c r="I854" s="935"/>
      <c r="J854" s="930"/>
      <c r="K854" s="148" t="s">
        <v>655</v>
      </c>
      <c r="L854" s="930"/>
      <c r="M854" s="939"/>
      <c r="N854" s="930"/>
    </row>
    <row r="855" spans="1:14">
      <c r="A855" s="123">
        <v>30</v>
      </c>
      <c r="B855" s="104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4" t="s">
        <v>3116</v>
      </c>
      <c r="C856" s="1039" t="s">
        <v>3117</v>
      </c>
      <c r="D856" s="929" t="s">
        <v>311</v>
      </c>
      <c r="E856" s="929" t="s">
        <v>320</v>
      </c>
      <c r="F856" s="934" t="s">
        <v>2601</v>
      </c>
      <c r="G856" s="934" t="s">
        <v>2749</v>
      </c>
      <c r="H856" s="934" t="s">
        <v>347</v>
      </c>
      <c r="I856" s="934" t="s">
        <v>3118</v>
      </c>
      <c r="J856" s="934" t="s">
        <v>638</v>
      </c>
      <c r="K856" s="934" t="s">
        <v>698</v>
      </c>
      <c r="L856" s="929" t="s">
        <v>309</v>
      </c>
      <c r="M856" s="938" t="s">
        <v>1810</v>
      </c>
      <c r="N856" s="148" t="s">
        <v>3119</v>
      </c>
    </row>
    <row r="857" spans="1:14">
      <c r="A857" s="123">
        <v>30</v>
      </c>
      <c r="B857" s="905"/>
      <c r="C857" s="1040"/>
      <c r="D857" s="930"/>
      <c r="E857" s="930"/>
      <c r="F857" s="935"/>
      <c r="G857" s="935"/>
      <c r="H857" s="935"/>
      <c r="I857" s="935"/>
      <c r="J857" s="935"/>
      <c r="K857" s="935"/>
      <c r="L857" s="930"/>
      <c r="M857" s="939"/>
      <c r="N857" s="148" t="s">
        <v>3120</v>
      </c>
    </row>
    <row r="858" spans="1:14" ht="16.5" customHeight="1">
      <c r="A858" s="123">
        <v>30</v>
      </c>
      <c r="B858" s="905"/>
      <c r="C858" s="1039" t="s">
        <v>3117</v>
      </c>
      <c r="D858" s="929" t="s">
        <v>311</v>
      </c>
      <c r="E858" s="929" t="s">
        <v>320</v>
      </c>
      <c r="F858" s="934" t="s">
        <v>709</v>
      </c>
      <c r="G858" s="149" t="s">
        <v>3121</v>
      </c>
      <c r="H858" s="934" t="s">
        <v>640</v>
      </c>
      <c r="I858" s="934" t="s">
        <v>3122</v>
      </c>
      <c r="J858" s="934"/>
      <c r="K858" s="934" t="s">
        <v>692</v>
      </c>
      <c r="L858" s="929" t="s">
        <v>309</v>
      </c>
      <c r="M858" s="938" t="s">
        <v>1535</v>
      </c>
      <c r="N858" s="929" t="s">
        <v>1772</v>
      </c>
    </row>
    <row r="859" spans="1:14">
      <c r="A859" s="123">
        <v>30</v>
      </c>
      <c r="B859" s="905"/>
      <c r="C859" s="1040"/>
      <c r="D859" s="930"/>
      <c r="E859" s="930"/>
      <c r="F859" s="935"/>
      <c r="G859" s="149">
        <v>2651</v>
      </c>
      <c r="H859" s="935"/>
      <c r="I859" s="935"/>
      <c r="J859" s="935"/>
      <c r="K859" s="935"/>
      <c r="L859" s="930"/>
      <c r="M859" s="939"/>
      <c r="N859" s="930"/>
    </row>
    <row r="860" spans="1:14">
      <c r="A860" s="123">
        <v>30</v>
      </c>
      <c r="B860" s="905"/>
      <c r="C860" s="1039" t="s">
        <v>3123</v>
      </c>
      <c r="D860" s="929" t="s">
        <v>311</v>
      </c>
      <c r="E860" s="929" t="s">
        <v>320</v>
      </c>
      <c r="F860" s="934" t="s">
        <v>720</v>
      </c>
      <c r="G860" s="934" t="s">
        <v>1756</v>
      </c>
      <c r="H860" s="934" t="s">
        <v>347</v>
      </c>
      <c r="I860" s="149" t="s">
        <v>3124</v>
      </c>
      <c r="J860" s="934"/>
      <c r="K860" s="934" t="s">
        <v>3126</v>
      </c>
      <c r="L860" s="929" t="s">
        <v>309</v>
      </c>
      <c r="M860" s="938" t="s">
        <v>1933</v>
      </c>
      <c r="N860" s="929" t="s">
        <v>1206</v>
      </c>
    </row>
    <row r="861" spans="1:14">
      <c r="A861" s="123">
        <v>30</v>
      </c>
      <c r="B861" s="905"/>
      <c r="C861" s="1040"/>
      <c r="D861" s="930"/>
      <c r="E861" s="930"/>
      <c r="F861" s="935"/>
      <c r="G861" s="935"/>
      <c r="H861" s="935"/>
      <c r="I861" s="149" t="s">
        <v>3125</v>
      </c>
      <c r="J861" s="935"/>
      <c r="K861" s="935"/>
      <c r="L861" s="930"/>
      <c r="M861" s="939"/>
      <c r="N861" s="930"/>
    </row>
    <row r="862" spans="1:14">
      <c r="A862" s="123">
        <v>30</v>
      </c>
      <c r="B862" s="905"/>
      <c r="C862" s="111" t="s">
        <v>3127</v>
      </c>
      <c r="D862" s="929" t="s">
        <v>311</v>
      </c>
      <c r="E862" s="929" t="s">
        <v>320</v>
      </c>
      <c r="F862" s="934" t="s">
        <v>690</v>
      </c>
      <c r="G862" s="934" t="s">
        <v>3066</v>
      </c>
      <c r="H862" s="934" t="s">
        <v>354</v>
      </c>
      <c r="I862" s="934" t="s">
        <v>3129</v>
      </c>
      <c r="J862" s="934" t="s">
        <v>638</v>
      </c>
      <c r="K862" s="934" t="s">
        <v>655</v>
      </c>
      <c r="L862" s="929" t="s">
        <v>309</v>
      </c>
      <c r="M862" s="938" t="s">
        <v>1535</v>
      </c>
      <c r="N862" s="929" t="s">
        <v>1206</v>
      </c>
    </row>
    <row r="863" spans="1:14">
      <c r="A863" s="123">
        <v>30</v>
      </c>
      <c r="B863" s="905"/>
      <c r="C863" s="111" t="s">
        <v>3128</v>
      </c>
      <c r="D863" s="930"/>
      <c r="E863" s="930"/>
      <c r="F863" s="935"/>
      <c r="G863" s="935"/>
      <c r="H863" s="935"/>
      <c r="I863" s="935"/>
      <c r="J863" s="935"/>
      <c r="K863" s="935"/>
      <c r="L863" s="930"/>
      <c r="M863" s="939"/>
      <c r="N863" s="930"/>
    </row>
    <row r="864" spans="1:14">
      <c r="A864" s="123">
        <v>30</v>
      </c>
      <c r="B864" s="905"/>
      <c r="C864" s="111" t="s">
        <v>3130</v>
      </c>
      <c r="D864" s="929" t="s">
        <v>311</v>
      </c>
      <c r="E864" s="929" t="s">
        <v>320</v>
      </c>
      <c r="F864" s="934" t="s">
        <v>337</v>
      </c>
      <c r="G864" s="934" t="s">
        <v>3072</v>
      </c>
      <c r="H864" s="934" t="s">
        <v>354</v>
      </c>
      <c r="I864" s="934" t="s">
        <v>3131</v>
      </c>
      <c r="J864" s="934" t="s">
        <v>638</v>
      </c>
      <c r="K864" s="934" t="s">
        <v>713</v>
      </c>
      <c r="L864" s="929" t="s">
        <v>309</v>
      </c>
      <c r="M864" s="938" t="s">
        <v>1810</v>
      </c>
      <c r="N864" s="929" t="s">
        <v>1206</v>
      </c>
    </row>
    <row r="865" spans="1:14">
      <c r="A865" s="123">
        <v>30</v>
      </c>
      <c r="B865" s="905"/>
      <c r="C865" s="111" t="s">
        <v>3107</v>
      </c>
      <c r="D865" s="930"/>
      <c r="E865" s="930"/>
      <c r="F865" s="935"/>
      <c r="G865" s="935"/>
      <c r="H865" s="935"/>
      <c r="I865" s="935"/>
      <c r="J865" s="935"/>
      <c r="K865" s="935"/>
      <c r="L865" s="930"/>
      <c r="M865" s="939"/>
      <c r="N865" s="930"/>
    </row>
    <row r="866" spans="1:14" ht="25.5">
      <c r="A866" s="123">
        <v>30</v>
      </c>
      <c r="B866" s="9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5"/>
      <c r="C867" s="1039" t="s">
        <v>3111</v>
      </c>
      <c r="D867" s="929" t="s">
        <v>311</v>
      </c>
      <c r="E867" s="929" t="s">
        <v>675</v>
      </c>
      <c r="F867" s="934" t="s">
        <v>660</v>
      </c>
      <c r="G867" s="934" t="s">
        <v>661</v>
      </c>
      <c r="H867" s="934" t="s">
        <v>662</v>
      </c>
      <c r="I867" s="149" t="s">
        <v>3134</v>
      </c>
      <c r="J867" s="934" t="s">
        <v>638</v>
      </c>
      <c r="K867" s="934" t="s">
        <v>731</v>
      </c>
      <c r="L867" s="929" t="s">
        <v>309</v>
      </c>
      <c r="M867" s="938" t="s">
        <v>1828</v>
      </c>
      <c r="N867" s="929" t="s">
        <v>3136</v>
      </c>
    </row>
    <row r="868" spans="1:14">
      <c r="A868" s="123">
        <v>30</v>
      </c>
      <c r="B868" s="906"/>
      <c r="C868" s="1040"/>
      <c r="D868" s="930"/>
      <c r="E868" s="930"/>
      <c r="F868" s="935"/>
      <c r="G868" s="935"/>
      <c r="H868" s="935"/>
      <c r="I868" s="149" t="s">
        <v>3135</v>
      </c>
      <c r="J868" s="935"/>
      <c r="K868" s="935"/>
      <c r="L868" s="930"/>
      <c r="M868" s="939"/>
      <c r="N868" s="930"/>
    </row>
    <row r="869" spans="1:14">
      <c r="A869" s="123">
        <v>31</v>
      </c>
      <c r="B869" s="9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5"/>
      <c r="C870" s="148" t="s">
        <v>3140</v>
      </c>
      <c r="D870" s="929" t="s">
        <v>306</v>
      </c>
      <c r="E870" s="929" t="s">
        <v>322</v>
      </c>
      <c r="F870" s="929" t="s">
        <v>307</v>
      </c>
      <c r="G870" s="934">
        <v>1566</v>
      </c>
      <c r="H870" s="929" t="s">
        <v>1911</v>
      </c>
      <c r="I870" s="934" t="s">
        <v>3142</v>
      </c>
      <c r="J870" s="929" t="s">
        <v>664</v>
      </c>
      <c r="K870" s="929" t="s">
        <v>3143</v>
      </c>
      <c r="L870" s="929"/>
      <c r="M870" s="938" t="s">
        <v>3144</v>
      </c>
      <c r="N870" s="929" t="s">
        <v>665</v>
      </c>
    </row>
    <row r="871" spans="1:14">
      <c r="A871" s="123">
        <v>31</v>
      </c>
      <c r="B871" s="905"/>
      <c r="C871" s="148" t="s">
        <v>3141</v>
      </c>
      <c r="D871" s="930"/>
      <c r="E871" s="930"/>
      <c r="F871" s="930"/>
      <c r="G871" s="935"/>
      <c r="H871" s="930"/>
      <c r="I871" s="935"/>
      <c r="J871" s="930"/>
      <c r="K871" s="930"/>
      <c r="L871" s="930"/>
      <c r="M871" s="939"/>
      <c r="N871" s="930"/>
    </row>
    <row r="872" spans="1:14">
      <c r="A872" s="123">
        <v>31</v>
      </c>
      <c r="B872" s="9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5"/>
      <c r="C873" s="388" t="s">
        <v>3140</v>
      </c>
      <c r="D873" s="929" t="s">
        <v>306</v>
      </c>
      <c r="E873" s="929" t="s">
        <v>322</v>
      </c>
      <c r="F873" s="929" t="s">
        <v>307</v>
      </c>
      <c r="G873" s="934" t="s">
        <v>3147</v>
      </c>
      <c r="H873" s="929" t="s">
        <v>3148</v>
      </c>
      <c r="I873" s="934" t="s">
        <v>332</v>
      </c>
      <c r="J873" s="929" t="s">
        <v>1534</v>
      </c>
      <c r="K873" s="929" t="s">
        <v>1157</v>
      </c>
      <c r="L873" s="929"/>
      <c r="M873" s="938" t="s">
        <v>3149</v>
      </c>
      <c r="N873" s="929" t="s">
        <v>425</v>
      </c>
    </row>
    <row r="874" spans="1:14">
      <c r="A874" s="123">
        <v>31</v>
      </c>
      <c r="B874" s="906"/>
      <c r="C874" s="388" t="s">
        <v>3146</v>
      </c>
      <c r="D874" s="930"/>
      <c r="E874" s="930"/>
      <c r="F874" s="930"/>
      <c r="G874" s="935"/>
      <c r="H874" s="930"/>
      <c r="I874" s="935"/>
      <c r="J874" s="930"/>
      <c r="K874" s="930"/>
      <c r="L874" s="930"/>
      <c r="M874" s="939"/>
      <c r="N874" s="930"/>
    </row>
    <row r="875" spans="1:14">
      <c r="A875" s="123">
        <v>31</v>
      </c>
      <c r="B875" s="9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5"/>
      <c r="C876" s="929" t="s">
        <v>3128</v>
      </c>
      <c r="D876" s="929" t="s">
        <v>311</v>
      </c>
      <c r="E876" s="929" t="s">
        <v>675</v>
      </c>
      <c r="F876" s="934" t="s">
        <v>660</v>
      </c>
      <c r="G876" s="934" t="s">
        <v>661</v>
      </c>
      <c r="H876" s="934" t="s">
        <v>662</v>
      </c>
      <c r="I876" s="149" t="s">
        <v>3134</v>
      </c>
      <c r="J876" s="934"/>
      <c r="K876" s="934" t="s">
        <v>698</v>
      </c>
      <c r="L876" s="929" t="s">
        <v>309</v>
      </c>
      <c r="M876" s="938" t="s">
        <v>3139</v>
      </c>
      <c r="N876" s="929" t="s">
        <v>3152</v>
      </c>
    </row>
    <row r="877" spans="1:14">
      <c r="A877" s="123">
        <v>31</v>
      </c>
      <c r="B877" s="905"/>
      <c r="C877" s="930"/>
      <c r="D877" s="930"/>
      <c r="E877" s="930"/>
      <c r="F877" s="935"/>
      <c r="G877" s="935"/>
      <c r="H877" s="935"/>
      <c r="I877" s="149" t="s">
        <v>3135</v>
      </c>
      <c r="J877" s="935"/>
      <c r="K877" s="935"/>
      <c r="L877" s="930"/>
      <c r="M877" s="939"/>
      <c r="N877" s="930"/>
    </row>
    <row r="878" spans="1:14" ht="16.5" customHeight="1">
      <c r="A878" s="123">
        <v>31</v>
      </c>
      <c r="B878" s="905"/>
      <c r="C878" s="148" t="s">
        <v>3153</v>
      </c>
      <c r="D878" s="929" t="s">
        <v>311</v>
      </c>
      <c r="E878" s="929" t="s">
        <v>320</v>
      </c>
      <c r="F878" s="934" t="s">
        <v>3068</v>
      </c>
      <c r="G878" s="934" t="s">
        <v>1919</v>
      </c>
      <c r="H878" s="934" t="s">
        <v>3069</v>
      </c>
      <c r="I878" s="934" t="s">
        <v>3154</v>
      </c>
      <c r="J878" s="934"/>
      <c r="K878" s="934" t="s">
        <v>3155</v>
      </c>
      <c r="L878" s="929" t="s">
        <v>309</v>
      </c>
      <c r="M878" s="938" t="s">
        <v>3156</v>
      </c>
      <c r="N878" s="929" t="s">
        <v>3151</v>
      </c>
    </row>
    <row r="879" spans="1:14">
      <c r="A879" s="123">
        <v>31</v>
      </c>
      <c r="B879" s="905"/>
      <c r="C879" s="148" t="s">
        <v>3111</v>
      </c>
      <c r="D879" s="930"/>
      <c r="E879" s="930"/>
      <c r="F879" s="935"/>
      <c r="G879" s="935"/>
      <c r="H879" s="935"/>
      <c r="I879" s="935"/>
      <c r="J879" s="935"/>
      <c r="K879" s="935"/>
      <c r="L879" s="930"/>
      <c r="M879" s="939"/>
      <c r="N879" s="930"/>
    </row>
    <row r="880" spans="1:14">
      <c r="A880" s="123">
        <v>31</v>
      </c>
      <c r="B880" s="9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5"/>
      <c r="C883" s="111" t="s">
        <v>3166</v>
      </c>
      <c r="D883" s="929" t="s">
        <v>311</v>
      </c>
      <c r="E883" s="929" t="s">
        <v>320</v>
      </c>
      <c r="F883" s="934" t="s">
        <v>337</v>
      </c>
      <c r="G883" s="934" t="s">
        <v>3168</v>
      </c>
      <c r="H883" s="934" t="s">
        <v>3169</v>
      </c>
      <c r="I883" s="934" t="s">
        <v>3170</v>
      </c>
      <c r="J883" s="934" t="s">
        <v>3171</v>
      </c>
      <c r="K883" s="934" t="s">
        <v>3172</v>
      </c>
      <c r="L883" s="929" t="s">
        <v>309</v>
      </c>
      <c r="M883" s="938" t="s">
        <v>3173</v>
      </c>
      <c r="N883" s="929" t="s">
        <v>3136</v>
      </c>
    </row>
    <row r="884" spans="1:14">
      <c r="A884" s="123">
        <v>31</v>
      </c>
      <c r="B884" s="906"/>
      <c r="C884" s="111" t="s">
        <v>3167</v>
      </c>
      <c r="D884" s="930"/>
      <c r="E884" s="930"/>
      <c r="F884" s="935"/>
      <c r="G884" s="935"/>
      <c r="H884" s="935"/>
      <c r="I884" s="935"/>
      <c r="J884" s="935"/>
      <c r="K884" s="935"/>
      <c r="L884" s="930"/>
      <c r="M884" s="939"/>
      <c r="N884" s="930"/>
    </row>
    <row r="885" spans="1:14" ht="27">
      <c r="A885" s="123">
        <v>32</v>
      </c>
      <c r="B885" s="104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4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4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4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4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4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4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4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4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4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4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4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4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4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2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2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2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2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4"/>
      <c r="C1208" s="886" t="s">
        <v>5007</v>
      </c>
      <c r="D1208" s="888" t="s">
        <v>311</v>
      </c>
      <c r="E1208" s="888" t="s">
        <v>675</v>
      </c>
      <c r="F1208" s="886" t="s">
        <v>337</v>
      </c>
      <c r="G1208" s="886" t="s">
        <v>353</v>
      </c>
      <c r="H1208" s="886" t="s">
        <v>5008</v>
      </c>
      <c r="I1208" s="476" t="s">
        <v>5009</v>
      </c>
      <c r="J1208" s="886" t="s">
        <v>638</v>
      </c>
      <c r="K1208" s="886" t="s">
        <v>713</v>
      </c>
      <c r="L1208" s="888" t="s">
        <v>309</v>
      </c>
      <c r="M1208" s="891">
        <v>250000</v>
      </c>
      <c r="N1208" s="888" t="s">
        <v>4990</v>
      </c>
    </row>
    <row r="1209" spans="1:14">
      <c r="A1209" s="123">
        <v>2</v>
      </c>
      <c r="B1209" s="884"/>
      <c r="C1209" s="886"/>
      <c r="D1209" s="888"/>
      <c r="E1209" s="888"/>
      <c r="F1209" s="886"/>
      <c r="G1209" s="886"/>
      <c r="H1209" s="886"/>
      <c r="I1209" s="476" t="s">
        <v>5010</v>
      </c>
      <c r="J1209" s="886"/>
      <c r="K1209" s="886"/>
      <c r="L1209" s="888"/>
      <c r="M1209" s="891"/>
      <c r="N1209" s="888"/>
    </row>
    <row r="1210" spans="1:14">
      <c r="A1210" s="123">
        <v>2</v>
      </c>
      <c r="B1210" s="88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4"/>
      <c r="C1222" s="886" t="s">
        <v>5033</v>
      </c>
      <c r="D1222" s="888" t="s">
        <v>311</v>
      </c>
      <c r="E1222" s="888" t="s">
        <v>675</v>
      </c>
      <c r="F1222" s="149" t="s">
        <v>5034</v>
      </c>
      <c r="G1222" s="149" t="s">
        <v>5036</v>
      </c>
      <c r="H1222" s="886" t="s">
        <v>347</v>
      </c>
      <c r="I1222" s="149" t="s">
        <v>5038</v>
      </c>
      <c r="J1222" s="886"/>
      <c r="K1222" s="886" t="s">
        <v>705</v>
      </c>
      <c r="L1222" s="888" t="s">
        <v>309</v>
      </c>
      <c r="M1222" s="891">
        <v>500000</v>
      </c>
      <c r="N1222" s="888" t="s">
        <v>5032</v>
      </c>
    </row>
    <row r="1223" spans="1:14">
      <c r="A1223" s="123">
        <v>3</v>
      </c>
      <c r="B1223" s="884"/>
      <c r="C1223" s="886"/>
      <c r="D1223" s="888"/>
      <c r="E1223" s="888"/>
      <c r="F1223" s="149" t="s">
        <v>5035</v>
      </c>
      <c r="G1223" s="149" t="s">
        <v>5037</v>
      </c>
      <c r="H1223" s="886"/>
      <c r="I1223" s="149" t="s">
        <v>5039</v>
      </c>
      <c r="J1223" s="886"/>
      <c r="K1223" s="886"/>
      <c r="L1223" s="888"/>
      <c r="M1223" s="891"/>
      <c r="N1223" s="888"/>
    </row>
    <row r="1224" spans="1:14">
      <c r="A1224" s="123">
        <v>3</v>
      </c>
      <c r="B1224" s="88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4"/>
      <c r="C1250" s="886" t="s">
        <v>5098</v>
      </c>
      <c r="D1250" s="888" t="s">
        <v>311</v>
      </c>
      <c r="E1250" s="888" t="s">
        <v>675</v>
      </c>
      <c r="F1250" s="888" t="s">
        <v>4986</v>
      </c>
      <c r="G1250" s="888">
        <v>1017</v>
      </c>
      <c r="H1250" s="888" t="s">
        <v>347</v>
      </c>
      <c r="I1250" s="149" t="s">
        <v>5099</v>
      </c>
      <c r="J1250" s="886"/>
      <c r="K1250" s="886" t="s">
        <v>692</v>
      </c>
      <c r="L1250" s="888" t="s">
        <v>309</v>
      </c>
      <c r="M1250" s="891">
        <v>500000</v>
      </c>
      <c r="N1250" s="888" t="s">
        <v>5032</v>
      </c>
    </row>
    <row r="1251" spans="1:14">
      <c r="A1251" s="123">
        <v>5</v>
      </c>
      <c r="B1251" s="884"/>
      <c r="C1251" s="886"/>
      <c r="D1251" s="888"/>
      <c r="E1251" s="888"/>
      <c r="F1251" s="888"/>
      <c r="G1251" s="888"/>
      <c r="H1251" s="888"/>
      <c r="I1251" s="149" t="s">
        <v>5100</v>
      </c>
      <c r="J1251" s="886"/>
      <c r="K1251" s="886"/>
      <c r="L1251" s="888"/>
      <c r="M1251" s="891"/>
      <c r="N1251" s="888"/>
    </row>
    <row r="1252" spans="1:14">
      <c r="A1252" s="123">
        <v>5</v>
      </c>
      <c r="B1252" s="88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4"/>
      <c r="C1254" s="886" t="s">
        <v>5103</v>
      </c>
      <c r="D1254" s="888" t="s">
        <v>311</v>
      </c>
      <c r="E1254" s="888" t="s">
        <v>675</v>
      </c>
      <c r="F1254" s="886" t="s">
        <v>5070</v>
      </c>
      <c r="G1254" s="886">
        <v>3006</v>
      </c>
      <c r="H1254" s="886" t="s">
        <v>347</v>
      </c>
      <c r="I1254" s="476" t="s">
        <v>5104</v>
      </c>
      <c r="J1254" s="886"/>
      <c r="K1254" s="886" t="s">
        <v>705</v>
      </c>
      <c r="L1254" s="888" t="s">
        <v>309</v>
      </c>
      <c r="M1254" s="891">
        <v>500000</v>
      </c>
      <c r="N1254" s="888" t="s">
        <v>5032</v>
      </c>
    </row>
    <row r="1255" spans="1:14">
      <c r="A1255" s="123">
        <v>5</v>
      </c>
      <c r="B1255" s="884"/>
      <c r="C1255" s="886"/>
      <c r="D1255" s="888"/>
      <c r="E1255" s="888"/>
      <c r="F1255" s="886"/>
      <c r="G1255" s="886"/>
      <c r="H1255" s="886"/>
      <c r="I1255" s="476" t="s">
        <v>5105</v>
      </c>
      <c r="J1255" s="886"/>
      <c r="K1255" s="886"/>
      <c r="L1255" s="888"/>
      <c r="M1255" s="891"/>
      <c r="N1255" s="888"/>
    </row>
    <row r="1256" spans="1:14">
      <c r="A1256" s="123">
        <v>5</v>
      </c>
      <c r="B1256" s="884"/>
      <c r="C1256" s="886" t="s">
        <v>5103</v>
      </c>
      <c r="D1256" s="888" t="s">
        <v>311</v>
      </c>
      <c r="E1256" s="888" t="s">
        <v>675</v>
      </c>
      <c r="F1256" s="886" t="s">
        <v>5070</v>
      </c>
      <c r="G1256" s="886">
        <v>3006</v>
      </c>
      <c r="H1256" s="886" t="s">
        <v>347</v>
      </c>
      <c r="I1256" s="476" t="s">
        <v>5104</v>
      </c>
      <c r="J1256" s="886"/>
      <c r="K1256" s="886" t="s">
        <v>4936</v>
      </c>
      <c r="L1256" s="888" t="s">
        <v>309</v>
      </c>
      <c r="M1256" s="891">
        <v>600000</v>
      </c>
      <c r="N1256" s="888" t="s">
        <v>5032</v>
      </c>
    </row>
    <row r="1257" spans="1:14">
      <c r="A1257" s="123">
        <v>5</v>
      </c>
      <c r="B1257" s="884"/>
      <c r="C1257" s="886"/>
      <c r="D1257" s="888"/>
      <c r="E1257" s="888"/>
      <c r="F1257" s="886"/>
      <c r="G1257" s="886"/>
      <c r="H1257" s="886"/>
      <c r="I1257" s="476" t="s">
        <v>5105</v>
      </c>
      <c r="J1257" s="886"/>
      <c r="K1257" s="886"/>
      <c r="L1257" s="888"/>
      <c r="M1257" s="891"/>
      <c r="N1257" s="888"/>
    </row>
    <row r="1258" spans="1:14">
      <c r="A1258" s="123">
        <v>5</v>
      </c>
      <c r="B1258" s="88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4"/>
      <c r="C1268" s="886" t="s">
        <v>5122</v>
      </c>
      <c r="D1268" s="888" t="s">
        <v>311</v>
      </c>
      <c r="E1268" s="888" t="s">
        <v>675</v>
      </c>
      <c r="F1268" s="149" t="s">
        <v>5123</v>
      </c>
      <c r="G1268" s="475" t="s">
        <v>5125</v>
      </c>
      <c r="H1268" s="389" t="s">
        <v>347</v>
      </c>
      <c r="I1268" s="886" t="s">
        <v>5128</v>
      </c>
      <c r="J1268" s="886" t="s">
        <v>638</v>
      </c>
      <c r="K1268" s="886" t="s">
        <v>692</v>
      </c>
      <c r="L1268" s="888" t="s">
        <v>309</v>
      </c>
      <c r="M1268" s="891">
        <v>500000</v>
      </c>
      <c r="N1268" s="888" t="s">
        <v>1772</v>
      </c>
    </row>
    <row r="1269" spans="1:14">
      <c r="A1269" s="123">
        <v>6</v>
      </c>
      <c r="B1269" s="884"/>
      <c r="C1269" s="886"/>
      <c r="D1269" s="888"/>
      <c r="E1269" s="888"/>
      <c r="F1269" s="149" t="s">
        <v>5124</v>
      </c>
      <c r="G1269" s="475" t="s">
        <v>5126</v>
      </c>
      <c r="H1269" s="389" t="s">
        <v>5127</v>
      </c>
      <c r="I1269" s="886"/>
      <c r="J1269" s="886"/>
      <c r="K1269" s="886"/>
      <c r="L1269" s="888"/>
      <c r="M1269" s="891"/>
      <c r="N1269" s="888"/>
    </row>
    <row r="1270" spans="1:14" ht="24">
      <c r="A1270" s="123">
        <v>6</v>
      </c>
      <c r="B1270" s="88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4"/>
      <c r="C1289" s="885" t="s">
        <v>5158</v>
      </c>
      <c r="D1289" s="887" t="s">
        <v>311</v>
      </c>
      <c r="E1289" s="887" t="s">
        <v>675</v>
      </c>
      <c r="F1289" s="506" t="s">
        <v>5123</v>
      </c>
      <c r="G1289" s="507" t="s">
        <v>5125</v>
      </c>
      <c r="H1289" s="507" t="s">
        <v>347</v>
      </c>
      <c r="I1289" s="885" t="s">
        <v>5128</v>
      </c>
      <c r="J1289" s="885"/>
      <c r="K1289" s="885" t="s">
        <v>692</v>
      </c>
      <c r="L1289" s="887" t="s">
        <v>309</v>
      </c>
      <c r="M1289" s="890">
        <v>500000</v>
      </c>
      <c r="N1289" s="888" t="s">
        <v>5032</v>
      </c>
    </row>
    <row r="1290" spans="1:14" ht="19.5">
      <c r="A1290" s="123">
        <v>8</v>
      </c>
      <c r="B1290" s="884"/>
      <c r="C1290" s="886"/>
      <c r="D1290" s="888"/>
      <c r="E1290" s="888"/>
      <c r="F1290" s="149" t="s">
        <v>5124</v>
      </c>
      <c r="G1290" s="475" t="s">
        <v>5126</v>
      </c>
      <c r="H1290" s="477" t="s">
        <v>5127</v>
      </c>
      <c r="I1290" s="886"/>
      <c r="J1290" s="886"/>
      <c r="K1290" s="886"/>
      <c r="L1290" s="888"/>
      <c r="M1290" s="891"/>
      <c r="N1290" s="888"/>
    </row>
    <row r="1291" spans="1:14">
      <c r="A1291" s="123">
        <v>8</v>
      </c>
      <c r="B1291" s="884"/>
      <c r="C1291" s="885" t="s">
        <v>5159</v>
      </c>
      <c r="D1291" s="887" t="s">
        <v>311</v>
      </c>
      <c r="E1291" s="887" t="s">
        <v>320</v>
      </c>
      <c r="F1291" s="901" t="s">
        <v>709</v>
      </c>
      <c r="G1291" s="885" t="s">
        <v>3098</v>
      </c>
      <c r="H1291" s="885" t="s">
        <v>3099</v>
      </c>
      <c r="I1291" s="506" t="s">
        <v>5312</v>
      </c>
      <c r="J1291" s="885" t="s">
        <v>638</v>
      </c>
      <c r="K1291" s="885" t="s">
        <v>713</v>
      </c>
      <c r="L1291" s="887" t="s">
        <v>309</v>
      </c>
      <c r="M1291" s="890">
        <v>250000</v>
      </c>
      <c r="N1291" s="888" t="s">
        <v>5032</v>
      </c>
    </row>
    <row r="1292" spans="1:14">
      <c r="A1292" s="123">
        <v>8</v>
      </c>
      <c r="B1292" s="884"/>
      <c r="C1292" s="886"/>
      <c r="D1292" s="888"/>
      <c r="E1292" s="888"/>
      <c r="F1292" s="902"/>
      <c r="G1292" s="886"/>
      <c r="H1292" s="886"/>
      <c r="I1292" s="149" t="s">
        <v>5160</v>
      </c>
      <c r="J1292" s="886"/>
      <c r="K1292" s="886"/>
      <c r="L1292" s="888"/>
      <c r="M1292" s="891"/>
      <c r="N1292" s="888"/>
    </row>
    <row r="1293" spans="1:14">
      <c r="A1293" s="123">
        <v>8</v>
      </c>
      <c r="B1293" s="884"/>
      <c r="C1293" s="885" t="s">
        <v>5161</v>
      </c>
      <c r="D1293" s="887" t="s">
        <v>311</v>
      </c>
      <c r="E1293" s="887" t="s">
        <v>320</v>
      </c>
      <c r="F1293" s="885" t="s">
        <v>337</v>
      </c>
      <c r="G1293" s="885" t="s">
        <v>3168</v>
      </c>
      <c r="H1293" s="885" t="s">
        <v>3057</v>
      </c>
      <c r="I1293" s="506" t="s">
        <v>5313</v>
      </c>
      <c r="J1293" s="885" t="s">
        <v>638</v>
      </c>
      <c r="K1293" s="885" t="s">
        <v>692</v>
      </c>
      <c r="L1293" s="887" t="s">
        <v>309</v>
      </c>
      <c r="M1293" s="890">
        <v>500000</v>
      </c>
      <c r="N1293" s="888" t="s">
        <v>1206</v>
      </c>
    </row>
    <row r="1294" spans="1:14">
      <c r="A1294" s="123">
        <v>8</v>
      </c>
      <c r="B1294" s="884"/>
      <c r="C1294" s="886"/>
      <c r="D1294" s="888"/>
      <c r="E1294" s="888"/>
      <c r="F1294" s="886"/>
      <c r="G1294" s="886"/>
      <c r="H1294" s="886"/>
      <c r="I1294" s="149" t="s">
        <v>5162</v>
      </c>
      <c r="J1294" s="886"/>
      <c r="K1294" s="886"/>
      <c r="L1294" s="888"/>
      <c r="M1294" s="891"/>
      <c r="N1294" s="888"/>
    </row>
    <row r="1295" spans="1:14">
      <c r="A1295" s="123">
        <v>9</v>
      </c>
      <c r="B1295" s="88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4"/>
      <c r="C1304" s="885" t="s">
        <v>5175</v>
      </c>
      <c r="D1304" s="887" t="s">
        <v>311</v>
      </c>
      <c r="E1304" s="887" t="s">
        <v>320</v>
      </c>
      <c r="F1304" s="885" t="s">
        <v>337</v>
      </c>
      <c r="G1304" s="885" t="s">
        <v>3168</v>
      </c>
      <c r="H1304" s="885" t="s">
        <v>3057</v>
      </c>
      <c r="I1304" s="510" t="s">
        <v>5176</v>
      </c>
      <c r="J1304" s="885" t="s">
        <v>638</v>
      </c>
      <c r="K1304" s="885" t="s">
        <v>713</v>
      </c>
      <c r="L1304" s="887" t="s">
        <v>309</v>
      </c>
      <c r="M1304" s="890">
        <v>250000</v>
      </c>
      <c r="N1304" s="888" t="s">
        <v>5032</v>
      </c>
    </row>
    <row r="1305" spans="1:14">
      <c r="A1305" s="123">
        <v>9</v>
      </c>
      <c r="B1305" s="884"/>
      <c r="C1305" s="886"/>
      <c r="D1305" s="888"/>
      <c r="E1305" s="888"/>
      <c r="F1305" s="886"/>
      <c r="G1305" s="886"/>
      <c r="H1305" s="886"/>
      <c r="I1305" s="476" t="s">
        <v>5177</v>
      </c>
      <c r="J1305" s="886"/>
      <c r="K1305" s="886"/>
      <c r="L1305" s="888"/>
      <c r="M1305" s="891"/>
      <c r="N1305" s="888"/>
    </row>
    <row r="1306" spans="1:14">
      <c r="A1306" s="123">
        <v>9</v>
      </c>
      <c r="B1306" s="884"/>
      <c r="C1306" s="885" t="s">
        <v>5175</v>
      </c>
      <c r="D1306" s="887" t="s">
        <v>311</v>
      </c>
      <c r="E1306" s="887" t="s">
        <v>320</v>
      </c>
      <c r="F1306" s="885" t="s">
        <v>5178</v>
      </c>
      <c r="G1306" s="506" t="s">
        <v>689</v>
      </c>
      <c r="H1306" s="885" t="s">
        <v>5180</v>
      </c>
      <c r="I1306" s="506" t="s">
        <v>5315</v>
      </c>
      <c r="J1306" s="885"/>
      <c r="K1306" s="885" t="s">
        <v>713</v>
      </c>
      <c r="L1306" s="887" t="s">
        <v>309</v>
      </c>
      <c r="M1306" s="890">
        <v>250000</v>
      </c>
      <c r="N1306" s="888" t="s">
        <v>5032</v>
      </c>
    </row>
    <row r="1307" spans="1:14">
      <c r="A1307" s="123">
        <v>9</v>
      </c>
      <c r="B1307" s="884"/>
      <c r="C1307" s="886"/>
      <c r="D1307" s="888"/>
      <c r="E1307" s="888"/>
      <c r="F1307" s="886"/>
      <c r="G1307" s="149" t="s">
        <v>5179</v>
      </c>
      <c r="H1307" s="886"/>
      <c r="I1307" s="149" t="s">
        <v>5181</v>
      </c>
      <c r="J1307" s="886"/>
      <c r="K1307" s="886"/>
      <c r="L1307" s="888"/>
      <c r="M1307" s="891"/>
      <c r="N1307" s="888"/>
    </row>
    <row r="1308" spans="1:14">
      <c r="A1308" s="123">
        <v>9</v>
      </c>
      <c r="B1308" s="88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4"/>
      <c r="C1309" s="885" t="s">
        <v>5183</v>
      </c>
      <c r="D1309" s="887" t="s">
        <v>311</v>
      </c>
      <c r="E1309" s="887" t="s">
        <v>320</v>
      </c>
      <c r="F1309" s="885" t="s">
        <v>337</v>
      </c>
      <c r="G1309" s="506" t="s">
        <v>3401</v>
      </c>
      <c r="H1309" s="885" t="s">
        <v>5029</v>
      </c>
      <c r="I1309" s="885" t="s">
        <v>5316</v>
      </c>
      <c r="J1309" s="885"/>
      <c r="K1309" s="885" t="s">
        <v>692</v>
      </c>
      <c r="L1309" s="887" t="s">
        <v>309</v>
      </c>
      <c r="M1309" s="890">
        <v>500000</v>
      </c>
      <c r="N1309" s="888" t="s">
        <v>5032</v>
      </c>
    </row>
    <row r="1310" spans="1:14">
      <c r="A1310" s="123">
        <v>9</v>
      </c>
      <c r="B1310" s="884"/>
      <c r="C1310" s="886"/>
      <c r="D1310" s="888"/>
      <c r="E1310" s="888"/>
      <c r="F1310" s="886"/>
      <c r="G1310" s="149" t="s">
        <v>5184</v>
      </c>
      <c r="H1310" s="886"/>
      <c r="I1310" s="886"/>
      <c r="J1310" s="886"/>
      <c r="K1310" s="886"/>
      <c r="L1310" s="888"/>
      <c r="M1310" s="891"/>
      <c r="N1310" s="888"/>
    </row>
    <row r="1311" spans="1:14" ht="24">
      <c r="A1311" s="123">
        <v>9</v>
      </c>
      <c r="B1311" s="88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4"/>
      <c r="C1312" s="885" t="s">
        <v>5187</v>
      </c>
      <c r="D1312" s="887" t="s">
        <v>311</v>
      </c>
      <c r="E1312" s="887" t="s">
        <v>675</v>
      </c>
      <c r="F1312" s="885" t="s">
        <v>5188</v>
      </c>
      <c r="G1312" s="507" t="s">
        <v>1919</v>
      </c>
      <c r="H1312" s="885" t="s">
        <v>347</v>
      </c>
      <c r="I1312" s="885" t="s">
        <v>5319</v>
      </c>
      <c r="J1312" s="885"/>
      <c r="K1312" s="885" t="s">
        <v>692</v>
      </c>
      <c r="L1312" s="887" t="s">
        <v>309</v>
      </c>
      <c r="M1312" s="899">
        <v>500000</v>
      </c>
      <c r="N1312" s="888" t="s">
        <v>1925</v>
      </c>
    </row>
    <row r="1313" spans="1:14">
      <c r="A1313" s="123">
        <v>9</v>
      </c>
      <c r="B1313" s="884"/>
      <c r="C1313" s="886"/>
      <c r="D1313" s="888"/>
      <c r="E1313" s="888"/>
      <c r="F1313" s="886"/>
      <c r="G1313" s="475" t="s">
        <v>5189</v>
      </c>
      <c r="H1313" s="886"/>
      <c r="I1313" s="886"/>
      <c r="J1313" s="886"/>
      <c r="K1313" s="886"/>
      <c r="L1313" s="888"/>
      <c r="M1313" s="900"/>
      <c r="N1313" s="888"/>
    </row>
    <row r="1314" spans="1:14">
      <c r="A1314" s="123">
        <v>10</v>
      </c>
      <c r="B1314" s="88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4"/>
      <c r="C1321" s="886" t="s">
        <v>5201</v>
      </c>
      <c r="D1321" s="888" t="s">
        <v>311</v>
      </c>
      <c r="E1321" s="888" t="s">
        <v>320</v>
      </c>
      <c r="F1321" s="886" t="s">
        <v>337</v>
      </c>
      <c r="G1321" s="886" t="s">
        <v>3168</v>
      </c>
      <c r="H1321" s="886" t="s">
        <v>3057</v>
      </c>
      <c r="I1321" s="476" t="s">
        <v>5176</v>
      </c>
      <c r="J1321" s="886" t="s">
        <v>638</v>
      </c>
      <c r="K1321" s="886" t="s">
        <v>705</v>
      </c>
      <c r="L1321" s="888" t="s">
        <v>309</v>
      </c>
      <c r="M1321" s="891">
        <v>500000</v>
      </c>
      <c r="N1321" s="888" t="s">
        <v>1206</v>
      </c>
    </row>
    <row r="1322" spans="1:14">
      <c r="A1322" s="123">
        <v>10</v>
      </c>
      <c r="B1322" s="884"/>
      <c r="C1322" s="886"/>
      <c r="D1322" s="888"/>
      <c r="E1322" s="888"/>
      <c r="F1322" s="886"/>
      <c r="G1322" s="886"/>
      <c r="H1322" s="886"/>
      <c r="I1322" s="476" t="s">
        <v>5177</v>
      </c>
      <c r="J1322" s="886"/>
      <c r="K1322" s="886"/>
      <c r="L1322" s="888"/>
      <c r="M1322" s="891"/>
      <c r="N1322" s="888"/>
    </row>
    <row r="1323" spans="1:14">
      <c r="A1323" s="123">
        <v>10</v>
      </c>
      <c r="B1323" s="88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4"/>
      <c r="C1326" s="886" t="s">
        <v>5202</v>
      </c>
      <c r="D1326" s="888" t="s">
        <v>311</v>
      </c>
      <c r="E1326" s="888" t="s">
        <v>320</v>
      </c>
      <c r="F1326" s="886" t="s">
        <v>337</v>
      </c>
      <c r="G1326" s="886" t="s">
        <v>3168</v>
      </c>
      <c r="H1326" s="886" t="s">
        <v>3057</v>
      </c>
      <c r="I1326" s="476" t="s">
        <v>5176</v>
      </c>
      <c r="J1326" s="886"/>
      <c r="K1326" s="886" t="s">
        <v>705</v>
      </c>
      <c r="L1326" s="888" t="s">
        <v>309</v>
      </c>
      <c r="M1326" s="891">
        <v>500000</v>
      </c>
      <c r="N1326" s="888" t="s">
        <v>1206</v>
      </c>
    </row>
    <row r="1327" spans="1:14">
      <c r="A1327" s="123">
        <v>10</v>
      </c>
      <c r="B1327" s="884"/>
      <c r="C1327" s="886"/>
      <c r="D1327" s="888"/>
      <c r="E1327" s="888"/>
      <c r="F1327" s="886"/>
      <c r="G1327" s="886"/>
      <c r="H1327" s="886"/>
      <c r="I1327" s="476" t="s">
        <v>5177</v>
      </c>
      <c r="J1327" s="886"/>
      <c r="K1327" s="886"/>
      <c r="L1327" s="888"/>
      <c r="M1327" s="891"/>
      <c r="N1327" s="888"/>
    </row>
    <row r="1328" spans="1:14" ht="25.5">
      <c r="A1328" s="123">
        <v>10</v>
      </c>
      <c r="B1328" s="88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4"/>
      <c r="C1329" s="885" t="s">
        <v>5209</v>
      </c>
      <c r="D1329" s="887" t="s">
        <v>311</v>
      </c>
      <c r="E1329" s="887" t="s">
        <v>675</v>
      </c>
      <c r="F1329" s="506" t="s">
        <v>5210</v>
      </c>
      <c r="G1329" s="885" t="s">
        <v>5212</v>
      </c>
      <c r="H1329" s="885" t="s">
        <v>662</v>
      </c>
      <c r="I1329" s="885" t="s">
        <v>5321</v>
      </c>
      <c r="J1329" s="885" t="s">
        <v>638</v>
      </c>
      <c r="K1329" s="885" t="s">
        <v>713</v>
      </c>
      <c r="L1329" s="887" t="s">
        <v>309</v>
      </c>
      <c r="M1329" s="890">
        <v>250000</v>
      </c>
      <c r="N1329" s="888" t="s">
        <v>5032</v>
      </c>
    </row>
    <row r="1330" spans="1:14">
      <c r="A1330" s="123">
        <v>10</v>
      </c>
      <c r="B1330" s="884"/>
      <c r="C1330" s="886"/>
      <c r="D1330" s="888"/>
      <c r="E1330" s="888"/>
      <c r="F1330" s="149" t="s">
        <v>5211</v>
      </c>
      <c r="G1330" s="886"/>
      <c r="H1330" s="886"/>
      <c r="I1330" s="886"/>
      <c r="J1330" s="886"/>
      <c r="K1330" s="886"/>
      <c r="L1330" s="888"/>
      <c r="M1330" s="891"/>
      <c r="N1330" s="888"/>
    </row>
    <row r="1331" spans="1:14">
      <c r="A1331" s="123">
        <v>10</v>
      </c>
      <c r="B1331" s="884"/>
      <c r="C1331" s="885" t="s">
        <v>5213</v>
      </c>
      <c r="D1331" s="887" t="s">
        <v>311</v>
      </c>
      <c r="E1331" s="887" t="s">
        <v>675</v>
      </c>
      <c r="F1331" s="885" t="s">
        <v>5214</v>
      </c>
      <c r="G1331" s="507" t="s">
        <v>5126</v>
      </c>
      <c r="H1331" s="889" t="s">
        <v>347</v>
      </c>
      <c r="I1331" s="506" t="s">
        <v>5322</v>
      </c>
      <c r="J1331" s="885"/>
      <c r="K1331" s="885" t="s">
        <v>692</v>
      </c>
      <c r="L1331" s="887" t="s">
        <v>309</v>
      </c>
      <c r="M1331" s="890">
        <v>500000</v>
      </c>
      <c r="N1331" s="888" t="s">
        <v>5032</v>
      </c>
    </row>
    <row r="1332" spans="1:14">
      <c r="A1332" s="123">
        <v>10</v>
      </c>
      <c r="B1332" s="884"/>
      <c r="C1332" s="886"/>
      <c r="D1332" s="888"/>
      <c r="E1332" s="888"/>
      <c r="F1332" s="886"/>
      <c r="G1332" s="475" t="s">
        <v>5215</v>
      </c>
      <c r="H1332" s="883"/>
      <c r="I1332" s="149" t="s">
        <v>5217</v>
      </c>
      <c r="J1332" s="886"/>
      <c r="K1332" s="886"/>
      <c r="L1332" s="888"/>
      <c r="M1332" s="891"/>
      <c r="N1332" s="888"/>
    </row>
    <row r="1333" spans="1:14">
      <c r="A1333" s="123">
        <v>11</v>
      </c>
      <c r="B1333" s="88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4" t="s">
        <v>5163</v>
      </c>
      <c r="C1339" s="889" t="s">
        <v>5218</v>
      </c>
      <c r="D1339" s="898" t="s">
        <v>311</v>
      </c>
      <c r="E1339" s="898" t="s">
        <v>675</v>
      </c>
      <c r="F1339" s="889" t="s">
        <v>5214</v>
      </c>
      <c r="G1339" s="510" t="s">
        <v>5126</v>
      </c>
      <c r="H1339" s="889" t="s">
        <v>347</v>
      </c>
      <c r="I1339" s="510" t="s">
        <v>5216</v>
      </c>
      <c r="J1339" s="889"/>
      <c r="K1339" s="889" t="s">
        <v>692</v>
      </c>
      <c r="L1339" s="898" t="s">
        <v>309</v>
      </c>
      <c r="M1339" s="881">
        <v>500000</v>
      </c>
      <c r="N1339" s="883" t="s">
        <v>5225</v>
      </c>
    </row>
    <row r="1340" spans="1:14">
      <c r="A1340" s="123">
        <v>11</v>
      </c>
      <c r="B1340" s="884"/>
      <c r="C1340" s="883"/>
      <c r="D1340" s="896"/>
      <c r="E1340" s="896"/>
      <c r="F1340" s="883"/>
      <c r="G1340" s="476" t="s">
        <v>5215</v>
      </c>
      <c r="H1340" s="883"/>
      <c r="I1340" s="476" t="s">
        <v>5217</v>
      </c>
      <c r="J1340" s="883"/>
      <c r="K1340" s="883"/>
      <c r="L1340" s="896"/>
      <c r="M1340" s="882"/>
      <c r="N1340" s="883"/>
    </row>
    <row r="1341" spans="1:14">
      <c r="A1341" s="123">
        <v>11</v>
      </c>
      <c r="B1341" s="88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8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96" t="s">
        <v>5443</v>
      </c>
    </row>
    <row r="1370" spans="1:14">
      <c r="A1370" s="123">
        <v>14</v>
      </c>
      <c r="B1370" s="8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96"/>
    </row>
    <row r="1371" spans="1:14">
      <c r="A1371" s="123">
        <v>14</v>
      </c>
      <c r="B1371" s="89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9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9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9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9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9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8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8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8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8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8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8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8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8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8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8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8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8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8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8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8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6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06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06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06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06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06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06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06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5"/>
      <c r="C1439" s="1048" t="s">
        <v>5860</v>
      </c>
      <c r="D1439" s="1049" t="s">
        <v>311</v>
      </c>
      <c r="E1439" s="1049" t="s">
        <v>320</v>
      </c>
      <c r="F1439" s="1050" t="s">
        <v>5188</v>
      </c>
      <c r="G1439" s="658" t="s">
        <v>1919</v>
      </c>
      <c r="H1439" s="1050" t="s">
        <v>347</v>
      </c>
      <c r="I1439" s="1050" t="s">
        <v>5870</v>
      </c>
      <c r="J1439" s="1050"/>
      <c r="K1439" s="1050" t="s">
        <v>692</v>
      </c>
      <c r="L1439" s="1049" t="s">
        <v>309</v>
      </c>
      <c r="M1439" s="1064">
        <v>500000</v>
      </c>
      <c r="N1439" s="1051"/>
    </row>
    <row r="1440" spans="1:14">
      <c r="A1440" s="689">
        <v>20</v>
      </c>
      <c r="B1440" s="905"/>
      <c r="C1440" s="1048"/>
      <c r="D1440" s="1049"/>
      <c r="E1440" s="1049"/>
      <c r="F1440" s="1050"/>
      <c r="G1440" s="658" t="s">
        <v>5189</v>
      </c>
      <c r="H1440" s="1050"/>
      <c r="I1440" s="1050"/>
      <c r="J1440" s="1050"/>
      <c r="K1440" s="1050"/>
      <c r="L1440" s="1049"/>
      <c r="M1440" s="1064"/>
      <c r="N1440" s="1051"/>
    </row>
    <row r="1441" spans="1:14" ht="24">
      <c r="A1441" s="689">
        <v>20</v>
      </c>
      <c r="B1441" s="90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10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10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10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10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10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10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10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10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10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10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10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54" t="s">
        <v>5942</v>
      </c>
    </row>
    <row r="1454" spans="1:14">
      <c r="A1454" s="691">
        <v>22</v>
      </c>
      <c r="B1454" s="10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55"/>
    </row>
    <row r="1455" spans="1:14">
      <c r="A1455" s="691">
        <v>22</v>
      </c>
      <c r="B1455" s="10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57" t="s">
        <v>3274</v>
      </c>
      <c r="K1459" s="1057" t="s">
        <v>3454</v>
      </c>
      <c r="L1459" s="646" t="s">
        <v>3265</v>
      </c>
      <c r="M1459" s="1059">
        <v>250000</v>
      </c>
      <c r="N1459" s="688" t="s">
        <v>5964</v>
      </c>
    </row>
    <row r="1460" spans="1:14">
      <c r="A1460" s="691">
        <v>22</v>
      </c>
      <c r="B1460" s="10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58"/>
      <c r="K1460" s="1058"/>
      <c r="L1460" s="646" t="s">
        <v>3265</v>
      </c>
      <c r="M1460" s="1060"/>
      <c r="N1460" s="688" t="s">
        <v>5965</v>
      </c>
    </row>
    <row r="1461" spans="1:14">
      <c r="A1461" s="691">
        <v>22</v>
      </c>
      <c r="B1461" s="10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61" t="s">
        <v>5920</v>
      </c>
      <c r="L1464" s="646" t="s">
        <v>15</v>
      </c>
      <c r="M1464" s="1059">
        <v>500000</v>
      </c>
      <c r="N1464" s="688" t="s">
        <v>5969</v>
      </c>
    </row>
    <row r="1465" spans="1:14">
      <c r="A1465" s="691">
        <v>22</v>
      </c>
      <c r="B1465" s="10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62"/>
      <c r="L1465" s="646" t="s">
        <v>15</v>
      </c>
      <c r="M1465" s="1060"/>
      <c r="N1465" s="688" t="s">
        <v>5970</v>
      </c>
    </row>
    <row r="1466" spans="1:14">
      <c r="A1466" s="689">
        <v>23</v>
      </c>
      <c r="B1466" s="10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10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10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10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10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10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10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10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10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46"/>
    </row>
    <row r="1475" spans="1:14" ht="27">
      <c r="A1475" s="689">
        <v>23</v>
      </c>
      <c r="B1475" s="10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74"/>
      <c r="K1475" s="1074"/>
      <c r="L1475" s="136" t="s">
        <v>15</v>
      </c>
      <c r="M1475" s="1075"/>
      <c r="N1475" s="646"/>
    </row>
    <row r="1476" spans="1:14">
      <c r="A1476" s="689">
        <v>23</v>
      </c>
      <c r="B1476" s="10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10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10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10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10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10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10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10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10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10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10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10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10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10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10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10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10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10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10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10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10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10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10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10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10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10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10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10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10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10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10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10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10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06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06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06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06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06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06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06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06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06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06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06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06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06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06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06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06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06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06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06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06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06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06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06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06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10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10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10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10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10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10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10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10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104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104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104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104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104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104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10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10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10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10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10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10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10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78" t="s">
        <v>6410</v>
      </c>
      <c r="L1553" s="632" t="s">
        <v>6349</v>
      </c>
      <c r="M1553" s="1059">
        <v>250000</v>
      </c>
      <c r="N1553" s="688" t="s">
        <v>6437</v>
      </c>
    </row>
    <row r="1554" spans="1:14">
      <c r="A1554" s="691">
        <v>27</v>
      </c>
      <c r="B1554" s="10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79"/>
      <c r="L1554" s="632" t="s">
        <v>15</v>
      </c>
      <c r="M1554" s="1060"/>
      <c r="N1554" s="688" t="s">
        <v>6438</v>
      </c>
    </row>
    <row r="1555" spans="1:14">
      <c r="A1555" s="691">
        <v>27</v>
      </c>
      <c r="B1555" s="10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10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06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06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06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06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06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06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06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71" t="s">
        <v>686</v>
      </c>
      <c r="L1563" s="125" t="s">
        <v>15</v>
      </c>
      <c r="M1563" s="1059">
        <v>250000</v>
      </c>
      <c r="N1563" s="688" t="s">
        <v>393</v>
      </c>
    </row>
    <row r="1564" spans="1:14">
      <c r="A1564" s="689">
        <v>28</v>
      </c>
      <c r="B1564" s="106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76"/>
      <c r="L1564" s="125" t="s">
        <v>15</v>
      </c>
      <c r="M1564" s="1077"/>
      <c r="N1564" s="688" t="s">
        <v>128</v>
      </c>
    </row>
    <row r="1565" spans="1:14" ht="27">
      <c r="A1565" s="689">
        <v>28</v>
      </c>
      <c r="B1565" s="106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72"/>
      <c r="L1565" s="125" t="s">
        <v>15</v>
      </c>
      <c r="M1565" s="1060"/>
      <c r="N1565" s="688" t="s">
        <v>393</v>
      </c>
    </row>
    <row r="1566" spans="1:14">
      <c r="A1566" s="689">
        <v>28</v>
      </c>
      <c r="B1566" s="106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06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06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06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71" t="s">
        <v>1113</v>
      </c>
      <c r="L1571" s="125" t="s">
        <v>15</v>
      </c>
      <c r="M1571" s="1059">
        <v>750000</v>
      </c>
      <c r="N1571" s="1067" t="s">
        <v>6608</v>
      </c>
    </row>
    <row r="1572" spans="1:14">
      <c r="A1572" s="689">
        <v>29</v>
      </c>
      <c r="B1572" s="10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72"/>
      <c r="L1572" s="125" t="s">
        <v>15</v>
      </c>
      <c r="M1572" s="1060"/>
      <c r="N1572" s="1068"/>
    </row>
    <row r="1573" spans="1:14" ht="27">
      <c r="A1573" s="689">
        <v>29</v>
      </c>
      <c r="B1573" s="10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69" t="s">
        <v>41</v>
      </c>
      <c r="L1576" s="136" t="s">
        <v>15</v>
      </c>
      <c r="M1576" s="1059">
        <v>250000</v>
      </c>
      <c r="N1576" s="646" t="s">
        <v>6615</v>
      </c>
    </row>
    <row r="1577" spans="1:14">
      <c r="A1577" s="689">
        <v>29</v>
      </c>
      <c r="B1577" s="10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70"/>
      <c r="L1577" s="136" t="s">
        <v>15</v>
      </c>
      <c r="M1577" s="1060"/>
      <c r="N1577" s="646" t="s">
        <v>6616</v>
      </c>
    </row>
    <row r="1578" spans="1:14">
      <c r="A1578" s="689">
        <v>29</v>
      </c>
      <c r="B1578" s="10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71" t="s">
        <v>686</v>
      </c>
      <c r="L1581" s="125" t="s">
        <v>15</v>
      </c>
      <c r="M1581" s="1059">
        <v>250000</v>
      </c>
      <c r="N1581" s="646" t="s">
        <v>6737</v>
      </c>
    </row>
    <row r="1582" spans="1:14">
      <c r="A1582" s="689">
        <v>29</v>
      </c>
      <c r="B1582" s="10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72"/>
      <c r="L1582" s="125" t="s">
        <v>15</v>
      </c>
      <c r="M1582" s="1060"/>
      <c r="N1582" s="646" t="s">
        <v>6620</v>
      </c>
    </row>
    <row r="1583" spans="1:14">
      <c r="A1583" s="689">
        <v>29</v>
      </c>
      <c r="B1583" s="10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71" t="s">
        <v>686</v>
      </c>
      <c r="L1583" s="125" t="s">
        <v>15</v>
      </c>
      <c r="M1583" s="1059">
        <v>250000</v>
      </c>
      <c r="N1583" s="646" t="s">
        <v>6737</v>
      </c>
    </row>
    <row r="1584" spans="1:14">
      <c r="A1584" s="689">
        <v>29</v>
      </c>
      <c r="B1584" s="10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72"/>
      <c r="L1584" s="125" t="s">
        <v>15</v>
      </c>
      <c r="M1584" s="1060"/>
      <c r="N1584" s="646" t="s">
        <v>6621</v>
      </c>
    </row>
    <row r="1585" spans="1:14">
      <c r="A1585" s="689">
        <v>30</v>
      </c>
      <c r="B1585" s="104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104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10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10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10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10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10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10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10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67" t="s">
        <v>6721</v>
      </c>
    </row>
    <row r="1595" spans="1:14">
      <c r="A1595" s="689">
        <v>31</v>
      </c>
      <c r="B1595" s="10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73"/>
    </row>
    <row r="1596" spans="1:14">
      <c r="A1596" s="689">
        <v>31</v>
      </c>
      <c r="B1596" s="10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73"/>
    </row>
    <row r="1597" spans="1:14">
      <c r="A1597" s="689">
        <v>31</v>
      </c>
      <c r="B1597" s="10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73"/>
    </row>
    <row r="1598" spans="1:14">
      <c r="A1598" s="689">
        <v>31</v>
      </c>
      <c r="B1598" s="10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68"/>
    </row>
    <row r="1599" spans="1:14">
      <c r="A1599" s="689">
        <v>31</v>
      </c>
      <c r="B1599" s="10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104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104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104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104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10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10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10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10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10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10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10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10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10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10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10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10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10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10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10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10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10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10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104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104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104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104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104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104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10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10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104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104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104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104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104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104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10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67" t="s">
        <v>7020</v>
      </c>
    </row>
    <row r="1637" spans="1:14">
      <c r="A1637" s="804">
        <v>35</v>
      </c>
      <c r="B1637" s="10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68"/>
    </row>
    <row r="1638" spans="1:14">
      <c r="A1638" s="804">
        <v>35</v>
      </c>
      <c r="B1638" s="1047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10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1047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1047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10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1047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10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10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104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1047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1047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1047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1047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1047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10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1047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1047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71" t="s">
        <v>3708</v>
      </c>
      <c r="L1654" s="125" t="s">
        <v>15</v>
      </c>
      <c r="M1654" s="1059">
        <v>250000</v>
      </c>
      <c r="N1654" s="646" t="s">
        <v>5969</v>
      </c>
    </row>
    <row r="1655" spans="1:14">
      <c r="A1655" s="804">
        <v>36</v>
      </c>
      <c r="B1655" s="1047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72"/>
      <c r="L1655" s="125" t="s">
        <v>15</v>
      </c>
      <c r="M1655" s="1060"/>
      <c r="N1655" s="646" t="s">
        <v>3779</v>
      </c>
    </row>
    <row r="1656" spans="1:14">
      <c r="A1656" s="804">
        <v>36</v>
      </c>
      <c r="B1656" s="10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1047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71" t="s">
        <v>3708</v>
      </c>
      <c r="L1657" s="125" t="s">
        <v>15</v>
      </c>
      <c r="M1657" s="1059">
        <v>250000</v>
      </c>
      <c r="N1657" s="646" t="s">
        <v>3779</v>
      </c>
    </row>
    <row r="1658" spans="1:14">
      <c r="A1658" s="804">
        <v>36</v>
      </c>
      <c r="B1658" s="1047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72"/>
      <c r="L1658" s="125" t="s">
        <v>15</v>
      </c>
      <c r="M1658" s="1060"/>
      <c r="N1658" s="646" t="s">
        <v>3779</v>
      </c>
    </row>
    <row r="1659" spans="1:14">
      <c r="A1659" s="837">
        <v>36</v>
      </c>
      <c r="B1659" s="1047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92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2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2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3"/>
      <c r="C1665" s="852" t="s">
        <v>7177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2"/>
      <c r="C1666" s="851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2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2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2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92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92"/>
      <c r="C1675" s="399" t="s">
        <v>7236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7234</v>
      </c>
      <c r="L1675" s="698" t="s">
        <v>7235</v>
      </c>
      <c r="M1675" s="833">
        <v>750000</v>
      </c>
      <c r="N1675" s="646"/>
    </row>
    <row r="1676" spans="1:14" ht="27">
      <c r="A1676" s="838">
        <v>38</v>
      </c>
      <c r="B1676" s="892"/>
      <c r="C1676" s="399" t="s">
        <v>7236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7237</v>
      </c>
      <c r="J1676" s="633"/>
      <c r="K1676" s="834" t="s">
        <v>7238</v>
      </c>
      <c r="L1676" s="698" t="s">
        <v>7235</v>
      </c>
      <c r="M1676" s="833">
        <v>750000</v>
      </c>
      <c r="N1676" s="646"/>
    </row>
    <row r="1677" spans="1:14" ht="27">
      <c r="A1677" s="838">
        <v>38</v>
      </c>
      <c r="B1677" s="892"/>
      <c r="C1677" s="399" t="s">
        <v>7236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7238</v>
      </c>
      <c r="L1677" s="698" t="s">
        <v>7235</v>
      </c>
      <c r="M1677" s="833">
        <v>750000</v>
      </c>
      <c r="N1677" s="646"/>
    </row>
    <row r="1678" spans="1:14" ht="27">
      <c r="A1678" s="838">
        <v>38</v>
      </c>
      <c r="B1678" s="89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93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7241</v>
      </c>
    </row>
    <row r="1680" spans="1:14" ht="27">
      <c r="A1680" s="1176">
        <v>39</v>
      </c>
      <c r="B1680" s="1047" t="s">
        <v>20</v>
      </c>
      <c r="C1680" s="399" t="s">
        <v>7282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1176">
        <v>39</v>
      </c>
      <c r="B1681" s="1047"/>
      <c r="C1681" s="399" t="s">
        <v>7282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7283</v>
      </c>
      <c r="L1681" s="698" t="s">
        <v>209</v>
      </c>
      <c r="M1681" s="858">
        <f>250000*5</f>
        <v>1250000</v>
      </c>
      <c r="N1681" s="646"/>
    </row>
    <row r="1682" spans="1:14" ht="27">
      <c r="A1682" s="1176">
        <v>39</v>
      </c>
      <c r="B1682" s="1047"/>
      <c r="C1682" s="399" t="s">
        <v>7284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1176">
        <v>39</v>
      </c>
      <c r="B1683" s="1047"/>
      <c r="C1683" s="399" t="s">
        <v>7285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7286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>
      <c r="A1684" s="1176">
        <v>39</v>
      </c>
      <c r="B1684" s="1047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7281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>
      <c r="A1685" s="1176">
        <v>39</v>
      </c>
      <c r="B1685" s="1047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>
      <c r="A1686" s="1176">
        <v>39</v>
      </c>
      <c r="B1686" s="1047"/>
      <c r="C1686" s="1047" t="s">
        <v>4879</v>
      </c>
      <c r="D1686" s="1047"/>
      <c r="E1686" s="1047"/>
      <c r="F1686" s="1047"/>
      <c r="G1686" s="1047"/>
      <c r="H1686" s="1047"/>
      <c r="I1686" s="1047"/>
      <c r="J1686" s="1047"/>
      <c r="K1686" s="1047"/>
      <c r="L1686" s="1047"/>
      <c r="M1686" s="724">
        <f>SUM(M1684:M1685)</f>
        <v>1500000</v>
      </c>
      <c r="N1686" s="646"/>
    </row>
  </sheetData>
  <autoFilter ref="A1:N1686"/>
  <mergeCells count="1099"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82" t="s">
        <v>4857</v>
      </c>
      <c r="D10" s="1082"/>
    </row>
    <row r="11" spans="1:4">
      <c r="A11" s="589" t="s">
        <v>4858</v>
      </c>
      <c r="B11" s="589">
        <v>4</v>
      </c>
      <c r="C11" s="1083">
        <f>'사전품의양식 (12)'!L11</f>
        <v>4000000</v>
      </c>
      <c r="D11" s="1083"/>
    </row>
    <row r="12" spans="1:4">
      <c r="A12" s="589" t="s">
        <v>4859</v>
      </c>
      <c r="B12" s="589">
        <v>2</v>
      </c>
      <c r="C12" s="1083">
        <f>'사전품의양식 (12)'!L14</f>
        <v>1000000</v>
      </c>
      <c r="D12" s="1083"/>
    </row>
    <row r="13" spans="1:4">
      <c r="A13" s="591" t="s">
        <v>53</v>
      </c>
      <c r="B13" s="591">
        <f>SUM(B11:B12)</f>
        <v>6</v>
      </c>
      <c r="C13" s="1084">
        <f>SUM(C11:C12)</f>
        <v>5000000</v>
      </c>
      <c r="D13" s="108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5" t="s">
        <v>4872</v>
      </c>
      <c r="D24" s="1086"/>
      <c r="E24" s="839"/>
    </row>
    <row r="25" spans="1:5">
      <c r="A25" s="842" t="s">
        <v>4873</v>
      </c>
      <c r="B25" s="827" t="s">
        <v>4874</v>
      </c>
      <c r="C25" s="1080" t="s">
        <v>4875</v>
      </c>
      <c r="D25" s="1081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12" zoomScale="90" zoomScaleNormal="90" zoomScaleSheetLayoutView="55" workbookViewId="0">
      <selection activeCell="A27" sqref="A27:M4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87" t="s">
        <v>7380</v>
      </c>
      <c r="B2" s="1087" t="s">
        <v>1</v>
      </c>
      <c r="C2" s="1087" t="s">
        <v>2</v>
      </c>
      <c r="D2" s="1087" t="s">
        <v>3</v>
      </c>
      <c r="E2" s="777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8" t="s">
        <v>56</v>
      </c>
      <c r="L2" s="1087" t="s">
        <v>57</v>
      </c>
      <c r="M2" s="1087" t="s">
        <v>58</v>
      </c>
    </row>
    <row r="3" spans="1:14">
      <c r="A3" s="1087"/>
      <c r="B3" s="1087"/>
      <c r="C3" s="1087"/>
      <c r="D3" s="1087"/>
      <c r="E3" s="777" t="s">
        <v>1724</v>
      </c>
      <c r="F3" s="1087"/>
      <c r="G3" s="1087"/>
      <c r="H3" s="1087"/>
      <c r="I3" s="1087"/>
      <c r="J3" s="1087"/>
      <c r="K3" s="1088"/>
      <c r="L3" s="1087"/>
      <c r="M3" s="1087"/>
    </row>
    <row r="4" spans="1:14" s="680" customFormat="1" ht="17.100000000000001" customHeight="1">
      <c r="A4" s="1047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7378</v>
      </c>
      <c r="G4" s="859" t="s">
        <v>7379</v>
      </c>
      <c r="H4" s="860" t="s">
        <v>7377</v>
      </c>
      <c r="I4" s="633" t="s">
        <v>7354</v>
      </c>
      <c r="J4" s="860" t="s">
        <v>7376</v>
      </c>
      <c r="K4" s="698" t="s">
        <v>7226</v>
      </c>
      <c r="L4" s="811">
        <v>250000</v>
      </c>
      <c r="M4" s="646" t="s">
        <v>7360</v>
      </c>
    </row>
    <row r="5" spans="1:14" s="680" customFormat="1" ht="17.100000000000001" customHeight="1">
      <c r="A5" s="1047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7357</v>
      </c>
      <c r="I5" s="633" t="s">
        <v>7354</v>
      </c>
      <c r="J5" s="860" t="s">
        <v>2838</v>
      </c>
      <c r="K5" s="698" t="s">
        <v>209</v>
      </c>
      <c r="L5" s="858">
        <v>1000000</v>
      </c>
      <c r="M5" s="646" t="s">
        <v>7360</v>
      </c>
    </row>
    <row r="6" spans="1:14" s="680" customFormat="1" ht="17.100000000000001" customHeight="1">
      <c r="A6" s="1047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7358</v>
      </c>
      <c r="I6" s="633" t="s">
        <v>7355</v>
      </c>
      <c r="J6" s="860" t="s">
        <v>7356</v>
      </c>
      <c r="K6" s="698" t="s">
        <v>209</v>
      </c>
      <c r="L6" s="845">
        <v>500000</v>
      </c>
      <c r="M6" s="646" t="s">
        <v>7359</v>
      </c>
    </row>
    <row r="7" spans="1:14" s="680" customFormat="1" ht="17.100000000000001" customHeight="1">
      <c r="A7" s="1047"/>
      <c r="B7" s="399" t="s">
        <v>7361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7355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1047"/>
      <c r="B8" s="399" t="s">
        <v>7361</v>
      </c>
      <c r="C8" s="721" t="s">
        <v>6707</v>
      </c>
      <c r="D8" s="632" t="s">
        <v>25</v>
      </c>
      <c r="E8" s="633" t="s">
        <v>5254</v>
      </c>
      <c r="F8" s="859" t="s">
        <v>7373</v>
      </c>
      <c r="G8" s="859" t="s">
        <v>7374</v>
      </c>
      <c r="H8" s="860" t="s">
        <v>7369</v>
      </c>
      <c r="I8" s="633"/>
      <c r="J8" s="860" t="s">
        <v>7375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1047"/>
      <c r="B9" s="399" t="s">
        <v>7366</v>
      </c>
      <c r="C9" s="721" t="s">
        <v>7362</v>
      </c>
      <c r="D9" s="632" t="s">
        <v>7363</v>
      </c>
      <c r="E9" s="633" t="s">
        <v>5254</v>
      </c>
      <c r="F9" s="859">
        <v>7065</v>
      </c>
      <c r="G9" s="859" t="s">
        <v>7368</v>
      </c>
      <c r="H9" s="860" t="s">
        <v>7369</v>
      </c>
      <c r="I9" s="633" t="s">
        <v>126</v>
      </c>
      <c r="J9" s="860" t="s">
        <v>7367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1047"/>
      <c r="B10" s="399">
        <v>46303</v>
      </c>
      <c r="C10" s="721" t="s">
        <v>7362</v>
      </c>
      <c r="D10" s="632" t="s">
        <v>7363</v>
      </c>
      <c r="E10" s="633" t="s">
        <v>5254</v>
      </c>
      <c r="F10" s="808">
        <v>2729</v>
      </c>
      <c r="G10" s="808" t="s">
        <v>361</v>
      </c>
      <c r="H10" s="816" t="s">
        <v>7364</v>
      </c>
      <c r="I10" s="633"/>
      <c r="J10" s="847" t="s">
        <v>7365</v>
      </c>
      <c r="K10" s="698" t="s">
        <v>209</v>
      </c>
      <c r="L10" s="824">
        <v>250000</v>
      </c>
      <c r="M10" s="646"/>
    </row>
    <row r="11" spans="1:14" ht="17.100000000000001" customHeight="1">
      <c r="A11" s="1047"/>
      <c r="B11" s="1047" t="s">
        <v>1136</v>
      </c>
      <c r="C11" s="1047"/>
      <c r="D11" s="1047"/>
      <c r="E11" s="1047"/>
      <c r="F11" s="1047"/>
      <c r="G11" s="1047"/>
      <c r="H11" s="1047"/>
      <c r="I11" s="1047"/>
      <c r="J11" s="1047"/>
      <c r="K11" s="1047"/>
      <c r="L11" s="724">
        <f>SUM(L4:L10)</f>
        <v>4000000</v>
      </c>
      <c r="M11" s="646"/>
    </row>
    <row r="12" spans="1:14" ht="27">
      <c r="A12" s="1047" t="s">
        <v>21</v>
      </c>
      <c r="B12" s="399">
        <v>46303</v>
      </c>
      <c r="C12" s="4" t="s">
        <v>21</v>
      </c>
      <c r="D12" s="4" t="s">
        <v>31</v>
      </c>
      <c r="E12" s="863" t="s">
        <v>7294</v>
      </c>
      <c r="F12" s="857" t="s">
        <v>270</v>
      </c>
      <c r="G12" s="16" t="s">
        <v>6284</v>
      </c>
      <c r="H12" s="863" t="s">
        <v>7372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1047"/>
      <c r="B13" s="1177">
        <v>46305</v>
      </c>
      <c r="C13" s="4" t="s">
        <v>7371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7205</v>
      </c>
      <c r="I13" s="857"/>
      <c r="J13" s="857" t="s">
        <v>641</v>
      </c>
      <c r="K13" s="125" t="s">
        <v>15</v>
      </c>
      <c r="L13" s="752">
        <v>500000</v>
      </c>
      <c r="M13" s="646" t="s">
        <v>7370</v>
      </c>
    </row>
    <row r="14" spans="1:14" ht="17.100000000000001" customHeight="1">
      <c r="A14" s="1047"/>
      <c r="B14" s="1047" t="s">
        <v>4879</v>
      </c>
      <c r="C14" s="1047"/>
      <c r="D14" s="1047"/>
      <c r="E14" s="1047"/>
      <c r="F14" s="1047"/>
      <c r="G14" s="1047"/>
      <c r="H14" s="1047"/>
      <c r="I14" s="1047"/>
      <c r="J14" s="1047"/>
      <c r="K14" s="1047"/>
      <c r="L14" s="724">
        <f>SUM(L12:L13)</f>
        <v>1000000</v>
      </c>
      <c r="M14" s="646"/>
    </row>
    <row r="15" spans="1:14" ht="25.5" customHeight="1">
      <c r="A15" s="1089" t="s">
        <v>62</v>
      </c>
      <c r="B15" s="1089"/>
      <c r="C15" s="1089"/>
      <c r="D15" s="1089"/>
      <c r="E15" s="1089"/>
      <c r="F15" s="1089"/>
      <c r="G15" s="1089"/>
      <c r="H15" s="1089"/>
      <c r="I15" s="1089"/>
      <c r="J15" s="1089"/>
      <c r="K15" s="1089"/>
      <c r="L15" s="724">
        <f>L11+L14</f>
        <v>5000000</v>
      </c>
      <c r="M15" s="649"/>
    </row>
    <row r="16" spans="1:14" ht="26.25" customHeight="1">
      <c r="N16" s="870" t="s">
        <v>7288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7278</v>
      </c>
      <c r="B28" s="399">
        <v>46300</v>
      </c>
      <c r="C28" s="4"/>
      <c r="D28" s="4"/>
      <c r="E28" s="857"/>
      <c r="F28" s="857"/>
      <c r="G28" s="16"/>
      <c r="H28" s="863" t="s">
        <v>7269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7328</v>
      </c>
      <c r="F29" s="857" t="s">
        <v>7329</v>
      </c>
      <c r="G29" s="16" t="s">
        <v>7330</v>
      </c>
      <c r="H29" s="863" t="s">
        <v>7340</v>
      </c>
      <c r="I29" s="857"/>
      <c r="J29" s="857" t="s">
        <v>7332</v>
      </c>
      <c r="K29" s="125" t="s">
        <v>7333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7326</v>
      </c>
      <c r="I30" s="857" t="s">
        <v>7327</v>
      </c>
      <c r="J30" s="857"/>
      <c r="K30" s="125" t="s">
        <v>7298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7328</v>
      </c>
      <c r="F31" s="857" t="s">
        <v>7329</v>
      </c>
      <c r="G31" s="16" t="s">
        <v>7330</v>
      </c>
      <c r="H31" s="863" t="s">
        <v>7331</v>
      </c>
      <c r="I31" s="857"/>
      <c r="J31" s="857" t="s">
        <v>7332</v>
      </c>
      <c r="K31" s="125" t="s">
        <v>7333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7300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7328</v>
      </c>
      <c r="F33" s="857" t="s">
        <v>7336</v>
      </c>
      <c r="G33" s="16" t="s">
        <v>7330</v>
      </c>
      <c r="H33" s="863" t="s">
        <v>7335</v>
      </c>
      <c r="I33" s="857"/>
      <c r="J33" s="857" t="s">
        <v>7332</v>
      </c>
      <c r="K33" s="125" t="s">
        <v>7333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7294</v>
      </c>
      <c r="F34" s="857" t="s">
        <v>270</v>
      </c>
      <c r="G34" s="16" t="s">
        <v>6284</v>
      </c>
      <c r="H34" s="863" t="s">
        <v>7302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7301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7328</v>
      </c>
      <c r="F35" s="857" t="s">
        <v>7336</v>
      </c>
      <c r="G35" s="16" t="s">
        <v>7330</v>
      </c>
      <c r="H35" s="863" t="s">
        <v>7335</v>
      </c>
      <c r="I35" s="857"/>
      <c r="J35" s="857" t="s">
        <v>7332</v>
      </c>
      <c r="K35" s="125" t="s">
        <v>7333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7328</v>
      </c>
      <c r="F36" s="857" t="s">
        <v>7336</v>
      </c>
      <c r="G36" s="16" t="s">
        <v>7330</v>
      </c>
      <c r="H36" s="863" t="s">
        <v>7335</v>
      </c>
      <c r="I36" s="857"/>
      <c r="J36" s="857" t="s">
        <v>7332</v>
      </c>
      <c r="K36" s="125" t="s">
        <v>7333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7270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1177">
        <v>46305</v>
      </c>
      <c r="C38" s="4" t="s">
        <v>21</v>
      </c>
      <c r="D38" s="4" t="s">
        <v>14</v>
      </c>
      <c r="E38" s="857" t="s">
        <v>7328</v>
      </c>
      <c r="F38" s="857" t="s">
        <v>7329</v>
      </c>
      <c r="G38" s="16" t="s">
        <v>7330</v>
      </c>
      <c r="H38" s="863" t="s">
        <v>7337</v>
      </c>
      <c r="I38" s="857"/>
      <c r="J38" s="857" t="s">
        <v>7332</v>
      </c>
      <c r="K38" s="125" t="s">
        <v>7333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1177">
        <v>46305</v>
      </c>
      <c r="C39" s="4" t="s">
        <v>7371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7205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7249</v>
      </c>
      <c r="P39" s="857"/>
    </row>
    <row r="40" spans="1:16" s="17" customFormat="1" ht="33" customHeight="1">
      <c r="A40" s="856"/>
      <c r="B40" s="1178">
        <v>46306</v>
      </c>
      <c r="C40" s="4" t="s">
        <v>21</v>
      </c>
      <c r="D40" s="4" t="s">
        <v>14</v>
      </c>
      <c r="E40" s="857" t="s">
        <v>7328</v>
      </c>
      <c r="F40" s="857" t="s">
        <v>7329</v>
      </c>
      <c r="G40" s="16" t="s">
        <v>7330</v>
      </c>
      <c r="H40" s="863" t="s">
        <v>7337</v>
      </c>
      <c r="I40" s="857"/>
      <c r="J40" s="857" t="s">
        <v>7332</v>
      </c>
      <c r="K40" s="125" t="s">
        <v>7333</v>
      </c>
      <c r="L40" s="8">
        <v>2</v>
      </c>
      <c r="M40" s="8"/>
      <c r="N40" s="755"/>
      <c r="O40" s="430"/>
      <c r="P40" s="857"/>
    </row>
  </sheetData>
  <mergeCells count="17">
    <mergeCell ref="B11:K11"/>
    <mergeCell ref="A15:K15"/>
    <mergeCell ref="B14:K14"/>
    <mergeCell ref="A12:A14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35" zoomScaleNormal="100" workbookViewId="0">
      <selection activeCell="I1046" sqref="I104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4" t="s">
        <v>53</v>
      </c>
      <c r="B21" s="884"/>
      <c r="C21" s="884"/>
      <c r="D21" s="884"/>
      <c r="E21" s="884"/>
      <c r="F21" s="884"/>
      <c r="G21" s="884"/>
      <c r="H21" s="884"/>
      <c r="I21" s="8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10" t="s">
        <v>53</v>
      </c>
      <c r="B26" s="1111"/>
      <c r="C26" s="1111"/>
      <c r="D26" s="1111"/>
      <c r="E26" s="1111"/>
      <c r="F26" s="1111"/>
      <c r="G26" s="1111"/>
      <c r="H26" s="1111"/>
      <c r="I26" s="111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10" t="s">
        <v>53</v>
      </c>
      <c r="B35" s="1111"/>
      <c r="C35" s="1111"/>
      <c r="D35" s="1111"/>
      <c r="E35" s="1111"/>
      <c r="F35" s="1111"/>
      <c r="G35" s="1111"/>
      <c r="H35" s="1111"/>
      <c r="I35" s="111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10" t="s">
        <v>53</v>
      </c>
      <c r="B42" s="1111"/>
      <c r="C42" s="1111"/>
      <c r="D42" s="1111"/>
      <c r="E42" s="1111"/>
      <c r="F42" s="1111"/>
      <c r="G42" s="1111"/>
      <c r="H42" s="1111"/>
      <c r="I42" s="111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10" t="s">
        <v>53</v>
      </c>
      <c r="B48" s="1111"/>
      <c r="C48" s="1111"/>
      <c r="D48" s="1111"/>
      <c r="E48" s="1111"/>
      <c r="F48" s="1111"/>
      <c r="G48" s="1111"/>
      <c r="H48" s="1111"/>
      <c r="I48" s="111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10" t="s">
        <v>53</v>
      </c>
      <c r="B54" s="1111"/>
      <c r="C54" s="1111"/>
      <c r="D54" s="1111"/>
      <c r="E54" s="1111"/>
      <c r="F54" s="1111"/>
      <c r="G54" s="1111"/>
      <c r="H54" s="1111"/>
      <c r="I54" s="111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5"/>
      <c r="B61" s="113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5"/>
      <c r="B62" s="113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5"/>
      <c r="B63" s="113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10" t="s">
        <v>53</v>
      </c>
      <c r="B64" s="1111"/>
      <c r="C64" s="1111"/>
      <c r="D64" s="1111"/>
      <c r="E64" s="1111"/>
      <c r="F64" s="1111"/>
      <c r="G64" s="1111"/>
      <c r="H64" s="1111"/>
      <c r="I64" s="111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10" t="s">
        <v>53</v>
      </c>
      <c r="B70" s="1111"/>
      <c r="C70" s="1111"/>
      <c r="D70" s="1111"/>
      <c r="E70" s="1111"/>
      <c r="F70" s="1111"/>
      <c r="G70" s="1111"/>
      <c r="H70" s="1111"/>
      <c r="I70" s="111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4" t="s">
        <v>53</v>
      </c>
      <c r="B78" s="884"/>
      <c r="C78" s="884"/>
      <c r="D78" s="884"/>
      <c r="E78" s="884"/>
      <c r="F78" s="884"/>
      <c r="G78" s="884"/>
      <c r="H78" s="884"/>
      <c r="I78" s="8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10" t="s">
        <v>53</v>
      </c>
      <c r="B86" s="1111"/>
      <c r="C86" s="1111"/>
      <c r="D86" s="1111"/>
      <c r="E86" s="1111"/>
      <c r="F86" s="1111"/>
      <c r="G86" s="1111"/>
      <c r="H86" s="1111"/>
      <c r="I86" s="111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10" t="s">
        <v>53</v>
      </c>
      <c r="B92" s="1111"/>
      <c r="C92" s="1111"/>
      <c r="D92" s="1111"/>
      <c r="E92" s="1111"/>
      <c r="F92" s="1111"/>
      <c r="G92" s="1111"/>
      <c r="H92" s="1111"/>
      <c r="I92" s="111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10" t="s">
        <v>53</v>
      </c>
      <c r="B101" s="1111"/>
      <c r="C101" s="1111"/>
      <c r="D101" s="1111"/>
      <c r="E101" s="1111"/>
      <c r="F101" s="1111"/>
      <c r="G101" s="1111"/>
      <c r="H101" s="1111"/>
      <c r="I101" s="111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5"/>
      <c r="B107" s="11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5"/>
      <c r="B108" s="11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4" t="s">
        <v>53</v>
      </c>
      <c r="B112" s="884"/>
      <c r="C112" s="884"/>
      <c r="D112" s="884"/>
      <c r="E112" s="884"/>
      <c r="F112" s="884"/>
      <c r="G112" s="884"/>
      <c r="H112" s="884"/>
      <c r="I112" s="8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4" t="s">
        <v>954</v>
      </c>
      <c r="B119" s="90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5"/>
      <c r="B120" s="90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4" t="s">
        <v>53</v>
      </c>
      <c r="B121" s="884"/>
      <c r="C121" s="884"/>
      <c r="D121" s="884"/>
      <c r="E121" s="884"/>
      <c r="F121" s="884"/>
      <c r="G121" s="884"/>
      <c r="H121" s="884"/>
      <c r="I121" s="8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5"/>
      <c r="B129" s="113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4" t="s">
        <v>90</v>
      </c>
      <c r="J129" s="1127">
        <v>2</v>
      </c>
      <c r="K129" s="25" t="s">
        <v>52</v>
      </c>
      <c r="L129" s="25" t="s">
        <v>51</v>
      </c>
    </row>
    <row r="130" spans="1:12">
      <c r="A130" s="905"/>
      <c r="B130" s="113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4"/>
      <c r="J130" s="1129"/>
      <c r="K130" s="25" t="s">
        <v>52</v>
      </c>
      <c r="L130" s="25" t="s">
        <v>51</v>
      </c>
    </row>
    <row r="131" spans="1:12">
      <c r="A131" s="9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5"/>
      <c r="B133" s="94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0" t="s">
        <v>1277</v>
      </c>
      <c r="J133" s="1127">
        <v>1</v>
      </c>
      <c r="K133" s="25" t="s">
        <v>52</v>
      </c>
      <c r="L133" s="25" t="s">
        <v>51</v>
      </c>
    </row>
    <row r="134" spans="1:12">
      <c r="A134" s="905"/>
      <c r="B134" s="94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0"/>
      <c r="J134" s="1129"/>
      <c r="K134" s="25" t="s">
        <v>52</v>
      </c>
      <c r="L134" s="25" t="s">
        <v>51</v>
      </c>
    </row>
    <row r="135" spans="1:12">
      <c r="A135" s="9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4" t="s">
        <v>53</v>
      </c>
      <c r="B137" s="884"/>
      <c r="C137" s="884"/>
      <c r="D137" s="884"/>
      <c r="E137" s="884"/>
      <c r="F137" s="884"/>
      <c r="G137" s="884"/>
      <c r="H137" s="884"/>
      <c r="I137" s="8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5" t="s">
        <v>1007</v>
      </c>
      <c r="B142" s="94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5"/>
      <c r="B143" s="94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4" t="s">
        <v>53</v>
      </c>
      <c r="B145" s="884"/>
      <c r="C145" s="884"/>
      <c r="D145" s="884"/>
      <c r="E145" s="884"/>
      <c r="F145" s="884"/>
      <c r="G145" s="884"/>
      <c r="H145" s="884"/>
      <c r="I145" s="8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4"/>
      <c r="B150" s="90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4"/>
      <c r="B151" s="90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4" t="s">
        <v>53</v>
      </c>
      <c r="B163" s="884"/>
      <c r="C163" s="884"/>
      <c r="D163" s="884"/>
      <c r="E163" s="884"/>
      <c r="F163" s="884"/>
      <c r="G163" s="884"/>
      <c r="H163" s="884"/>
      <c r="I163" s="8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4" t="s">
        <v>53</v>
      </c>
      <c r="B183" s="884"/>
      <c r="C183" s="884"/>
      <c r="D183" s="884"/>
      <c r="E183" s="884"/>
      <c r="F183" s="884"/>
      <c r="G183" s="884"/>
      <c r="H183" s="884"/>
      <c r="I183" s="8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0" t="s">
        <v>1061</v>
      </c>
      <c r="B189" s="90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1"/>
      <c r="B190" s="90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1"/>
      <c r="B191" s="90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1"/>
      <c r="B192" s="90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4" t="s">
        <v>53</v>
      </c>
      <c r="B193" s="884"/>
      <c r="C193" s="884"/>
      <c r="D193" s="884"/>
      <c r="E193" s="884"/>
      <c r="F193" s="884"/>
      <c r="G193" s="884"/>
      <c r="H193" s="884"/>
      <c r="I193" s="8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10" t="s">
        <v>53</v>
      </c>
      <c r="B244" s="1111"/>
      <c r="C244" s="1111"/>
      <c r="D244" s="1111"/>
      <c r="E244" s="1111"/>
      <c r="F244" s="1111"/>
      <c r="G244" s="1111"/>
      <c r="H244" s="1111"/>
      <c r="I244" s="111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10" t="s">
        <v>53</v>
      </c>
      <c r="B250" s="1111"/>
      <c r="C250" s="1111"/>
      <c r="D250" s="1111"/>
      <c r="E250" s="1111"/>
      <c r="F250" s="1111"/>
      <c r="G250" s="1111"/>
      <c r="H250" s="1111"/>
      <c r="I250" s="111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10" t="s">
        <v>53</v>
      </c>
      <c r="B257" s="1111"/>
      <c r="C257" s="1111"/>
      <c r="D257" s="1111"/>
      <c r="E257" s="1111"/>
      <c r="F257" s="1111"/>
      <c r="G257" s="1111"/>
      <c r="H257" s="1111"/>
      <c r="I257" s="111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10" t="s">
        <v>53</v>
      </c>
      <c r="B262" s="1111"/>
      <c r="C262" s="1111"/>
      <c r="D262" s="1111"/>
      <c r="E262" s="1111"/>
      <c r="F262" s="1111"/>
      <c r="G262" s="1111"/>
      <c r="H262" s="1111"/>
      <c r="I262" s="111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10" t="s">
        <v>53</v>
      </c>
      <c r="B271" s="1111"/>
      <c r="C271" s="1111"/>
      <c r="D271" s="1111"/>
      <c r="E271" s="1111"/>
      <c r="F271" s="1111"/>
      <c r="G271" s="1111"/>
      <c r="H271" s="1111"/>
      <c r="I271" s="111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10" t="s">
        <v>53</v>
      </c>
      <c r="B275" s="1111"/>
      <c r="C275" s="1111"/>
      <c r="D275" s="1111"/>
      <c r="E275" s="1111"/>
      <c r="F275" s="1111"/>
      <c r="G275" s="1111"/>
      <c r="H275" s="1111"/>
      <c r="I275" s="111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10" t="s">
        <v>1646</v>
      </c>
      <c r="B296" s="1111"/>
      <c r="C296" s="1111"/>
      <c r="D296" s="1111"/>
      <c r="E296" s="1111"/>
      <c r="F296" s="1111"/>
      <c r="G296" s="1111"/>
      <c r="H296" s="1111"/>
      <c r="I296" s="111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8" t="s">
        <v>1521</v>
      </c>
      <c r="B343" s="128" t="s">
        <v>1531</v>
      </c>
      <c r="C343" s="947" t="s">
        <v>306</v>
      </c>
      <c r="D343" s="947" t="s">
        <v>322</v>
      </c>
      <c r="E343" s="929" t="s">
        <v>307</v>
      </c>
      <c r="F343" s="1117">
        <v>4266</v>
      </c>
      <c r="G343" s="947" t="s">
        <v>640</v>
      </c>
      <c r="H343" s="1117" t="s">
        <v>1533</v>
      </c>
      <c r="I343" s="947" t="s">
        <v>1534</v>
      </c>
      <c r="J343" s="929">
        <v>2</v>
      </c>
      <c r="K343" s="1115" t="s">
        <v>50</v>
      </c>
      <c r="L343" s="1115" t="s">
        <v>51</v>
      </c>
    </row>
    <row r="344" spans="1:13">
      <c r="A344" s="1119"/>
      <c r="B344" s="129" t="s">
        <v>1532</v>
      </c>
      <c r="C344" s="930"/>
      <c r="D344" s="930"/>
      <c r="E344" s="930"/>
      <c r="F344" s="935"/>
      <c r="G344" s="930"/>
      <c r="H344" s="935"/>
      <c r="I344" s="930"/>
      <c r="J344" s="930"/>
      <c r="K344" s="1116"/>
      <c r="L344" s="1116"/>
    </row>
    <row r="345" spans="1:13">
      <c r="A345" s="1119"/>
      <c r="B345" s="128" t="s">
        <v>1536</v>
      </c>
      <c r="C345" s="929" t="s">
        <v>306</v>
      </c>
      <c r="D345" s="929" t="s">
        <v>322</v>
      </c>
      <c r="E345" s="929" t="s">
        <v>307</v>
      </c>
      <c r="F345" s="934">
        <v>3306</v>
      </c>
      <c r="G345" s="929" t="s">
        <v>1153</v>
      </c>
      <c r="H345" s="934" t="s">
        <v>1538</v>
      </c>
      <c r="I345" s="929" t="s">
        <v>1534</v>
      </c>
      <c r="J345" s="929">
        <v>2</v>
      </c>
      <c r="K345" s="1115" t="s">
        <v>50</v>
      </c>
      <c r="L345" s="1115" t="s">
        <v>51</v>
      </c>
    </row>
    <row r="346" spans="1:13">
      <c r="A346" s="1120"/>
      <c r="B346" s="129" t="s">
        <v>1537</v>
      </c>
      <c r="C346" s="930"/>
      <c r="D346" s="930"/>
      <c r="E346" s="930"/>
      <c r="F346" s="935"/>
      <c r="G346" s="930"/>
      <c r="H346" s="935"/>
      <c r="I346" s="930"/>
      <c r="J346" s="930"/>
      <c r="K346" s="1116"/>
      <c r="L346" s="1116"/>
    </row>
    <row r="347" spans="1:13">
      <c r="A347" s="1110" t="s">
        <v>53</v>
      </c>
      <c r="B347" s="1111"/>
      <c r="C347" s="1111"/>
      <c r="D347" s="1111"/>
      <c r="E347" s="1111"/>
      <c r="F347" s="1111"/>
      <c r="G347" s="1111"/>
      <c r="H347" s="1111"/>
      <c r="I347" s="111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4" t="s">
        <v>53</v>
      </c>
      <c r="B357" s="884"/>
      <c r="C357" s="884"/>
      <c r="D357" s="884"/>
      <c r="E357" s="884"/>
      <c r="F357" s="884"/>
      <c r="G357" s="884"/>
      <c r="H357" s="884"/>
      <c r="I357" s="8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4" t="s">
        <v>1646</v>
      </c>
      <c r="B378" s="884"/>
      <c r="C378" s="884"/>
      <c r="D378" s="884"/>
      <c r="E378" s="884"/>
      <c r="F378" s="884"/>
      <c r="G378" s="884"/>
      <c r="H378" s="884"/>
      <c r="I378" s="884"/>
      <c r="J378" s="884"/>
      <c r="K378" s="4">
        <v>25</v>
      </c>
      <c r="L378" s="55"/>
    </row>
    <row r="381" spans="1:12">
      <c r="B381" s="1138" t="s">
        <v>1</v>
      </c>
      <c r="C381" s="1138" t="s">
        <v>2</v>
      </c>
      <c r="D381" s="1138" t="s">
        <v>3</v>
      </c>
      <c r="E381" s="36" t="s">
        <v>54</v>
      </c>
      <c r="F381" s="1138" t="s">
        <v>5</v>
      </c>
      <c r="G381" s="1138" t="s">
        <v>6</v>
      </c>
      <c r="H381" s="1138" t="s">
        <v>7</v>
      </c>
      <c r="I381" s="1138" t="s">
        <v>55</v>
      </c>
      <c r="J381" s="1138" t="s">
        <v>9</v>
      </c>
      <c r="K381" s="1140" t="s">
        <v>56</v>
      </c>
      <c r="L381" s="1138" t="s">
        <v>57</v>
      </c>
    </row>
    <row r="382" spans="1:12">
      <c r="B382" s="1139"/>
      <c r="C382" s="1139"/>
      <c r="D382" s="1139"/>
      <c r="E382" s="37" t="s">
        <v>59</v>
      </c>
      <c r="F382" s="1139"/>
      <c r="G382" s="1139"/>
      <c r="H382" s="1139"/>
      <c r="I382" s="1139"/>
      <c r="J382" s="1139"/>
      <c r="K382" s="1141"/>
      <c r="L382" s="113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9" t="s">
        <v>229</v>
      </c>
      <c r="B405" s="1113" t="s">
        <v>1805</v>
      </c>
      <c r="C405" s="1113" t="s">
        <v>700</v>
      </c>
      <c r="D405" s="1142" t="s">
        <v>675</v>
      </c>
      <c r="E405" s="1113" t="s">
        <v>1806</v>
      </c>
      <c r="F405" s="1113" t="s">
        <v>1807</v>
      </c>
      <c r="G405" s="1113" t="s">
        <v>662</v>
      </c>
      <c r="H405" s="1143" t="s">
        <v>1808</v>
      </c>
      <c r="I405" s="1142"/>
      <c r="J405" s="1143">
        <v>1</v>
      </c>
      <c r="K405" s="1115" t="s">
        <v>631</v>
      </c>
      <c r="L405" s="1044" t="s">
        <v>51</v>
      </c>
    </row>
    <row r="406" spans="1:12" ht="13.5" customHeight="1">
      <c r="A406" s="1109"/>
      <c r="B406" s="1113"/>
      <c r="C406" s="1113"/>
      <c r="D406" s="1142"/>
      <c r="E406" s="1113"/>
      <c r="F406" s="1113"/>
      <c r="G406" s="1113"/>
      <c r="H406" s="1143"/>
      <c r="I406" s="1142"/>
      <c r="J406" s="1143"/>
      <c r="K406" s="1116"/>
      <c r="L406" s="1046"/>
    </row>
    <row r="407" spans="1:12" ht="27" customHeight="1">
      <c r="A407" s="110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9" t="s">
        <v>1646</v>
      </c>
      <c r="B409" s="1109"/>
      <c r="C409" s="1109"/>
      <c r="D409" s="1109"/>
      <c r="E409" s="1109"/>
      <c r="F409" s="1109"/>
      <c r="G409" s="1109"/>
      <c r="H409" s="1109"/>
      <c r="I409" s="110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9" t="s">
        <v>2008</v>
      </c>
      <c r="B412" s="1144" t="s">
        <v>2009</v>
      </c>
      <c r="C412" s="1115" t="s">
        <v>21</v>
      </c>
      <c r="D412" s="942" t="s">
        <v>14</v>
      </c>
      <c r="E412" s="1115" t="s">
        <v>78</v>
      </c>
      <c r="F412" s="1113" t="s">
        <v>2010</v>
      </c>
      <c r="G412" s="1113" t="s">
        <v>40</v>
      </c>
      <c r="H412" s="1143" t="s">
        <v>614</v>
      </c>
      <c r="I412" s="1142"/>
      <c r="J412" s="1143">
        <v>1</v>
      </c>
      <c r="K412" s="1115" t="s">
        <v>2011</v>
      </c>
      <c r="L412" s="1044" t="s">
        <v>1997</v>
      </c>
    </row>
    <row r="413" spans="1:12" ht="20.100000000000001" customHeight="1">
      <c r="A413" s="1109"/>
      <c r="B413" s="1113"/>
      <c r="C413" s="1116"/>
      <c r="D413" s="943"/>
      <c r="E413" s="1116"/>
      <c r="F413" s="1113"/>
      <c r="G413" s="1113"/>
      <c r="H413" s="1143"/>
      <c r="I413" s="1142"/>
      <c r="J413" s="1143"/>
      <c r="K413" s="1116"/>
      <c r="L413" s="1046"/>
    </row>
    <row r="414" spans="1:12" ht="20.100000000000001" customHeight="1">
      <c r="A414" s="1109" t="s">
        <v>1646</v>
      </c>
      <c r="B414" s="1109"/>
      <c r="C414" s="1109"/>
      <c r="D414" s="1109"/>
      <c r="E414" s="1109"/>
      <c r="F414" s="1109"/>
      <c r="G414" s="1109"/>
      <c r="H414" s="1109"/>
      <c r="I414" s="110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4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45"/>
      <c r="B418" s="78" t="s">
        <v>1748</v>
      </c>
      <c r="C418" s="1142" t="s">
        <v>306</v>
      </c>
      <c r="D418" s="1142" t="s">
        <v>322</v>
      </c>
      <c r="E418" s="1142" t="s">
        <v>307</v>
      </c>
      <c r="F418" s="1143">
        <v>3306</v>
      </c>
      <c r="G418" s="1142" t="s">
        <v>1153</v>
      </c>
      <c r="H418" s="1143" t="s">
        <v>1749</v>
      </c>
      <c r="I418" s="1142" t="s">
        <v>664</v>
      </c>
      <c r="J418" s="1142">
        <v>4</v>
      </c>
      <c r="K418" s="1115" t="s">
        <v>631</v>
      </c>
      <c r="L418" s="1044" t="s">
        <v>51</v>
      </c>
    </row>
    <row r="419" spans="1:12" ht="13.5" customHeight="1">
      <c r="A419" s="1045"/>
      <c r="B419" s="79" t="s">
        <v>1751</v>
      </c>
      <c r="C419" s="1142"/>
      <c r="D419" s="1142"/>
      <c r="E419" s="1142"/>
      <c r="F419" s="1143"/>
      <c r="G419" s="1142"/>
      <c r="H419" s="1143"/>
      <c r="I419" s="1142"/>
      <c r="J419" s="1142"/>
      <c r="K419" s="1116"/>
      <c r="L419" s="1046"/>
    </row>
    <row r="420" spans="1:12" ht="13.5" customHeight="1">
      <c r="A420" s="1045"/>
      <c r="B420" s="78" t="s">
        <v>1800</v>
      </c>
      <c r="C420" s="1142" t="s">
        <v>306</v>
      </c>
      <c r="D420" s="1142" t="s">
        <v>322</v>
      </c>
      <c r="E420" s="1142" t="s">
        <v>307</v>
      </c>
      <c r="F420" s="1143" t="s">
        <v>1801</v>
      </c>
      <c r="G420" s="1142" t="s">
        <v>1802</v>
      </c>
      <c r="H420" s="1143" t="s">
        <v>1803</v>
      </c>
      <c r="I420" s="1142" t="s">
        <v>664</v>
      </c>
      <c r="J420" s="1142">
        <v>5</v>
      </c>
      <c r="K420" s="1115" t="s">
        <v>631</v>
      </c>
      <c r="L420" s="1044" t="s">
        <v>51</v>
      </c>
    </row>
    <row r="421" spans="1:12" ht="13.5" customHeight="1">
      <c r="A421" s="1045"/>
      <c r="B421" s="79" t="s">
        <v>1795</v>
      </c>
      <c r="C421" s="1142"/>
      <c r="D421" s="1142"/>
      <c r="E421" s="1142"/>
      <c r="F421" s="1143"/>
      <c r="G421" s="1142"/>
      <c r="H421" s="1143"/>
      <c r="I421" s="1142"/>
      <c r="J421" s="1142"/>
      <c r="K421" s="1116"/>
      <c r="L421" s="1046"/>
    </row>
    <row r="422" spans="1:12" ht="27" customHeight="1">
      <c r="A422" s="104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9" t="s">
        <v>1646</v>
      </c>
      <c r="B423" s="1109"/>
      <c r="C423" s="1109"/>
      <c r="D423" s="1109"/>
      <c r="E423" s="1109"/>
      <c r="F423" s="1109"/>
      <c r="G423" s="1109"/>
      <c r="H423" s="1109"/>
      <c r="I423" s="110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7" t="s">
        <v>2027</v>
      </c>
      <c r="B438" s="252" t="s">
        <v>1760</v>
      </c>
      <c r="C438" s="1000" t="s">
        <v>306</v>
      </c>
      <c r="D438" s="1000" t="s">
        <v>322</v>
      </c>
      <c r="E438" s="1000" t="s">
        <v>307</v>
      </c>
      <c r="F438" s="1145" t="s">
        <v>1761</v>
      </c>
      <c r="G438" s="1000" t="s">
        <v>329</v>
      </c>
      <c r="H438" s="1127" t="s">
        <v>1762</v>
      </c>
      <c r="I438" s="948" t="s">
        <v>664</v>
      </c>
      <c r="J438" s="1147">
        <v>2</v>
      </c>
      <c r="K438" s="1115" t="s">
        <v>1996</v>
      </c>
      <c r="L438" s="1115" t="s">
        <v>51</v>
      </c>
    </row>
    <row r="439" spans="1:12" ht="13.5" customHeight="1">
      <c r="A439" s="908"/>
      <c r="B439" s="253" t="s">
        <v>2028</v>
      </c>
      <c r="C439" s="1001"/>
      <c r="D439" s="1001"/>
      <c r="E439" s="1001"/>
      <c r="F439" s="1146"/>
      <c r="G439" s="1001"/>
      <c r="H439" s="1129"/>
      <c r="I439" s="949"/>
      <c r="J439" s="1148"/>
      <c r="K439" s="1116"/>
      <c r="L439" s="1116"/>
    </row>
    <row r="440" spans="1:12" ht="13.5" customHeight="1">
      <c r="A440" s="908"/>
      <c r="B440" s="254" t="s">
        <v>1794</v>
      </c>
      <c r="C440" s="888" t="s">
        <v>306</v>
      </c>
      <c r="D440" s="888" t="s">
        <v>322</v>
      </c>
      <c r="E440" s="888" t="s">
        <v>307</v>
      </c>
      <c r="F440" s="886" t="s">
        <v>1796</v>
      </c>
      <c r="G440" s="888" t="s">
        <v>1797</v>
      </c>
      <c r="H440" s="886" t="s">
        <v>1792</v>
      </c>
      <c r="I440" s="888" t="s">
        <v>664</v>
      </c>
      <c r="J440" s="929">
        <v>4</v>
      </c>
      <c r="K440" s="1115" t="s">
        <v>631</v>
      </c>
      <c r="L440" s="1115" t="s">
        <v>1997</v>
      </c>
    </row>
    <row r="441" spans="1:12" ht="13.5" customHeight="1">
      <c r="A441" s="908"/>
      <c r="B441" s="255" t="s">
        <v>1795</v>
      </c>
      <c r="C441" s="888"/>
      <c r="D441" s="888"/>
      <c r="E441" s="888"/>
      <c r="F441" s="886"/>
      <c r="G441" s="888"/>
      <c r="H441" s="886"/>
      <c r="I441" s="888"/>
      <c r="J441" s="930"/>
      <c r="K441" s="1116"/>
      <c r="L441" s="1116"/>
    </row>
    <row r="442" spans="1:12" ht="20.100000000000001" customHeight="1">
      <c r="A442" s="90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10" t="s">
        <v>1646</v>
      </c>
      <c r="B450" s="1111"/>
      <c r="C450" s="1111"/>
      <c r="D450" s="1111"/>
      <c r="E450" s="1111"/>
      <c r="F450" s="1111"/>
      <c r="G450" s="1111"/>
      <c r="H450" s="1111"/>
      <c r="I450" s="111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4" t="s">
        <v>2059</v>
      </c>
      <c r="B459" s="884"/>
      <c r="C459" s="884"/>
      <c r="D459" s="884"/>
      <c r="E459" s="884"/>
      <c r="F459" s="884"/>
      <c r="G459" s="884"/>
      <c r="H459" s="884"/>
      <c r="I459" s="88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6"/>
      <c r="B463" s="1149" t="s">
        <v>1767</v>
      </c>
      <c r="C463" s="1150" t="s">
        <v>311</v>
      </c>
      <c r="D463" s="1150" t="s">
        <v>320</v>
      </c>
      <c r="E463" s="1150" t="s">
        <v>709</v>
      </c>
      <c r="F463" s="1150" t="s">
        <v>1768</v>
      </c>
      <c r="G463" s="1149" t="s">
        <v>1769</v>
      </c>
      <c r="H463" s="258" t="s">
        <v>1770</v>
      </c>
      <c r="I463" s="1150"/>
      <c r="J463" s="1150">
        <v>1</v>
      </c>
      <c r="K463" s="942" t="s">
        <v>631</v>
      </c>
      <c r="L463" s="972" t="s">
        <v>51</v>
      </c>
    </row>
    <row r="464" spans="1:12" ht="13.5" customHeight="1">
      <c r="A464" s="1076"/>
      <c r="B464" s="1149"/>
      <c r="C464" s="1150"/>
      <c r="D464" s="1150"/>
      <c r="E464" s="1150"/>
      <c r="F464" s="1150"/>
      <c r="G464" s="1149"/>
      <c r="H464" s="259" t="s">
        <v>1773</v>
      </c>
      <c r="I464" s="1150"/>
      <c r="J464" s="1150"/>
      <c r="K464" s="943"/>
      <c r="L464" s="973"/>
    </row>
    <row r="465" spans="1:12" ht="13.5" customHeight="1">
      <c r="A465" s="1076"/>
      <c r="B465" s="1151" t="s">
        <v>1813</v>
      </c>
      <c r="C465" s="1113" t="s">
        <v>700</v>
      </c>
      <c r="D465" s="1142" t="s">
        <v>320</v>
      </c>
      <c r="E465" s="1142" t="s">
        <v>337</v>
      </c>
      <c r="F465" s="1113" t="s">
        <v>353</v>
      </c>
      <c r="G465" s="1113" t="s">
        <v>1814</v>
      </c>
      <c r="H465" s="1143" t="s">
        <v>1815</v>
      </c>
      <c r="I465" s="1142" t="s">
        <v>638</v>
      </c>
      <c r="J465" s="1143">
        <v>2</v>
      </c>
      <c r="K465" s="1115" t="s">
        <v>631</v>
      </c>
      <c r="L465" s="1115" t="s">
        <v>51</v>
      </c>
    </row>
    <row r="466" spans="1:12" ht="13.5" customHeight="1">
      <c r="A466" s="1076"/>
      <c r="B466" s="1151"/>
      <c r="C466" s="1113"/>
      <c r="D466" s="1142"/>
      <c r="E466" s="1142"/>
      <c r="F466" s="1113"/>
      <c r="G466" s="1113"/>
      <c r="H466" s="1143"/>
      <c r="I466" s="1142"/>
      <c r="J466" s="1143"/>
      <c r="K466" s="1116"/>
      <c r="L466" s="1116"/>
    </row>
    <row r="467" spans="1:12" ht="27" customHeight="1">
      <c r="A467" s="107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6"/>
      <c r="B468" s="1113" t="s">
        <v>1820</v>
      </c>
      <c r="C468" s="1113" t="s">
        <v>700</v>
      </c>
      <c r="D468" s="1142" t="s">
        <v>320</v>
      </c>
      <c r="E468" s="1142" t="s">
        <v>709</v>
      </c>
      <c r="F468" s="1142" t="s">
        <v>1768</v>
      </c>
      <c r="G468" s="1113" t="s">
        <v>1821</v>
      </c>
      <c r="H468" s="261" t="s">
        <v>1822</v>
      </c>
      <c r="I468" s="1142" t="s">
        <v>638</v>
      </c>
      <c r="J468" s="1142">
        <v>2</v>
      </c>
      <c r="K468" s="1115" t="s">
        <v>631</v>
      </c>
      <c r="L468" s="1115" t="s">
        <v>51</v>
      </c>
    </row>
    <row r="469" spans="1:12" ht="13.5" customHeight="1">
      <c r="A469" s="1076"/>
      <c r="B469" s="1113"/>
      <c r="C469" s="1113"/>
      <c r="D469" s="1142"/>
      <c r="E469" s="1142"/>
      <c r="F469" s="1142"/>
      <c r="G469" s="1113"/>
      <c r="H469" s="262" t="s">
        <v>1823</v>
      </c>
      <c r="I469" s="1142"/>
      <c r="J469" s="1142"/>
      <c r="K469" s="1116"/>
      <c r="L469" s="1116"/>
    </row>
    <row r="470" spans="1:12" ht="27" customHeight="1">
      <c r="A470" s="107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9" t="s">
        <v>1767</v>
      </c>
      <c r="C476" s="1150" t="s">
        <v>311</v>
      </c>
      <c r="D476" s="1150" t="s">
        <v>320</v>
      </c>
      <c r="E476" s="1150" t="s">
        <v>709</v>
      </c>
      <c r="F476" s="1150" t="s">
        <v>1768</v>
      </c>
      <c r="G476" s="1149" t="s">
        <v>1769</v>
      </c>
      <c r="H476" s="258" t="s">
        <v>1770</v>
      </c>
      <c r="I476" s="1150"/>
      <c r="J476" s="1150">
        <v>1</v>
      </c>
      <c r="K476" s="942" t="s">
        <v>631</v>
      </c>
      <c r="L476" s="972" t="s">
        <v>51</v>
      </c>
    </row>
    <row r="477" spans="1:12" ht="13.5" customHeight="1">
      <c r="A477" s="1074"/>
      <c r="B477" s="1149"/>
      <c r="C477" s="1150"/>
      <c r="D477" s="1150"/>
      <c r="E477" s="1150"/>
      <c r="F477" s="1150"/>
      <c r="G477" s="1149"/>
      <c r="H477" s="259" t="s">
        <v>1773</v>
      </c>
      <c r="I477" s="1150"/>
      <c r="J477" s="1150"/>
      <c r="K477" s="943"/>
      <c r="L477" s="973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10" t="s">
        <v>53</v>
      </c>
      <c r="B487" s="1111"/>
      <c r="C487" s="1111"/>
      <c r="D487" s="1111"/>
      <c r="E487" s="1111"/>
      <c r="F487" s="1111"/>
      <c r="G487" s="1111"/>
      <c r="H487" s="1111"/>
      <c r="I487" s="111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5"/>
      <c r="B494" s="1152" t="s">
        <v>2182</v>
      </c>
      <c r="C494" s="1152" t="s">
        <v>306</v>
      </c>
      <c r="D494" s="1152" t="s">
        <v>322</v>
      </c>
      <c r="E494" s="1152" t="s">
        <v>307</v>
      </c>
      <c r="F494" s="1153" t="s">
        <v>1919</v>
      </c>
      <c r="G494" s="1152" t="s">
        <v>662</v>
      </c>
      <c r="H494" s="1153" t="s">
        <v>1920</v>
      </c>
      <c r="I494" s="1152" t="s">
        <v>349</v>
      </c>
      <c r="J494" s="1152">
        <v>2</v>
      </c>
      <c r="K494" s="1113" t="s">
        <v>50</v>
      </c>
      <c r="L494" s="222">
        <v>23</v>
      </c>
    </row>
    <row r="495" spans="1:12" ht="12.6" customHeight="1">
      <c r="A495" s="1105"/>
      <c r="B495" s="1152"/>
      <c r="C495" s="1152"/>
      <c r="D495" s="1152"/>
      <c r="E495" s="1152"/>
      <c r="F495" s="1153"/>
      <c r="G495" s="1152"/>
      <c r="H495" s="1153"/>
      <c r="I495" s="1152"/>
      <c r="J495" s="1152"/>
      <c r="K495" s="1113"/>
    </row>
    <row r="496" spans="1:12" ht="24.95" customHeight="1">
      <c r="A496" s="11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4" t="s">
        <v>2233</v>
      </c>
      <c r="B522" s="884"/>
      <c r="C522" s="884"/>
      <c r="D522" s="884"/>
      <c r="E522" s="884"/>
      <c r="F522" s="884"/>
      <c r="G522" s="884"/>
      <c r="H522" s="884"/>
      <c r="I522" s="88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10" t="s">
        <v>2238</v>
      </c>
      <c r="B540" s="1111"/>
      <c r="C540" s="1111"/>
      <c r="D540" s="1111"/>
      <c r="E540" s="1111"/>
      <c r="F540" s="1111"/>
      <c r="G540" s="1111"/>
      <c r="H540" s="1111"/>
      <c r="I540" s="111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9" t="s">
        <v>2233</v>
      </c>
      <c r="B546" s="1109"/>
      <c r="C546" s="1109"/>
      <c r="D546" s="1109"/>
      <c r="E546" s="1109"/>
      <c r="F546" s="1109"/>
      <c r="G546" s="1109"/>
      <c r="H546" s="1109"/>
      <c r="I546" s="110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0" t="s">
        <v>306</v>
      </c>
      <c r="D569" s="910" t="s">
        <v>322</v>
      </c>
      <c r="E569" s="910" t="s">
        <v>307</v>
      </c>
      <c r="F569" s="910">
        <v>3306</v>
      </c>
      <c r="G569" s="910" t="s">
        <v>1153</v>
      </c>
      <c r="H569" s="910" t="s">
        <v>1907</v>
      </c>
      <c r="I569" s="910" t="s">
        <v>1111</v>
      </c>
      <c r="J569" s="910" t="s">
        <v>692</v>
      </c>
      <c r="K569" s="1107" t="s">
        <v>2291</v>
      </c>
    </row>
    <row r="570" spans="1:12">
      <c r="B570" s="243" t="s">
        <v>1909</v>
      </c>
      <c r="C570" s="911"/>
      <c r="D570" s="911"/>
      <c r="E570" s="911"/>
      <c r="F570" s="911"/>
      <c r="G570" s="911"/>
      <c r="H570" s="911"/>
      <c r="I570" s="911"/>
      <c r="J570" s="911"/>
      <c r="K570" s="110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4" t="s">
        <v>2406</v>
      </c>
      <c r="B592" s="884"/>
      <c r="C592" s="884"/>
      <c r="D592" s="884"/>
      <c r="E592" s="884"/>
      <c r="F592" s="884"/>
      <c r="G592" s="884"/>
      <c r="H592" s="884"/>
      <c r="I592" s="88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4" t="s">
        <v>2406</v>
      </c>
      <c r="B601" s="884"/>
      <c r="C601" s="884"/>
      <c r="D601" s="884"/>
      <c r="E601" s="884"/>
      <c r="F601" s="884"/>
      <c r="G601" s="884"/>
      <c r="H601" s="884"/>
      <c r="I601" s="88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8" t="s">
        <v>1646</v>
      </c>
      <c r="B655" s="1158"/>
      <c r="C655" s="1158"/>
      <c r="D655" s="1158"/>
      <c r="E655" s="1158"/>
      <c r="F655" s="1158"/>
      <c r="G655" s="1158"/>
      <c r="H655" s="1158"/>
      <c r="I655" s="115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8" t="s">
        <v>1646</v>
      </c>
      <c r="B674" s="1158"/>
      <c r="C674" s="1158"/>
      <c r="D674" s="1158"/>
      <c r="E674" s="1158"/>
      <c r="F674" s="1158"/>
      <c r="G674" s="1158"/>
      <c r="H674" s="1158"/>
      <c r="I674" s="115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8" t="s">
        <v>1646</v>
      </c>
      <c r="B681" s="1158"/>
      <c r="C681" s="1158"/>
      <c r="D681" s="1158"/>
      <c r="E681" s="1158"/>
      <c r="F681" s="1158"/>
      <c r="G681" s="1158"/>
      <c r="H681" s="1158"/>
      <c r="I681" s="115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6" t="s">
        <v>1646</v>
      </c>
      <c r="B688" s="1106"/>
      <c r="C688" s="1106"/>
      <c r="D688" s="1106"/>
      <c r="E688" s="1106"/>
      <c r="F688" s="1106"/>
      <c r="G688" s="1106"/>
      <c r="H688" s="1106"/>
      <c r="I688" s="110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6" t="s">
        <v>1646</v>
      </c>
      <c r="B699" s="1106"/>
      <c r="C699" s="1106"/>
      <c r="D699" s="1106"/>
      <c r="E699" s="1106"/>
      <c r="F699" s="1106"/>
      <c r="G699" s="1106"/>
      <c r="H699" s="1106"/>
      <c r="I699" s="110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2" t="s">
        <v>1646</v>
      </c>
      <c r="B717" s="1102"/>
      <c r="C717" s="1102"/>
      <c r="D717" s="1102"/>
      <c r="E717" s="1102"/>
      <c r="F717" s="1102"/>
      <c r="G717" s="1102"/>
      <c r="H717" s="1102"/>
      <c r="I717" s="110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2" t="s">
        <v>1646</v>
      </c>
      <c r="B731" s="1102"/>
      <c r="C731" s="1102"/>
      <c r="D731" s="1102"/>
      <c r="E731" s="1102"/>
      <c r="F731" s="1102"/>
      <c r="G731" s="1102"/>
      <c r="H731" s="1102"/>
      <c r="I731" s="110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6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6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6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6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6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6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6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6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6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6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6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6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6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2" t="s">
        <v>1646</v>
      </c>
      <c r="B749" s="1102"/>
      <c r="C749" s="1102"/>
      <c r="D749" s="1102"/>
      <c r="E749" s="1102"/>
      <c r="F749" s="1102"/>
      <c r="G749" s="1102"/>
      <c r="H749" s="1102"/>
      <c r="I749" s="110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6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0" t="s">
        <v>1646</v>
      </c>
      <c r="B762" s="1090"/>
      <c r="C762" s="1090"/>
      <c r="D762" s="1090"/>
      <c r="E762" s="1090"/>
      <c r="F762" s="1090"/>
      <c r="G762" s="1090"/>
      <c r="H762" s="1090"/>
      <c r="I762" s="109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4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5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5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5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6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0" t="s">
        <v>1646</v>
      </c>
      <c r="B770" s="1090"/>
      <c r="C770" s="1090"/>
      <c r="D770" s="1090"/>
      <c r="E770" s="1090"/>
      <c r="F770" s="1090"/>
      <c r="G770" s="1090"/>
      <c r="H770" s="1090"/>
      <c r="I770" s="109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0" t="s">
        <v>1646</v>
      </c>
      <c r="B778" s="1090"/>
      <c r="C778" s="1090"/>
      <c r="D778" s="1090"/>
      <c r="E778" s="1090"/>
      <c r="F778" s="1090"/>
      <c r="G778" s="1090"/>
      <c r="H778" s="1090"/>
      <c r="I778" s="109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0" t="s">
        <v>1646</v>
      </c>
      <c r="B790" s="1090"/>
      <c r="C790" s="1090"/>
      <c r="D790" s="1090"/>
      <c r="E790" s="1090"/>
      <c r="F790" s="1090"/>
      <c r="G790" s="1090"/>
      <c r="H790" s="1090"/>
      <c r="I790" s="109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0" t="s">
        <v>1646</v>
      </c>
      <c r="B802" s="1090"/>
      <c r="C802" s="1090"/>
      <c r="D802" s="1090"/>
      <c r="E802" s="1090"/>
      <c r="F802" s="1090"/>
      <c r="G802" s="1090"/>
      <c r="H802" s="1090"/>
      <c r="I802" s="109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0" t="s">
        <v>1646</v>
      </c>
      <c r="B812" s="1090"/>
      <c r="C812" s="1090"/>
      <c r="D812" s="1090"/>
      <c r="E812" s="1090"/>
      <c r="F812" s="1090"/>
      <c r="G812" s="1090"/>
      <c r="H812" s="1090"/>
      <c r="I812" s="109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8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8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0" t="s">
        <v>1646</v>
      </c>
      <c r="B819" s="1090"/>
      <c r="C819" s="1090"/>
      <c r="D819" s="1090"/>
      <c r="E819" s="1090"/>
      <c r="F819" s="1090"/>
      <c r="G819" s="1090"/>
      <c r="H819" s="1090"/>
      <c r="I819" s="1090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0" t="s">
        <v>1646</v>
      </c>
      <c r="B834" s="1090"/>
      <c r="C834" s="1090"/>
      <c r="D834" s="1090"/>
      <c r="E834" s="1090"/>
      <c r="F834" s="1090"/>
      <c r="G834" s="1090"/>
      <c r="H834" s="1090"/>
      <c r="I834" s="1090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0" t="s">
        <v>1646</v>
      </c>
      <c r="B841" s="1090"/>
      <c r="C841" s="1090"/>
      <c r="D841" s="1090"/>
      <c r="E841" s="1090"/>
      <c r="F841" s="1090"/>
      <c r="G841" s="1090"/>
      <c r="H841" s="1090"/>
      <c r="I841" s="1090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0" t="s">
        <v>1646</v>
      </c>
      <c r="B853" s="1090"/>
      <c r="C853" s="1090"/>
      <c r="D853" s="1090"/>
      <c r="E853" s="1090"/>
      <c r="F853" s="1090"/>
      <c r="G853" s="1090"/>
      <c r="H853" s="1090"/>
      <c r="I853" s="109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5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5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5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5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0" t="s">
        <v>1646</v>
      </c>
      <c r="B876" s="1090"/>
      <c r="C876" s="1090"/>
      <c r="D876" s="1090"/>
      <c r="E876" s="1090"/>
      <c r="F876" s="1090"/>
      <c r="G876" s="1090"/>
      <c r="H876" s="1090"/>
      <c r="I876" s="109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5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5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0" t="s">
        <v>1646</v>
      </c>
      <c r="B887" s="1090"/>
      <c r="C887" s="1090"/>
      <c r="D887" s="1090"/>
      <c r="E887" s="1090"/>
      <c r="F887" s="1090"/>
      <c r="G887" s="1090"/>
      <c r="H887" s="1090"/>
      <c r="I887" s="109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6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7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7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7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7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7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7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7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7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7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7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0" t="s">
        <v>1646</v>
      </c>
      <c r="B904" s="1090"/>
      <c r="C904" s="1090"/>
      <c r="D904" s="1090"/>
      <c r="E904" s="1090"/>
      <c r="F904" s="1090"/>
      <c r="G904" s="1090"/>
      <c r="H904" s="1090"/>
      <c r="I904" s="109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6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7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7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7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7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7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7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7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7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7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7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0" t="s">
        <v>1646</v>
      </c>
      <c r="B919" s="1090"/>
      <c r="C919" s="1090"/>
      <c r="D919" s="1090"/>
      <c r="E919" s="1090"/>
      <c r="F919" s="1090"/>
      <c r="G919" s="1090"/>
      <c r="H919" s="1090"/>
      <c r="I919" s="109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6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0" t="s">
        <v>1646</v>
      </c>
      <c r="B930" s="1090"/>
      <c r="C930" s="1090"/>
      <c r="D930" s="1090"/>
      <c r="E930" s="1090"/>
      <c r="F930" s="1090"/>
      <c r="G930" s="1090"/>
      <c r="H930" s="1090"/>
      <c r="I930" s="109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7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7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7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7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7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7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7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7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7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7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7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0" t="s">
        <v>1646</v>
      </c>
      <c r="B944" s="1090"/>
      <c r="C944" s="1090"/>
      <c r="D944" s="1090"/>
      <c r="E944" s="1090"/>
      <c r="F944" s="1090"/>
      <c r="G944" s="1090"/>
      <c r="H944" s="1090"/>
      <c r="I944" s="109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4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5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5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6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0" t="s">
        <v>1646</v>
      </c>
      <c r="B952" s="1090"/>
      <c r="C952" s="1090"/>
      <c r="D952" s="1090"/>
      <c r="E952" s="1090"/>
      <c r="F952" s="1090"/>
      <c r="G952" s="1090"/>
      <c r="H952" s="1090"/>
      <c r="I952" s="109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0" t="s">
        <v>1646</v>
      </c>
      <c r="B956" s="1090"/>
      <c r="C956" s="1090"/>
      <c r="D956" s="1090"/>
      <c r="E956" s="1090"/>
      <c r="F956" s="1090"/>
      <c r="G956" s="1090"/>
      <c r="H956" s="1090"/>
      <c r="I956" s="109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8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8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8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8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0" t="s">
        <v>1646</v>
      </c>
      <c r="B964" s="1090"/>
      <c r="C964" s="1090"/>
      <c r="D964" s="1090"/>
      <c r="E964" s="1090"/>
      <c r="F964" s="1090"/>
      <c r="G964" s="1090"/>
      <c r="H964" s="1090"/>
      <c r="I964" s="109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0" t="s">
        <v>1646</v>
      </c>
      <c r="B976" s="1090"/>
      <c r="C976" s="1090"/>
      <c r="D976" s="1090"/>
      <c r="E976" s="1090"/>
      <c r="F976" s="1090"/>
      <c r="G976" s="1090"/>
      <c r="H976" s="1090"/>
      <c r="I976" s="109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0" t="s">
        <v>1646</v>
      </c>
      <c r="B982" s="1090"/>
      <c r="C982" s="1090"/>
      <c r="D982" s="1090"/>
      <c r="E982" s="1090"/>
      <c r="F982" s="1090"/>
      <c r="G982" s="1090"/>
      <c r="H982" s="1090"/>
      <c r="I982" s="109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8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8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0" t="s">
        <v>1646</v>
      </c>
      <c r="B989" s="1090"/>
      <c r="C989" s="1090"/>
      <c r="D989" s="1090"/>
      <c r="E989" s="1090"/>
      <c r="F989" s="1090"/>
      <c r="G989" s="1090"/>
      <c r="H989" s="1090"/>
      <c r="I989" s="109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0" t="s">
        <v>1646</v>
      </c>
      <c r="B1003" s="1090"/>
      <c r="C1003" s="1090"/>
      <c r="D1003" s="1090"/>
      <c r="E1003" s="1090"/>
      <c r="F1003" s="1090"/>
      <c r="G1003" s="1090"/>
      <c r="H1003" s="1090"/>
      <c r="I1003" s="109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09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09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09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09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09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09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09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09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09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09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0" t="s">
        <v>1646</v>
      </c>
      <c r="B1018" s="1090"/>
      <c r="C1018" s="1090"/>
      <c r="D1018" s="1090"/>
      <c r="E1018" s="1090"/>
      <c r="F1018" s="1090"/>
      <c r="G1018" s="1090"/>
      <c r="H1018" s="1090"/>
      <c r="I1018" s="1090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0" t="s">
        <v>1646</v>
      </c>
      <c r="B1032" s="1090"/>
      <c r="C1032" s="1090"/>
      <c r="D1032" s="1090"/>
      <c r="E1032" s="1090"/>
      <c r="F1032" s="1090"/>
      <c r="G1032" s="1090"/>
      <c r="H1032" s="1090"/>
      <c r="I1032" s="1090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73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74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74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74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74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74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174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74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74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74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75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0" t="s">
        <v>1646</v>
      </c>
      <c r="B1050" s="1090"/>
      <c r="C1050" s="1090"/>
      <c r="D1050" s="1090"/>
      <c r="E1050" s="1090"/>
      <c r="F1050" s="1090"/>
      <c r="G1050" s="1090"/>
      <c r="H1050" s="1090"/>
      <c r="I1050" s="1090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71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71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71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71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7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7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0" t="s">
        <v>1646</v>
      </c>
      <c r="B1061" s="1090"/>
      <c r="C1061" s="1090"/>
      <c r="D1061" s="1090"/>
      <c r="E1061" s="1090"/>
      <c r="F1061" s="1090"/>
      <c r="G1061" s="1090"/>
      <c r="H1061" s="1090"/>
      <c r="I1061" s="1090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67" t="s">
        <v>7303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168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68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172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0" t="s">
        <v>1646</v>
      </c>
      <c r="B1069" s="1090"/>
      <c r="C1069" s="1090"/>
      <c r="D1069" s="1090"/>
      <c r="E1069" s="1090"/>
      <c r="F1069" s="1090"/>
      <c r="G1069" s="1090"/>
      <c r="H1069" s="1090"/>
      <c r="I1069" s="1090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67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168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168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168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168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168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168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168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68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68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68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68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68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172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0" t="s">
        <v>1646</v>
      </c>
      <c r="B1087" s="1090"/>
      <c r="C1087" s="1090"/>
      <c r="D1087" s="1090"/>
      <c r="E1087" s="1090"/>
      <c r="F1087" s="1090"/>
      <c r="G1087" s="1090"/>
      <c r="H1087" s="1090"/>
      <c r="I1087" s="1090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67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168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168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168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168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168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168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172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0" t="s">
        <v>1646</v>
      </c>
      <c r="B1099" s="1090"/>
      <c r="C1099" s="1090"/>
      <c r="D1099" s="1090"/>
      <c r="E1099" s="1090"/>
      <c r="F1099" s="1090"/>
      <c r="G1099" s="1090"/>
      <c r="H1099" s="1090"/>
      <c r="I1099" s="1090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1020" t="s">
        <v>7304</v>
      </c>
      <c r="B1105" s="369" t="s">
        <v>7305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1021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1021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1021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1021"/>
      <c r="B1109" s="369" t="s">
        <v>7236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1022"/>
      <c r="B1110" s="369" t="s">
        <v>7306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0" t="s">
        <v>1646</v>
      </c>
      <c r="B1111" s="1090"/>
      <c r="C1111" s="1090"/>
      <c r="D1111" s="1090"/>
      <c r="E1111" s="1090"/>
      <c r="F1111" s="1090"/>
      <c r="G1111" s="1090"/>
      <c r="H1111" s="1090"/>
      <c r="I1111" s="1090"/>
      <c r="J1111" s="618">
        <f>SUM(J1103:J1110)</f>
        <v>21</v>
      </c>
      <c r="K1111" s="654"/>
    </row>
  </sheetData>
  <autoFilter ref="A349:L357"/>
  <mergeCells count="374"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4" t="s">
        <v>5385</v>
      </c>
      <c r="I12" s="884"/>
      <c r="J12" s="884"/>
      <c r="K12" s="88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4" t="s">
        <v>5386</v>
      </c>
      <c r="I20" s="884"/>
      <c r="J20" s="884"/>
      <c r="K20" s="88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2026-10-02T07:13:11Z</dcterms:modified>
</cp:coreProperties>
</file>