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<sst xmlns="http://schemas.openxmlformats.org/spreadsheetml/2006/main" count="26290" uniqueCount="6711">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</sst>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2"/>
  <sheetViews>
    <sheetView showGridLines="0" tabSelected="1" topLeftCell="A513" zoomScaleNormal="100" workbookViewId="0">
      <selection activeCell="I522" sqref="I52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93" t="s">
        <v>3261</v>
      </c>
      <c r="B1" s="893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4"/>
      <c r="Q22" s="895"/>
      <c r="R22" s="895"/>
      <c r="S22" s="89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4"/>
      <c r="Q27" s="895"/>
      <c r="R27" s="895"/>
      <c r="S27" s="89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4"/>
      <c r="Q36" s="895"/>
      <c r="R36" s="895"/>
      <c r="S36" s="89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4"/>
      <c r="Q37" s="895"/>
      <c r="R37" s="895"/>
      <c r="S37" s="89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4"/>
      <c r="Q40" s="895"/>
      <c r="R40" s="895"/>
      <c r="S40" s="89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4"/>
      <c r="Q41" s="895"/>
      <c r="R41" s="895"/>
      <c r="S41" s="89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4" t="s">
        <v>4390</v>
      </c>
      <c r="Q43" s="895"/>
      <c r="R43" s="895"/>
      <c r="S43" s="89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4"/>
      <c r="Q61" s="895"/>
      <c r="R61" s="895"/>
      <c r="S61" s="89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4"/>
      <c r="Q64" s="895"/>
      <c r="R64" s="895"/>
      <c r="S64" s="89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4"/>
      <c r="Q67" s="895"/>
      <c r="R67" s="895"/>
      <c r="S67" s="89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4"/>
      <c r="Q74" s="895"/>
      <c r="R74" s="895"/>
      <c r="S74" s="89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4"/>
      <c r="Q83" s="895"/>
      <c r="R83" s="895"/>
      <c r="S83" s="89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4"/>
      <c r="Q85" s="895"/>
      <c r="R85" s="895"/>
      <c r="S85" s="89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4" t="s">
        <v>4390</v>
      </c>
      <c r="Q93" s="895"/>
      <c r="R93" s="895"/>
      <c r="S93" s="89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4466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6498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>
      <c r="A467" s="604"/>
      <c r="B467" s="399">
        <v>46213</v>
      </c>
      <c r="C467" s="4" t="s">
        <v>6469</v>
      </c>
      <c r="D467" s="4" t="s">
        <v>6365</v>
      </c>
      <c r="E467" s="817" t="s">
        <v>6501</v>
      </c>
      <c r="F467" s="817" t="s">
        <v>6470</v>
      </c>
      <c r="G467" s="16" t="s">
        <v>6471</v>
      </c>
      <c r="H467" s="823" t="s">
        <v>6527</v>
      </c>
      <c r="I467" s="817" t="s">
        <v>6502</v>
      </c>
      <c r="J467" s="817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6521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6522</v>
      </c>
      <c r="P470" s="817" t="s">
        <v>6293</v>
      </c>
      <c r="Q470" s="17" t="s">
        <v>6386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3" t="s">
        <v>6494</v>
      </c>
      <c r="I471" s="817" t="s">
        <v>6496</v>
      </c>
      <c r="J471" s="817" t="s">
        <v>6515</v>
      </c>
      <c r="K471" s="125" t="s">
        <v>6490</v>
      </c>
      <c r="L471" s="16">
        <v>9080</v>
      </c>
      <c r="M471" s="8">
        <v>2</v>
      </c>
      <c r="N471" s="801"/>
      <c r="O471" s="431" t="s">
        <v>6523</v>
      </c>
      <c r="P471" s="801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6542</v>
      </c>
      <c r="I472" s="817" t="s">
        <v>6496</v>
      </c>
      <c r="J472" s="817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5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6495</v>
      </c>
      <c r="I473" s="817" t="s">
        <v>6496</v>
      </c>
      <c r="J473" s="817" t="s">
        <v>6515</v>
      </c>
      <c r="K473" s="125" t="s">
        <v>6490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3" t="s">
        <v>6552</v>
      </c>
      <c r="J474" s="843" t="s">
        <v>6544</v>
      </c>
      <c r="K474" s="125" t="s">
        <v>15</v>
      </c>
      <c r="L474" s="16" t="s">
        <v>6541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17" t="s">
        <v>6544</v>
      </c>
      <c r="K476" s="125" t="s">
        <v>911</v>
      </c>
      <c r="L476" s="459" t="s">
        <v>6514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6489</v>
      </c>
      <c r="H477" s="823" t="s">
        <v>6557</v>
      </c>
      <c r="I477" s="817" t="s">
        <v>6555</v>
      </c>
      <c r="J477" s="817" t="s">
        <v>6556</v>
      </c>
      <c r="K477" s="125" t="s">
        <v>911</v>
      </c>
      <c r="L477" s="16" t="s">
        <v>6510</v>
      </c>
      <c r="M477" s="8">
        <v>3</v>
      </c>
      <c r="N477" s="822"/>
      <c r="O477" s="437" t="s">
        <v>6575</v>
      </c>
      <c r="P477" s="817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6554</v>
      </c>
      <c r="I478" s="843" t="s">
        <v>6555</v>
      </c>
      <c r="J478" s="843" t="s">
        <v>6556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6578</v>
      </c>
      <c r="I479" s="843" t="s">
        <v>6555</v>
      </c>
      <c r="J479" s="843" t="s">
        <v>6556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6546</v>
      </c>
      <c r="E480" s="843" t="s">
        <v>3335</v>
      </c>
      <c r="F480" s="843" t="s">
        <v>6566</v>
      </c>
      <c r="G480" s="16" t="s">
        <v>6547</v>
      </c>
      <c r="H480" s="845" t="s">
        <v>1279</v>
      </c>
      <c r="I480" s="843" t="s">
        <v>1690</v>
      </c>
      <c r="J480" s="843" t="s">
        <v>6572</v>
      </c>
      <c r="K480" s="125" t="s">
        <v>6548</v>
      </c>
      <c r="L480" s="16" t="s">
        <v>6573</v>
      </c>
      <c r="M480" s="8">
        <v>4</v>
      </c>
      <c r="N480" s="844"/>
      <c r="O480" s="437" t="s">
        <v>6574</v>
      </c>
      <c r="P480" s="843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6546</v>
      </c>
      <c r="E481" s="843" t="s">
        <v>3335</v>
      </c>
      <c r="F481" s="843" t="s">
        <v>4939</v>
      </c>
      <c r="G481" s="16" t="s">
        <v>6549</v>
      </c>
      <c r="H481" s="845" t="s">
        <v>6550</v>
      </c>
      <c r="I481" s="843" t="s">
        <v>1690</v>
      </c>
      <c r="J481" s="843" t="s">
        <v>6572</v>
      </c>
      <c r="K481" s="125" t="s">
        <v>6548</v>
      </c>
      <c r="L481" s="16" t="s">
        <v>6573</v>
      </c>
      <c r="M481" s="8">
        <v>4</v>
      </c>
      <c r="N481" s="844"/>
      <c r="O481" s="437" t="s">
        <v>6574</v>
      </c>
      <c r="P481" s="843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6576</v>
      </c>
      <c r="K483" s="125" t="s">
        <v>911</v>
      </c>
      <c r="L483" s="459">
        <v>9080</v>
      </c>
      <c r="M483" s="455">
        <v>3</v>
      </c>
      <c r="N483" s="844"/>
      <c r="O483" s="437" t="s">
        <v>6577</v>
      </c>
      <c r="P483" s="843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17"/>
      <c r="F484" s="817"/>
      <c r="G484" s="16"/>
      <c r="H484" s="404" t="s">
        <v>6545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6599</v>
      </c>
      <c r="I487" s="863" t="s">
        <v>6600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6567</v>
      </c>
      <c r="F488" s="454">
        <v>8262</v>
      </c>
      <c r="G488" s="459" t="s">
        <v>1225</v>
      </c>
      <c r="H488" s="845" t="s">
        <v>6620</v>
      </c>
      <c r="I488" s="454" t="s">
        <v>6568</v>
      </c>
      <c r="J488" s="453"/>
      <c r="K488" s="136" t="s">
        <v>6553</v>
      </c>
      <c r="L488" s="459" t="s">
        <v>33</v>
      </c>
      <c r="M488" s="455">
        <v>2</v>
      </c>
      <c r="N488" s="843"/>
      <c r="O488" s="429" t="s">
        <v>6586</v>
      </c>
      <c r="P488" s="843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45" t="s">
        <v>6584</v>
      </c>
      <c r="I489" s="454" t="s">
        <v>6568</v>
      </c>
      <c r="J489" s="453"/>
      <c r="K489" s="136" t="s">
        <v>6553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6483</v>
      </c>
      <c r="G490" s="884" t="s">
        <v>6484</v>
      </c>
      <c r="H490" s="882" t="s">
        <v>6622</v>
      </c>
      <c r="I490" s="883" t="s">
        <v>6602</v>
      </c>
      <c r="J490" s="883" t="s">
        <v>686</v>
      </c>
      <c r="K490" s="885" t="s">
        <v>6569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6550</v>
      </c>
      <c r="I492" s="854" t="s">
        <v>6656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6607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6585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3" t="s">
        <v>6605</v>
      </c>
      <c r="I495" s="454"/>
      <c r="J495" s="453" t="s">
        <v>5284</v>
      </c>
      <c r="K495" s="136" t="s">
        <v>15</v>
      </c>
      <c r="L495" s="459" t="s">
        <v>6606</v>
      </c>
      <c r="M495" s="8">
        <v>3</v>
      </c>
      <c r="N495" s="843"/>
      <c r="O495" s="431" t="s">
        <v>6621</v>
      </c>
      <c r="P495" s="843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6592</v>
      </c>
      <c r="I496" s="454" t="s">
        <v>6644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6614</v>
      </c>
      <c r="E497" s="454" t="s">
        <v>6593</v>
      </c>
      <c r="F497" s="454" t="s">
        <v>6615</v>
      </c>
      <c r="G497" s="459" t="s">
        <v>6616</v>
      </c>
      <c r="H497" s="853" t="s">
        <v>6617</v>
      </c>
      <c r="I497" s="454" t="s">
        <v>3661</v>
      </c>
      <c r="J497" s="453" t="s">
        <v>6618</v>
      </c>
      <c r="K497" s="136" t="s">
        <v>6619</v>
      </c>
      <c r="L497" s="459" t="s">
        <v>6596</v>
      </c>
      <c r="M497" s="8">
        <v>2</v>
      </c>
      <c r="N497" s="848"/>
      <c r="O497" s="431"/>
      <c r="P497" s="848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6623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48" t="s">
        <v>6543</v>
      </c>
      <c r="F499" s="848" t="s">
        <v>2978</v>
      </c>
      <c r="G499" s="16" t="s">
        <v>23</v>
      </c>
      <c r="H499" s="853" t="s">
        <v>146</v>
      </c>
      <c r="I499" s="848" t="s">
        <v>6604</v>
      </c>
      <c r="J499" s="848" t="s">
        <v>6645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3" t="s">
        <v>146</v>
      </c>
      <c r="I500" s="848" t="s">
        <v>6604</v>
      </c>
      <c r="J500" s="854" t="s">
        <v>6645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6588</v>
      </c>
      <c r="H501" s="853" t="s">
        <v>6589</v>
      </c>
      <c r="I501" s="848" t="s">
        <v>6590</v>
      </c>
      <c r="J501" s="854" t="s">
        <v>6655</v>
      </c>
      <c r="K501" s="125" t="s">
        <v>15</v>
      </c>
      <c r="L501" s="16" t="s">
        <v>33</v>
      </c>
      <c r="M501" s="8">
        <v>4</v>
      </c>
      <c r="N501" s="848"/>
      <c r="O501" s="429" t="s">
        <v>6601</v>
      </c>
      <c r="P501" s="848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6509</v>
      </c>
      <c r="I502" s="843" t="s">
        <v>6579</v>
      </c>
      <c r="J502" s="843" t="s">
        <v>6580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6588</v>
      </c>
      <c r="H503" s="853" t="s">
        <v>6589</v>
      </c>
      <c r="I503" s="848" t="s">
        <v>6590</v>
      </c>
      <c r="J503" s="848" t="s">
        <v>6655</v>
      </c>
      <c r="K503" s="125" t="s">
        <v>15</v>
      </c>
      <c r="L503" s="16" t="s">
        <v>33</v>
      </c>
      <c r="M503" s="8">
        <v>4</v>
      </c>
      <c r="N503" s="848"/>
      <c r="O503" s="429" t="s">
        <v>6601</v>
      </c>
      <c r="P503" s="848"/>
    </row>
    <row r="504" spans="1:16" s="17" customFormat="1" ht="33" customHeight="1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6661</v>
      </c>
      <c r="I504" s="454" t="s">
        <v>6604</v>
      </c>
      <c r="J504" s="454" t="s">
        <v>6645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6690</v>
      </c>
      <c r="I505" s="454" t="s">
        <v>90</v>
      </c>
      <c r="J505" s="454" t="s">
        <v>6645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6540</v>
      </c>
      <c r="I506" s="843" t="s">
        <v>6579</v>
      </c>
      <c r="J506" s="843" t="s">
        <v>6580</v>
      </c>
      <c r="K506" s="125" t="s">
        <v>6581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6588</v>
      </c>
      <c r="H507" s="853" t="s">
        <v>6589</v>
      </c>
      <c r="I507" s="848" t="s">
        <v>6590</v>
      </c>
      <c r="J507" s="854" t="s">
        <v>6655</v>
      </c>
      <c r="K507" s="125" t="s">
        <v>15</v>
      </c>
      <c r="L507" s="16" t="s">
        <v>33</v>
      </c>
      <c r="M507" s="8">
        <v>4</v>
      </c>
      <c r="N507" s="848"/>
      <c r="O507" s="429" t="s">
        <v>6601</v>
      </c>
      <c r="P507" s="848"/>
    </row>
    <row r="508" spans="1:16" s="17" customFormat="1" ht="33" customHeight="1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6504</v>
      </c>
      <c r="G509" s="16" t="s">
        <v>200</v>
      </c>
      <c r="H509" s="853" t="s">
        <v>6598</v>
      </c>
      <c r="I509" s="848" t="s">
        <v>6579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6504</v>
      </c>
      <c r="G510" s="16" t="s">
        <v>200</v>
      </c>
      <c r="H510" s="853" t="s">
        <v>6598</v>
      </c>
      <c r="I510" s="848" t="s">
        <v>6579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6643</v>
      </c>
      <c r="J512" s="848" t="s">
        <v>6662</v>
      </c>
      <c r="K512" s="125" t="s">
        <v>6658</v>
      </c>
      <c r="L512" s="16" t="s">
        <v>6653</v>
      </c>
      <c r="M512" s="8">
        <v>2</v>
      </c>
      <c r="N512" s="594" t="s">
        <v>202</v>
      </c>
      <c r="O512" s="431" t="s">
        <v>6663</v>
      </c>
      <c r="P512" s="755"/>
    </row>
    <row r="513" spans="1:16" s="17" customFormat="1" ht="33" customHeight="1">
      <c r="A513" s="604"/>
      <c r="B513" s="399">
        <v>46230</v>
      </c>
      <c r="C513" s="4" t="s">
        <v>6503</v>
      </c>
      <c r="D513" s="4" t="s">
        <v>797</v>
      </c>
      <c r="E513" s="817" t="s">
        <v>6114</v>
      </c>
      <c r="F513" s="817" t="s">
        <v>6504</v>
      </c>
      <c r="G513" s="16" t="s">
        <v>6505</v>
      </c>
      <c r="H513" s="823" t="s">
        <v>6506</v>
      </c>
      <c r="I513" s="843" t="s">
        <v>6579</v>
      </c>
      <c r="J513" s="843" t="s">
        <v>6580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6" s="17" customFormat="1" ht="33" customHeight="1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6550</v>
      </c>
      <c r="I514" s="854"/>
      <c r="J514" s="854" t="s">
        <v>6671</v>
      </c>
      <c r="K514" s="125" t="s">
        <v>6658</v>
      </c>
      <c r="L514" s="16" t="s">
        <v>4550</v>
      </c>
      <c r="M514" s="8">
        <v>2</v>
      </c>
      <c r="N514" s="854"/>
      <c r="O514" s="431"/>
      <c r="P514" s="854"/>
    </row>
    <row r="515" spans="1:16" s="17" customFormat="1" ht="33" customHeight="1">
      <c r="A515" s="604"/>
      <c r="B515" s="399">
        <v>46231</v>
      </c>
      <c r="C515" s="4" t="s">
        <v>6503</v>
      </c>
      <c r="D515" s="4" t="s">
        <v>797</v>
      </c>
      <c r="E515" s="817" t="s">
        <v>6114</v>
      </c>
      <c r="F515" s="817" t="s">
        <v>6504</v>
      </c>
      <c r="G515" s="16" t="s">
        <v>6505</v>
      </c>
      <c r="H515" s="823" t="s">
        <v>6506</v>
      </c>
      <c r="I515" s="843" t="s">
        <v>6579</v>
      </c>
      <c r="J515" s="843" t="s">
        <v>6580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6" s="17" customFormat="1" ht="33" customHeight="1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6595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6" s="17" customFormat="1" ht="33" customHeight="1">
      <c r="A517" s="604"/>
      <c r="B517" s="198">
        <v>46232</v>
      </c>
      <c r="C517" s="3" t="s">
        <v>21</v>
      </c>
      <c r="D517" s="3" t="s">
        <v>14</v>
      </c>
      <c r="E517" s="454" t="s">
        <v>1893</v>
      </c>
      <c r="F517" s="454" t="s">
        <v>4939</v>
      </c>
      <c r="G517" s="459" t="s">
        <v>482</v>
      </c>
      <c r="H517" s="453" t="s">
        <v>6550</v>
      </c>
      <c r="I517" s="454" t="s">
        <v>6657</v>
      </c>
      <c r="J517" s="454" t="s">
        <v>6675</v>
      </c>
      <c r="K517" s="136" t="s">
        <v>6658</v>
      </c>
      <c r="L517" s="459">
        <v>9080</v>
      </c>
      <c r="M517" s="455">
        <v>2</v>
      </c>
      <c r="N517" s="854"/>
      <c r="O517" s="431" t="s">
        <v>6689</v>
      </c>
      <c r="P517" s="854"/>
    </row>
    <row r="518" spans="1:16" s="17" customFormat="1" ht="33" customHeight="1">
      <c r="A518" s="604"/>
      <c r="B518" s="198">
        <v>46232</v>
      </c>
      <c r="C518" s="3" t="s">
        <v>21</v>
      </c>
      <c r="D518" s="3" t="s">
        <v>14</v>
      </c>
      <c r="E518" s="454" t="s">
        <v>1787</v>
      </c>
      <c r="F518" s="454" t="s">
        <v>2978</v>
      </c>
      <c r="G518" s="459" t="s">
        <v>205</v>
      </c>
      <c r="H518" s="453" t="s">
        <v>6654</v>
      </c>
      <c r="I518" s="454"/>
      <c r="J518" s="454" t="s">
        <v>6687</v>
      </c>
      <c r="K518" s="136" t="s">
        <v>15</v>
      </c>
      <c r="L518" s="459">
        <v>9080</v>
      </c>
      <c r="M518" s="455">
        <v>2</v>
      </c>
      <c r="N518" s="854"/>
      <c r="O518" s="431" t="s">
        <v>6664</v>
      </c>
      <c r="P518" s="854"/>
    </row>
    <row r="519" spans="1:16" s="17" customFormat="1" ht="33" customHeight="1">
      <c r="A519" s="604"/>
      <c r="B519" s="198">
        <v>46232</v>
      </c>
      <c r="C519" s="3" t="s">
        <v>21</v>
      </c>
      <c r="D519" s="3" t="s">
        <v>14</v>
      </c>
      <c r="E519" s="454" t="s">
        <v>1895</v>
      </c>
      <c r="F519" s="454">
        <v>7062</v>
      </c>
      <c r="G519" s="459" t="s">
        <v>142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848"/>
      <c r="O519" s="431"/>
      <c r="P519" s="848"/>
    </row>
    <row r="520" spans="1:16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107</v>
      </c>
      <c r="F520" s="454" t="s">
        <v>2959</v>
      </c>
      <c r="G520" s="459" t="s">
        <v>143</v>
      </c>
      <c r="H520" s="453" t="s">
        <v>6683</v>
      </c>
      <c r="I520" s="454" t="s">
        <v>126</v>
      </c>
      <c r="J520" s="454" t="s">
        <v>6676</v>
      </c>
      <c r="K520" s="136" t="s">
        <v>15</v>
      </c>
      <c r="L520" s="459" t="s">
        <v>33</v>
      </c>
      <c r="M520" s="455">
        <v>2</v>
      </c>
      <c r="N520" s="854"/>
      <c r="O520" s="431" t="s">
        <v>4393</v>
      </c>
      <c r="P520" s="854"/>
    </row>
    <row r="521" spans="1:16" s="17" customFormat="1" ht="33" customHeight="1">
      <c r="A521" s="604"/>
      <c r="B521" s="198">
        <v>46232</v>
      </c>
      <c r="C521" s="3" t="s">
        <v>6503</v>
      </c>
      <c r="D521" s="3" t="s">
        <v>797</v>
      </c>
      <c r="E521" s="454" t="s">
        <v>6114</v>
      </c>
      <c r="F521" s="454" t="s">
        <v>6504</v>
      </c>
      <c r="G521" s="459" t="s">
        <v>6505</v>
      </c>
      <c r="H521" s="453" t="s">
        <v>6507</v>
      </c>
      <c r="I521" s="454" t="s">
        <v>6579</v>
      </c>
      <c r="J521" s="454" t="s">
        <v>6580</v>
      </c>
      <c r="K521" s="136" t="s">
        <v>6582</v>
      </c>
      <c r="L521" s="459" t="s">
        <v>4550</v>
      </c>
      <c r="M521" s="455">
        <v>3</v>
      </c>
      <c r="N521" s="595" t="s">
        <v>6656</v>
      </c>
      <c r="O521" s="430"/>
      <c r="P521" s="755"/>
    </row>
    <row r="522" spans="1:16" s="17" customFormat="1" ht="33" customHeight="1">
      <c r="A522" s="604"/>
      <c r="B522" s="198">
        <v>46232</v>
      </c>
      <c r="C522" s="3" t="s">
        <v>6609</v>
      </c>
      <c r="D522" s="3" t="s">
        <v>31</v>
      </c>
      <c r="E522" s="454" t="s">
        <v>6610</v>
      </c>
      <c r="F522" s="454" t="s">
        <v>6611</v>
      </c>
      <c r="G522" s="459" t="s">
        <v>6612</v>
      </c>
      <c r="H522" s="453" t="s">
        <v>6651</v>
      </c>
      <c r="I522" s="454" t="s">
        <v>6650</v>
      </c>
      <c r="J522" s="454"/>
      <c r="K522" s="136" t="s">
        <v>6613</v>
      </c>
      <c r="L522" s="459">
        <v>9080</v>
      </c>
      <c r="M522" s="455">
        <v>2</v>
      </c>
      <c r="N522" s="852"/>
      <c r="O522" s="430"/>
      <c r="P522" s="848"/>
    </row>
    <row r="523" spans="1:16" s="17" customFormat="1" ht="33" customHeight="1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6708</v>
      </c>
      <c r="G523" s="459" t="s">
        <v>207</v>
      </c>
      <c r="H523" s="453" t="s">
        <v>6709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6710</v>
      </c>
      <c r="P523" s="878"/>
    </row>
    <row r="524" spans="1:16" s="17" customFormat="1" ht="33" customHeight="1">
      <c r="A524" s="604"/>
      <c r="B524" s="198">
        <v>46233</v>
      </c>
      <c r="C524" s="3" t="s">
        <v>6503</v>
      </c>
      <c r="D524" s="3" t="s">
        <v>797</v>
      </c>
      <c r="E524" s="454" t="s">
        <v>6114</v>
      </c>
      <c r="F524" s="454" t="s">
        <v>6504</v>
      </c>
      <c r="G524" s="459" t="s">
        <v>6505</v>
      </c>
      <c r="H524" s="453" t="s">
        <v>6507</v>
      </c>
      <c r="I524" s="454" t="s">
        <v>6579</v>
      </c>
      <c r="J524" s="454" t="s">
        <v>6580</v>
      </c>
      <c r="K524" s="136" t="s">
        <v>6583</v>
      </c>
      <c r="L524" s="459" t="s">
        <v>4550</v>
      </c>
      <c r="M524" s="455">
        <v>3</v>
      </c>
      <c r="N524" s="595"/>
      <c r="O524" s="430"/>
      <c r="P524" s="854"/>
    </row>
    <row r="525" spans="1:16" s="17" customFormat="1" ht="33" customHeight="1">
      <c r="A525" s="604"/>
      <c r="B525" s="399">
        <v>46233</v>
      </c>
      <c r="C525" s="3" t="s">
        <v>6677</v>
      </c>
      <c r="D525" s="3" t="s">
        <v>6678</v>
      </c>
      <c r="E525" s="454" t="s">
        <v>78</v>
      </c>
      <c r="F525" s="454" t="s">
        <v>6679</v>
      </c>
      <c r="G525" s="459" t="s">
        <v>6680</v>
      </c>
      <c r="H525" s="453" t="s">
        <v>6526</v>
      </c>
      <c r="I525" s="817" t="s">
        <v>6643</v>
      </c>
      <c r="J525" s="817" t="s">
        <v>6597</v>
      </c>
      <c r="K525" s="125" t="s">
        <v>6681</v>
      </c>
      <c r="L525" s="16" t="s">
        <v>6682</v>
      </c>
      <c r="M525" s="8">
        <v>2</v>
      </c>
      <c r="N525" s="822"/>
      <c r="O525" s="430" t="s">
        <v>6688</v>
      </c>
      <c r="P525" s="854"/>
    </row>
    <row r="526" spans="1:16" s="17" customFormat="1" ht="33" customHeight="1">
      <c r="A526" s="604"/>
      <c r="B526" s="399">
        <v>46234</v>
      </c>
      <c r="C526" s="4" t="s">
        <v>6503</v>
      </c>
      <c r="D526" s="4" t="s">
        <v>797</v>
      </c>
      <c r="E526" s="817" t="s">
        <v>6114</v>
      </c>
      <c r="F526" s="817" t="s">
        <v>6504</v>
      </c>
      <c r="G526" s="16" t="s">
        <v>6505</v>
      </c>
      <c r="H526" s="823" t="s">
        <v>6508</v>
      </c>
      <c r="I526" s="843" t="s">
        <v>6579</v>
      </c>
      <c r="J526" s="843" t="s">
        <v>6580</v>
      </c>
      <c r="K526" s="125" t="s">
        <v>42</v>
      </c>
      <c r="L526" s="16" t="s">
        <v>4550</v>
      </c>
      <c r="M526" s="8">
        <v>3</v>
      </c>
      <c r="N526" s="595"/>
      <c r="O526" s="430"/>
      <c r="P526" s="854" t="s">
        <v>6293</v>
      </c>
    </row>
    <row r="527" spans="1:16" s="17" customFormat="1" ht="33" customHeight="1">
      <c r="A527" s="604"/>
      <c r="B527" s="399">
        <v>46234</v>
      </c>
      <c r="C527" s="4" t="s">
        <v>21</v>
      </c>
      <c r="D527" s="4" t="s">
        <v>14</v>
      </c>
      <c r="E527" s="854" t="s">
        <v>1787</v>
      </c>
      <c r="F527" s="854" t="s">
        <v>2978</v>
      </c>
      <c r="G527" s="16" t="s">
        <v>205</v>
      </c>
      <c r="H527" s="863" t="s">
        <v>6684</v>
      </c>
      <c r="I527" s="854"/>
      <c r="J527" s="854" t="s">
        <v>6686</v>
      </c>
      <c r="K527" s="125" t="s">
        <v>15</v>
      </c>
      <c r="L527" s="16" t="s">
        <v>4550</v>
      </c>
      <c r="M527" s="8">
        <v>1</v>
      </c>
      <c r="N527" s="862"/>
      <c r="O527" s="430" t="s">
        <v>6685</v>
      </c>
      <c r="P527" s="854"/>
    </row>
    <row r="528" spans="1:16" s="17" customFormat="1" ht="33" customHeight="1">
      <c r="A528" s="605"/>
      <c r="B528" s="369">
        <v>46235</v>
      </c>
      <c r="C528" s="4"/>
      <c r="D528" s="4"/>
      <c r="E528" s="817"/>
      <c r="F528" s="817"/>
      <c r="G528" s="16"/>
      <c r="H528" s="823"/>
      <c r="I528" s="817"/>
      <c r="J528" s="594"/>
      <c r="K528" s="125"/>
      <c r="L528" s="16"/>
      <c r="M528" s="8"/>
      <c r="N528" s="594"/>
      <c r="O528" s="432"/>
      <c r="P528" s="755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 t="s">
        <v>6329</v>
      </c>
      <c r="B530" s="399">
        <v>46237</v>
      </c>
      <c r="C530" s="4"/>
      <c r="D530" s="4"/>
      <c r="E530" s="794"/>
      <c r="F530" s="794"/>
      <c r="G530" s="16"/>
      <c r="H530" s="800" t="s">
        <v>6539</v>
      </c>
      <c r="I530" s="794"/>
      <c r="J530" s="794"/>
      <c r="K530" s="125"/>
      <c r="L530" s="16"/>
      <c r="M530" s="8"/>
      <c r="N530" s="794"/>
      <c r="O530" s="431"/>
      <c r="P530" s="794"/>
    </row>
    <row r="531" spans="1:16" s="17" customFormat="1" ht="33" customHeight="1">
      <c r="A531" s="604"/>
      <c r="B531" s="399">
        <v>46237</v>
      </c>
      <c r="C531" s="4" t="s">
        <v>21</v>
      </c>
      <c r="D531" s="4" t="s">
        <v>14</v>
      </c>
      <c r="E531" s="454" t="s">
        <v>107</v>
      </c>
      <c r="F531" s="454" t="s">
        <v>3386</v>
      </c>
      <c r="G531" s="459" t="s">
        <v>964</v>
      </c>
      <c r="H531" s="453" t="s">
        <v>6652</v>
      </c>
      <c r="I531" s="454"/>
      <c r="J531" s="843"/>
      <c r="K531" s="125"/>
      <c r="L531" s="459"/>
      <c r="M531" s="455"/>
      <c r="N531" s="843"/>
      <c r="O531" s="431"/>
      <c r="P531" s="843"/>
    </row>
    <row r="532" spans="1:16" s="17" customFormat="1" ht="33" customHeight="1">
      <c r="A532" s="604"/>
      <c r="B532" s="399">
        <v>46238</v>
      </c>
      <c r="C532" s="4"/>
      <c r="D532" s="4"/>
      <c r="E532" s="291"/>
      <c r="F532" s="794"/>
      <c r="G532" s="16"/>
      <c r="H532" s="845" t="s">
        <v>6539</v>
      </c>
      <c r="I532" s="794"/>
      <c r="J532" s="794"/>
      <c r="K532" s="125"/>
      <c r="L532" s="16"/>
      <c r="M532" s="8"/>
      <c r="N532" s="794"/>
      <c r="O532" s="431"/>
      <c r="P532" s="794"/>
    </row>
    <row r="533" spans="1:16" s="17" customFormat="1" ht="33" customHeight="1">
      <c r="A533" s="604"/>
      <c r="B533" s="399">
        <v>46239</v>
      </c>
      <c r="C533" s="4"/>
      <c r="D533" s="4"/>
      <c r="E533" s="794"/>
      <c r="F533" s="794"/>
      <c r="G533" s="16"/>
      <c r="H533" s="845" t="s">
        <v>6539</v>
      </c>
      <c r="I533" s="794"/>
      <c r="J533" s="800"/>
      <c r="K533" s="125"/>
      <c r="L533" s="16"/>
      <c r="M533" s="8"/>
      <c r="N533" s="799"/>
      <c r="O533" s="430"/>
      <c r="P533" s="794"/>
    </row>
    <row r="534" spans="1:16" s="17" customFormat="1" ht="33" customHeight="1">
      <c r="A534" s="604"/>
      <c r="B534" s="399">
        <v>46240</v>
      </c>
      <c r="C534" s="4"/>
      <c r="D534" s="4"/>
      <c r="E534" s="854"/>
      <c r="F534" s="854"/>
      <c r="G534" s="16"/>
      <c r="H534" s="863"/>
      <c r="I534" s="854"/>
      <c r="J534" s="863"/>
      <c r="K534" s="125"/>
      <c r="L534" s="16"/>
      <c r="M534" s="8"/>
      <c r="N534" s="862"/>
      <c r="O534" s="430"/>
      <c r="P534" s="854"/>
    </row>
    <row r="535" spans="1:16" s="17" customFormat="1" ht="33" customHeight="1">
      <c r="A535" s="604"/>
      <c r="B535" s="399">
        <v>46241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>
      <c r="A536" s="604"/>
      <c r="B536" s="399">
        <v>46242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>
      <c r="A537" s="604"/>
      <c r="B537" s="869" t="s">
        <v>6665</v>
      </c>
      <c r="C537" s="272" t="s">
        <v>21</v>
      </c>
      <c r="D537" s="272" t="s">
        <v>14</v>
      </c>
      <c r="E537" s="871" t="s">
        <v>149</v>
      </c>
      <c r="F537" s="871" t="s">
        <v>5488</v>
      </c>
      <c r="G537" s="872" t="s">
        <v>5428</v>
      </c>
      <c r="H537" s="870" t="s">
        <v>6667</v>
      </c>
      <c r="I537" s="871" t="s">
        <v>6670</v>
      </c>
      <c r="J537" s="870"/>
      <c r="K537" s="873"/>
      <c r="L537" s="872"/>
      <c r="M537" s="874"/>
      <c r="N537" s="875"/>
      <c r="O537" s="891"/>
      <c r="P537" s="794"/>
    </row>
    <row r="538" spans="1:16" s="17" customFormat="1" ht="33" customHeight="1">
      <c r="A538" s="604"/>
      <c r="B538" s="869" t="s">
        <v>6665</v>
      </c>
      <c r="C538" s="272" t="s">
        <v>21</v>
      </c>
      <c r="D538" s="272" t="s">
        <v>14</v>
      </c>
      <c r="E538" s="871" t="s">
        <v>211</v>
      </c>
      <c r="F538" s="871" t="s">
        <v>5754</v>
      </c>
      <c r="G538" s="872" t="s">
        <v>18</v>
      </c>
      <c r="H538" s="870" t="s">
        <v>6357</v>
      </c>
      <c r="I538" s="871"/>
      <c r="J538" s="870"/>
      <c r="K538" s="873"/>
      <c r="L538" s="872"/>
      <c r="M538" s="874"/>
      <c r="N538" s="875"/>
      <c r="O538" s="891"/>
      <c r="P538" s="854"/>
    </row>
    <row r="539" spans="1:16" s="17" customFormat="1" ht="33" customHeight="1">
      <c r="A539" s="604"/>
      <c r="B539" s="869" t="s">
        <v>6665</v>
      </c>
      <c r="C539" s="272" t="s">
        <v>21</v>
      </c>
      <c r="D539" s="272" t="s">
        <v>14</v>
      </c>
      <c r="E539" s="871" t="s">
        <v>107</v>
      </c>
      <c r="F539" s="871" t="s">
        <v>2959</v>
      </c>
      <c r="G539" s="872" t="s">
        <v>6668</v>
      </c>
      <c r="H539" s="870" t="s">
        <v>6669</v>
      </c>
      <c r="I539" s="871"/>
      <c r="J539" s="871" t="s">
        <v>6659</v>
      </c>
      <c r="K539" s="873" t="s">
        <v>15</v>
      </c>
      <c r="L539" s="872" t="s">
        <v>4550</v>
      </c>
      <c r="M539" s="874"/>
      <c r="N539" s="875"/>
      <c r="O539" s="891"/>
      <c r="P539" s="854"/>
    </row>
    <row r="540" spans="1:16" s="17" customFormat="1" ht="33" customHeight="1">
      <c r="A540" s="604"/>
      <c r="B540" s="869" t="s">
        <v>6666</v>
      </c>
      <c r="C540" s="272" t="s">
        <v>21</v>
      </c>
      <c r="D540" s="272" t="s">
        <v>14</v>
      </c>
      <c r="E540" s="871" t="s">
        <v>107</v>
      </c>
      <c r="F540" s="871" t="s">
        <v>2959</v>
      </c>
      <c r="G540" s="872" t="s">
        <v>1895</v>
      </c>
      <c r="H540" s="870" t="s">
        <v>6660</v>
      </c>
      <c r="I540" s="871"/>
      <c r="J540" s="871" t="s">
        <v>6659</v>
      </c>
      <c r="K540" s="873" t="s">
        <v>15</v>
      </c>
      <c r="L540" s="872" t="s">
        <v>4550</v>
      </c>
      <c r="M540" s="874"/>
      <c r="N540" s="875"/>
      <c r="O540" s="877"/>
      <c r="P540" s="794"/>
    </row>
    <row r="541" spans="1:16" s="17" customFormat="1" ht="33" customHeight="1">
      <c r="A541" s="605"/>
      <c r="B541" s="869" t="s">
        <v>6591</v>
      </c>
      <c r="C541" s="272" t="s">
        <v>21</v>
      </c>
      <c r="D541" s="272" t="s">
        <v>14</v>
      </c>
      <c r="E541" s="870" t="s">
        <v>107</v>
      </c>
      <c r="F541" s="871" t="s">
        <v>3386</v>
      </c>
      <c r="G541" s="872" t="s">
        <v>102</v>
      </c>
      <c r="H541" s="870" t="s">
        <v>6594</v>
      </c>
      <c r="I541" s="871" t="s">
        <v>1948</v>
      </c>
      <c r="J541" s="871" t="s">
        <v>6608</v>
      </c>
      <c r="K541" s="873" t="s">
        <v>15</v>
      </c>
      <c r="L541" s="872" t="s">
        <v>6591</v>
      </c>
      <c r="M541" s="874">
        <v>3</v>
      </c>
      <c r="N541" s="876"/>
      <c r="O541" s="877"/>
      <c r="P541" s="794"/>
    </row>
    <row r="542" spans="1:16" s="17" customFormat="1" ht="33" customHeight="1">
      <c r="A542" s="322" t="s">
        <v>0</v>
      </c>
      <c r="B542" s="323" t="s">
        <v>1</v>
      </c>
      <c r="C542" s="322" t="s">
        <v>2</v>
      </c>
      <c r="D542" s="322" t="s">
        <v>3</v>
      </c>
      <c r="E542" s="322" t="s">
        <v>4</v>
      </c>
      <c r="F542" s="322" t="s">
        <v>5</v>
      </c>
      <c r="G542" s="322" t="s">
        <v>6</v>
      </c>
      <c r="H542" s="324" t="s">
        <v>7</v>
      </c>
      <c r="I542" s="322" t="s">
        <v>8</v>
      </c>
      <c r="J542" s="322" t="s">
        <v>9</v>
      </c>
      <c r="K542" s="325" t="s">
        <v>10</v>
      </c>
      <c r="L542" s="326" t="s">
        <v>11</v>
      </c>
      <c r="M542" s="322" t="s">
        <v>12</v>
      </c>
      <c r="N542" s="327" t="s">
        <v>13</v>
      </c>
      <c r="O542" s="427" t="s">
        <v>63</v>
      </c>
      <c r="P542" s="322" t="s">
        <v>123</v>
      </c>
    </row>
    <row r="543" spans="1:16" s="17" customFormat="1" ht="33" customHeight="1">
      <c r="A543" s="603" t="s">
        <v>6330</v>
      </c>
      <c r="B543" s="399">
        <v>46244</v>
      </c>
      <c r="C543" s="3" t="s">
        <v>64</v>
      </c>
      <c r="D543" s="3" t="s">
        <v>883</v>
      </c>
      <c r="E543" s="454" t="s">
        <v>78</v>
      </c>
      <c r="F543" s="454" t="s">
        <v>1645</v>
      </c>
      <c r="G543" s="459" t="s">
        <v>23</v>
      </c>
      <c r="H543" s="453" t="s">
        <v>6526</v>
      </c>
      <c r="I543" s="848" t="s">
        <v>6312</v>
      </c>
      <c r="J543" s="848" t="s">
        <v>6597</v>
      </c>
      <c r="K543" s="125"/>
      <c r="L543" s="16"/>
      <c r="M543" s="8"/>
      <c r="N543" s="794"/>
      <c r="O543" s="431"/>
      <c r="P543" s="794"/>
    </row>
    <row r="544" spans="1:16" s="17" customFormat="1" ht="33" customHeight="1">
      <c r="A544" s="604"/>
      <c r="B544" s="399">
        <v>46245</v>
      </c>
      <c r="C544" s="4" t="s">
        <v>6558</v>
      </c>
      <c r="D544" s="4" t="s">
        <v>6559</v>
      </c>
      <c r="E544" s="843" t="s">
        <v>6560</v>
      </c>
      <c r="F544" s="843" t="s">
        <v>6561</v>
      </c>
      <c r="G544" s="16" t="s">
        <v>6562</v>
      </c>
      <c r="H544" s="845" t="s">
        <v>6563</v>
      </c>
      <c r="I544" s="794"/>
      <c r="J544" s="794"/>
      <c r="K544" s="125"/>
      <c r="L544" s="16"/>
      <c r="M544" s="8"/>
      <c r="N544" s="794"/>
      <c r="O544" s="431"/>
      <c r="P544" s="794"/>
    </row>
    <row r="545" spans="1:16" s="17" customFormat="1" ht="33" customHeight="1">
      <c r="A545" s="604"/>
      <c r="B545" s="399">
        <v>46246</v>
      </c>
      <c r="C545" s="4" t="s">
        <v>6558</v>
      </c>
      <c r="D545" s="4" t="s">
        <v>6559</v>
      </c>
      <c r="E545" s="843" t="s">
        <v>6560</v>
      </c>
      <c r="F545" s="843" t="s">
        <v>6561</v>
      </c>
      <c r="G545" s="16" t="s">
        <v>6564</v>
      </c>
      <c r="H545" s="845" t="s">
        <v>6563</v>
      </c>
      <c r="I545" s="794"/>
      <c r="J545" s="800"/>
      <c r="K545" s="125"/>
      <c r="L545" s="16"/>
      <c r="M545" s="8"/>
      <c r="N545" s="799"/>
      <c r="O545" s="430"/>
      <c r="P545" s="794"/>
    </row>
    <row r="546" spans="1:16" s="17" customFormat="1" ht="33" customHeight="1">
      <c r="A546" s="604"/>
      <c r="B546" s="399">
        <v>46247</v>
      </c>
      <c r="C546" s="4" t="s">
        <v>6558</v>
      </c>
      <c r="D546" s="4" t="s">
        <v>6559</v>
      </c>
      <c r="E546" s="843" t="s">
        <v>6560</v>
      </c>
      <c r="F546" s="843" t="s">
        <v>6561</v>
      </c>
      <c r="G546" s="16" t="s">
        <v>6565</v>
      </c>
      <c r="H546" s="845" t="s">
        <v>6563</v>
      </c>
      <c r="I546" s="794"/>
      <c r="J546" s="800"/>
      <c r="K546" s="125"/>
      <c r="L546" s="16"/>
      <c r="M546" s="8"/>
      <c r="N546" s="799"/>
      <c r="O546" s="430"/>
      <c r="P546" s="794"/>
    </row>
    <row r="547" spans="1:16" s="17" customFormat="1" ht="33" customHeight="1">
      <c r="A547" s="604"/>
      <c r="B547" s="399">
        <v>46248</v>
      </c>
      <c r="C547" s="4"/>
      <c r="D547" s="4"/>
      <c r="E547" s="843"/>
      <c r="F547" s="843"/>
      <c r="G547" s="16"/>
      <c r="H547" s="845"/>
      <c r="I547" s="794"/>
      <c r="J547" s="800"/>
      <c r="K547" s="125"/>
      <c r="L547" s="16"/>
      <c r="M547" s="8"/>
      <c r="N547" s="799"/>
      <c r="O547" s="430"/>
      <c r="P547" s="794"/>
    </row>
    <row r="548" spans="1:16" s="17" customFormat="1" ht="33" customHeight="1">
      <c r="A548" s="605"/>
      <c r="B548" s="399">
        <v>46249</v>
      </c>
      <c r="C548" s="4"/>
      <c r="D548" s="4"/>
      <c r="E548" s="291"/>
      <c r="F548" s="794"/>
      <c r="G548" s="16"/>
      <c r="H548" s="800"/>
      <c r="I548" s="794"/>
      <c r="J548" s="794"/>
      <c r="K548" s="125"/>
      <c r="L548" s="16"/>
      <c r="M548" s="8"/>
      <c r="N548" s="794"/>
      <c r="O548" s="432"/>
      <c r="P548" s="794"/>
    </row>
    <row r="549" spans="1:16" s="17" customFormat="1" ht="33" customHeight="1">
      <c r="A549" s="322" t="s">
        <v>0</v>
      </c>
      <c r="B549" s="323" t="s">
        <v>1</v>
      </c>
      <c r="C549" s="322" t="s">
        <v>2</v>
      </c>
      <c r="D549" s="322" t="s">
        <v>3</v>
      </c>
      <c r="E549" s="322" t="s">
        <v>4</v>
      </c>
      <c r="F549" s="322" t="s">
        <v>5</v>
      </c>
      <c r="G549" s="322" t="s">
        <v>6</v>
      </c>
      <c r="H549" s="324" t="s">
        <v>7</v>
      </c>
      <c r="I549" s="322" t="s">
        <v>8</v>
      </c>
      <c r="J549" s="322" t="s">
        <v>9</v>
      </c>
      <c r="K549" s="325" t="s">
        <v>10</v>
      </c>
      <c r="L549" s="326" t="s">
        <v>11</v>
      </c>
      <c r="M549" s="322" t="s">
        <v>12</v>
      </c>
      <c r="N549" s="327" t="s">
        <v>13</v>
      </c>
      <c r="O549" s="427" t="s">
        <v>63</v>
      </c>
      <c r="P549" s="322" t="s">
        <v>123</v>
      </c>
    </row>
    <row r="550" spans="1:16" s="17" customFormat="1" ht="33" customHeight="1">
      <c r="A550" s="603" t="s">
        <v>6331</v>
      </c>
      <c r="B550" s="399">
        <v>46251</v>
      </c>
      <c r="C550" s="4" t="s">
        <v>6347</v>
      </c>
      <c r="D550" s="4" t="s">
        <v>6348</v>
      </c>
      <c r="E550" s="794" t="s">
        <v>6349</v>
      </c>
      <c r="F550" s="794" t="s">
        <v>6350</v>
      </c>
      <c r="G550" s="16" t="s">
        <v>6351</v>
      </c>
      <c r="H550" s="800" t="s">
        <v>6352</v>
      </c>
      <c r="I550" s="794"/>
      <c r="J550" s="794"/>
      <c r="K550" s="125"/>
      <c r="L550" s="16"/>
      <c r="M550" s="8"/>
      <c r="N550" s="794"/>
      <c r="O550" s="431"/>
      <c r="P550" s="794"/>
    </row>
    <row r="551" spans="1:16" s="17" customFormat="1" ht="33" customHeight="1">
      <c r="A551" s="604"/>
      <c r="B551" s="399">
        <v>46252</v>
      </c>
      <c r="C551" s="4"/>
      <c r="D551" s="4"/>
      <c r="E551" s="794"/>
      <c r="F551" s="794"/>
      <c r="G551" s="16"/>
      <c r="H551" s="800"/>
      <c r="I551" s="794"/>
      <c r="J551" s="794"/>
      <c r="K551" s="125"/>
      <c r="L551" s="16"/>
      <c r="M551" s="8"/>
      <c r="N551" s="794"/>
      <c r="O551" s="431"/>
      <c r="P551" s="794"/>
    </row>
    <row r="552" spans="1:16" s="17" customFormat="1" ht="33" customHeight="1">
      <c r="A552" s="604"/>
      <c r="B552" s="399">
        <v>46252</v>
      </c>
      <c r="C552" s="4" t="s">
        <v>6338</v>
      </c>
      <c r="D552" s="4" t="s">
        <v>6339</v>
      </c>
      <c r="E552" s="794" t="s">
        <v>6340</v>
      </c>
      <c r="F552" s="794" t="s">
        <v>6341</v>
      </c>
      <c r="G552" s="16" t="s">
        <v>6342</v>
      </c>
      <c r="H552" s="800" t="s">
        <v>6343</v>
      </c>
      <c r="I552" s="794"/>
      <c r="J552" s="794"/>
      <c r="K552" s="125"/>
      <c r="L552" s="16"/>
      <c r="M552" s="8"/>
      <c r="N552" s="794"/>
      <c r="O552" s="431"/>
      <c r="P552" s="794"/>
    </row>
    <row r="553" spans="1:16" s="17" customFormat="1" ht="33" customHeight="1">
      <c r="A553" s="604"/>
      <c r="B553" s="399">
        <v>46253</v>
      </c>
      <c r="C553" s="4" t="s">
        <v>21</v>
      </c>
      <c r="D553" s="4" t="s">
        <v>14</v>
      </c>
      <c r="E553" s="854" t="s">
        <v>107</v>
      </c>
      <c r="F553" s="863" t="s">
        <v>6646</v>
      </c>
      <c r="G553" s="16" t="s">
        <v>376</v>
      </c>
      <c r="H553" s="863" t="s">
        <v>6647</v>
      </c>
      <c r="I553" s="794"/>
      <c r="J553" s="800"/>
      <c r="K553" s="125"/>
      <c r="L553" s="16"/>
      <c r="M553" s="8"/>
      <c r="N553" s="799"/>
      <c r="O553" s="430" t="s">
        <v>6648</v>
      </c>
      <c r="P553" s="794"/>
    </row>
    <row r="554" spans="1:16" s="17" customFormat="1" ht="33" customHeight="1">
      <c r="A554" s="604"/>
      <c r="B554" s="399">
        <v>46254</v>
      </c>
      <c r="C554" s="4" t="s">
        <v>21</v>
      </c>
      <c r="D554" s="4" t="s">
        <v>14</v>
      </c>
      <c r="E554" s="854" t="s">
        <v>107</v>
      </c>
      <c r="F554" s="863" t="s">
        <v>6646</v>
      </c>
      <c r="G554" s="16" t="s">
        <v>67</v>
      </c>
      <c r="H554" s="863" t="s">
        <v>6647</v>
      </c>
      <c r="I554" s="794"/>
      <c r="J554" s="800"/>
      <c r="K554" s="125"/>
      <c r="L554" s="16"/>
      <c r="M554" s="8"/>
      <c r="N554" s="799"/>
      <c r="O554" s="430" t="s">
        <v>6649</v>
      </c>
      <c r="P554" s="794"/>
    </row>
    <row r="555" spans="1:16" s="17" customFormat="1" ht="33" customHeight="1">
      <c r="A555" s="604"/>
      <c r="B555" s="399">
        <v>46255</v>
      </c>
      <c r="C555" s="4" t="s">
        <v>6347</v>
      </c>
      <c r="D555" s="4" t="s">
        <v>6348</v>
      </c>
      <c r="E555" s="801" t="s">
        <v>6349</v>
      </c>
      <c r="F555" s="801" t="s">
        <v>6350</v>
      </c>
      <c r="G555" s="16" t="s">
        <v>6351</v>
      </c>
      <c r="H555" s="812" t="s">
        <v>6353</v>
      </c>
      <c r="I555" s="794"/>
      <c r="J555" s="800"/>
      <c r="K555" s="125"/>
      <c r="L555" s="16"/>
      <c r="M555" s="8"/>
      <c r="N555" s="799"/>
      <c r="O555" s="430"/>
      <c r="P555" s="794"/>
    </row>
    <row r="556" spans="1:16" s="17" customFormat="1" ht="33" customHeight="1">
      <c r="A556" s="605"/>
      <c r="B556" s="399">
        <v>46256</v>
      </c>
      <c r="C556" s="4"/>
      <c r="D556" s="4"/>
      <c r="E556" s="291"/>
      <c r="F556" s="794"/>
      <c r="G556" s="16"/>
      <c r="H556" s="800"/>
      <c r="I556" s="794"/>
      <c r="J556" s="794"/>
      <c r="K556" s="125"/>
      <c r="L556" s="16"/>
      <c r="M556" s="8"/>
      <c r="N556" s="794"/>
      <c r="O556" s="432"/>
      <c r="P556" s="794"/>
    </row>
    <row r="557" spans="1:16" s="17" customFormat="1" ht="33" customHeight="1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>
      <c r="A558" s="603" t="s">
        <v>6332</v>
      </c>
      <c r="B558" s="399">
        <v>46258</v>
      </c>
      <c r="C558" s="4"/>
      <c r="D558" s="4"/>
      <c r="E558" s="794"/>
      <c r="F558" s="794"/>
      <c r="G558" s="16"/>
      <c r="H558" s="800"/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>
      <c r="A559" s="604"/>
      <c r="B559" s="399">
        <v>46259</v>
      </c>
      <c r="C559" s="4"/>
      <c r="D559" s="4"/>
      <c r="E559" s="291"/>
      <c r="F559" s="794"/>
      <c r="G559" s="16"/>
      <c r="H559" s="800"/>
      <c r="I559" s="794"/>
      <c r="J559" s="794"/>
      <c r="K559" s="125"/>
      <c r="L559" s="16"/>
      <c r="M559" s="8"/>
      <c r="N559" s="794"/>
      <c r="O559" s="431"/>
      <c r="P559" s="794"/>
    </row>
    <row r="560" spans="1:16" s="17" customFormat="1" ht="33" customHeight="1">
      <c r="A560" s="604"/>
      <c r="B560" s="399">
        <v>46260</v>
      </c>
      <c r="C560" s="4"/>
      <c r="D560" s="4"/>
      <c r="E560" s="794"/>
      <c r="F560" s="794"/>
      <c r="G560" s="16"/>
      <c r="H560" s="800"/>
      <c r="I560" s="794"/>
      <c r="J560" s="800"/>
      <c r="K560" s="125"/>
      <c r="L560" s="16"/>
      <c r="M560" s="8"/>
      <c r="N560" s="799"/>
      <c r="O560" s="430"/>
      <c r="P560" s="794"/>
    </row>
    <row r="561" spans="1:16" s="17" customFormat="1" ht="33" customHeight="1">
      <c r="A561" s="604"/>
      <c r="B561" s="399">
        <v>46261</v>
      </c>
      <c r="C561" s="4"/>
      <c r="D561" s="4"/>
      <c r="E561" s="794"/>
      <c r="F561" s="794"/>
      <c r="G561" s="16"/>
      <c r="H561" s="800"/>
      <c r="I561" s="794"/>
      <c r="J561" s="800"/>
      <c r="K561" s="125"/>
      <c r="L561" s="16"/>
      <c r="M561" s="8"/>
      <c r="N561" s="799"/>
      <c r="O561" s="430"/>
      <c r="P561" s="794"/>
    </row>
    <row r="562" spans="1:16" s="17" customFormat="1" ht="33" customHeight="1">
      <c r="A562" s="604"/>
      <c r="B562" s="399">
        <v>46262</v>
      </c>
      <c r="C562" s="4"/>
      <c r="D562" s="4"/>
      <c r="E562" s="794"/>
      <c r="F562" s="794"/>
      <c r="G562" s="16"/>
      <c r="H562" s="800"/>
      <c r="I562" s="794"/>
      <c r="J562" s="800"/>
      <c r="K562" s="125"/>
      <c r="L562" s="16"/>
      <c r="M562" s="8"/>
      <c r="N562" s="799"/>
      <c r="O562" s="430"/>
      <c r="P562" s="794"/>
    </row>
    <row r="563" spans="1:16" s="17" customFormat="1" ht="33" customHeight="1">
      <c r="A563" s="605"/>
      <c r="B563" s="399">
        <v>46263</v>
      </c>
      <c r="C563" s="4"/>
      <c r="D563" s="4"/>
      <c r="E563" s="291"/>
      <c r="F563" s="794"/>
      <c r="G563" s="16"/>
      <c r="H563" s="800"/>
      <c r="I563" s="794"/>
      <c r="J563" s="794"/>
      <c r="K563" s="125"/>
      <c r="L563" s="16"/>
      <c r="M563" s="8"/>
      <c r="N563" s="794"/>
      <c r="O563" s="432"/>
      <c r="P563" s="794"/>
    </row>
    <row r="564" spans="1:16" s="17" customFormat="1" ht="33" customHeight="1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>
      <c r="A565" s="603" t="s">
        <v>6333</v>
      </c>
      <c r="B565" s="399">
        <v>46265</v>
      </c>
      <c r="C565" s="4"/>
      <c r="D565" s="4"/>
      <c r="E565" s="794"/>
      <c r="F565" s="794"/>
      <c r="G565" s="16"/>
      <c r="H565" s="800"/>
      <c r="I565" s="794"/>
      <c r="J565" s="794"/>
      <c r="K565" s="125"/>
      <c r="L565" s="16"/>
      <c r="M565" s="8"/>
      <c r="N565" s="794"/>
      <c r="O565" s="431"/>
      <c r="P565" s="794"/>
    </row>
    <row r="566" spans="1:16" s="17" customFormat="1" ht="33" customHeight="1">
      <c r="A566" s="604"/>
      <c r="B566" s="399">
        <v>46266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1"/>
      <c r="P566" s="794"/>
    </row>
    <row r="567" spans="1:16" s="17" customFormat="1" ht="33" customHeight="1">
      <c r="A567" s="604"/>
      <c r="B567" s="399">
        <v>46267</v>
      </c>
      <c r="C567" s="4"/>
      <c r="D567" s="4"/>
      <c r="E567" s="794"/>
      <c r="F567" s="794"/>
      <c r="G567" s="16"/>
      <c r="H567" s="800"/>
      <c r="I567" s="794"/>
      <c r="J567" s="800"/>
      <c r="K567" s="125"/>
      <c r="L567" s="16"/>
      <c r="M567" s="8"/>
      <c r="N567" s="799"/>
      <c r="O567" s="430"/>
      <c r="P567" s="794"/>
    </row>
    <row r="568" spans="1:16" s="17" customFormat="1" ht="33" customHeight="1">
      <c r="A568" s="604"/>
      <c r="B568" s="399">
        <v>46268</v>
      </c>
      <c r="C568" s="4"/>
      <c r="D568" s="4"/>
      <c r="E568" s="794"/>
      <c r="F568" s="794"/>
      <c r="G568" s="16"/>
      <c r="H568" s="800"/>
      <c r="I568" s="794"/>
      <c r="J568" s="800"/>
      <c r="K568" s="125"/>
      <c r="L568" s="16"/>
      <c r="M568" s="8"/>
      <c r="N568" s="799"/>
      <c r="O568" s="430"/>
      <c r="P568" s="794"/>
    </row>
    <row r="569" spans="1:16" s="17" customFormat="1" ht="33" customHeight="1">
      <c r="A569" s="604"/>
      <c r="B569" s="399">
        <v>46269</v>
      </c>
      <c r="C569" s="4"/>
      <c r="D569" s="4"/>
      <c r="E569" s="794"/>
      <c r="F569" s="794"/>
      <c r="G569" s="16"/>
      <c r="H569" s="800"/>
      <c r="I569" s="794"/>
      <c r="J569" s="800"/>
      <c r="K569" s="125"/>
      <c r="L569" s="16"/>
      <c r="M569" s="8"/>
      <c r="N569" s="799"/>
      <c r="O569" s="430"/>
      <c r="P569" s="794"/>
    </row>
    <row r="570" spans="1:16" s="17" customFormat="1" ht="33" customHeight="1">
      <c r="A570" s="605"/>
      <c r="B570" s="399">
        <v>46270</v>
      </c>
      <c r="C570" s="4"/>
      <c r="D570" s="4"/>
      <c r="E570" s="291"/>
      <c r="F570" s="794"/>
      <c r="G570" s="16"/>
      <c r="H570" s="800"/>
      <c r="I570" s="794"/>
      <c r="J570" s="794"/>
      <c r="K570" s="125"/>
      <c r="L570" s="16"/>
      <c r="M570" s="8"/>
      <c r="N570" s="794"/>
      <c r="O570" s="432"/>
      <c r="P570" s="794"/>
    </row>
    <row r="571" spans="1:16" s="17" customFormat="1" ht="33" customHeight="1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>
      <c r="A572" s="603"/>
      <c r="B572" s="399"/>
      <c r="C572" s="4"/>
      <c r="D572" s="4"/>
      <c r="E572" s="794"/>
      <c r="F572" s="794"/>
      <c r="G572" s="16"/>
      <c r="H572" s="800"/>
      <c r="I572" s="794"/>
      <c r="J572" s="794"/>
      <c r="K572" s="125"/>
      <c r="L572" s="16"/>
      <c r="M572" s="8"/>
      <c r="N572" s="794"/>
      <c r="O572" s="431"/>
      <c r="P572" s="794"/>
    </row>
    <row r="573" spans="1:16" s="17" customFormat="1" ht="33" customHeight="1">
      <c r="A573" s="604"/>
      <c r="B573" s="399"/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1"/>
      <c r="P573" s="794"/>
    </row>
    <row r="574" spans="1:16" s="17" customFormat="1" ht="33" customHeight="1">
      <c r="A574" s="604"/>
      <c r="B574" s="399"/>
      <c r="C574" s="4"/>
      <c r="D574" s="4"/>
      <c r="E574" s="794"/>
      <c r="F574" s="794"/>
      <c r="G574" s="16"/>
      <c r="H574" s="800"/>
      <c r="I574" s="794"/>
      <c r="J574" s="800"/>
      <c r="K574" s="125"/>
      <c r="L574" s="16"/>
      <c r="M574" s="8"/>
      <c r="N574" s="799"/>
      <c r="O574" s="430"/>
      <c r="P574" s="794"/>
    </row>
    <row r="575" spans="1:16" s="17" customFormat="1" ht="33" customHeight="1">
      <c r="A575" s="604"/>
      <c r="B575" s="399"/>
      <c r="C575" s="4"/>
      <c r="D575" s="4"/>
      <c r="E575" s="794"/>
      <c r="F575" s="794"/>
      <c r="G575" s="16"/>
      <c r="H575" s="800"/>
      <c r="I575" s="794"/>
      <c r="J575" s="800"/>
      <c r="K575" s="125"/>
      <c r="L575" s="16"/>
      <c r="M575" s="8"/>
      <c r="N575" s="799"/>
      <c r="O575" s="430"/>
      <c r="P575" s="794"/>
    </row>
    <row r="576" spans="1:16" s="17" customFormat="1" ht="33" customHeight="1">
      <c r="A576" s="604"/>
      <c r="B576" s="399"/>
      <c r="C576" s="4"/>
      <c r="D576" s="4"/>
      <c r="E576" s="794"/>
      <c r="F576" s="794"/>
      <c r="G576" s="16"/>
      <c r="H576" s="800"/>
      <c r="I576" s="794"/>
      <c r="J576" s="800"/>
      <c r="K576" s="125"/>
      <c r="L576" s="16"/>
      <c r="M576" s="8"/>
      <c r="N576" s="799"/>
      <c r="O576" s="430"/>
      <c r="P576" s="794"/>
    </row>
    <row r="577" spans="1:16" s="17" customFormat="1" ht="33" customHeight="1">
      <c r="A577" s="605"/>
      <c r="B577" s="399"/>
      <c r="C577" s="4"/>
      <c r="D577" s="4"/>
      <c r="E577" s="291"/>
      <c r="F577" s="794"/>
      <c r="G577" s="16"/>
      <c r="H577" s="800"/>
      <c r="I577" s="794"/>
      <c r="J577" s="794"/>
      <c r="K577" s="125"/>
      <c r="L577" s="16"/>
      <c r="M577" s="8"/>
      <c r="N577" s="794"/>
      <c r="O577" s="432"/>
      <c r="P577" s="794"/>
    </row>
    <row r="578" spans="1:16" s="17" customFormat="1" ht="33" customHeight="1">
      <c r="A578" s="322" t="s">
        <v>0</v>
      </c>
      <c r="B578" s="323" t="s">
        <v>1</v>
      </c>
      <c r="C578" s="322" t="s">
        <v>2</v>
      </c>
      <c r="D578" s="322" t="s">
        <v>3</v>
      </c>
      <c r="E578" s="322" t="s">
        <v>4</v>
      </c>
      <c r="F578" s="322" t="s">
        <v>5</v>
      </c>
      <c r="G578" s="322" t="s">
        <v>6</v>
      </c>
      <c r="H578" s="324" t="s">
        <v>7</v>
      </c>
      <c r="I578" s="322" t="s">
        <v>8</v>
      </c>
      <c r="J578" s="322" t="s">
        <v>9</v>
      </c>
      <c r="K578" s="325" t="s">
        <v>10</v>
      </c>
      <c r="L578" s="326" t="s">
        <v>11</v>
      </c>
      <c r="M578" s="322" t="s">
        <v>12</v>
      </c>
      <c r="N578" s="327" t="s">
        <v>13</v>
      </c>
      <c r="O578" s="427" t="s">
        <v>63</v>
      </c>
      <c r="P578" s="322" t="s">
        <v>123</v>
      </c>
    </row>
    <row r="579" spans="1:16" s="17" customFormat="1" ht="33" customHeight="1">
      <c r="A579" s="603"/>
      <c r="B579" s="399"/>
      <c r="C579" s="4"/>
      <c r="D579" s="4"/>
      <c r="E579" s="794"/>
      <c r="F579" s="794"/>
      <c r="G579" s="16"/>
      <c r="H579" s="800"/>
      <c r="I579" s="794"/>
      <c r="J579" s="794"/>
      <c r="K579" s="125"/>
      <c r="L579" s="16"/>
      <c r="M579" s="8"/>
      <c r="N579" s="794"/>
      <c r="O579" s="431"/>
      <c r="P579" s="794"/>
    </row>
    <row r="580" spans="1:16" s="17" customFormat="1" ht="33" customHeight="1">
      <c r="A580" s="604"/>
      <c r="B580" s="399"/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1"/>
      <c r="P580" s="794"/>
    </row>
    <row r="581" spans="1:16" s="17" customFormat="1" ht="33" customHeight="1">
      <c r="A581" s="604"/>
      <c r="B581" s="399"/>
      <c r="C581" s="4"/>
      <c r="D581" s="4"/>
      <c r="E581" s="794"/>
      <c r="F581" s="794"/>
      <c r="G581" s="16"/>
      <c r="H581" s="800"/>
      <c r="I581" s="794"/>
      <c r="J581" s="800"/>
      <c r="K581" s="125"/>
      <c r="L581" s="16"/>
      <c r="M581" s="8"/>
      <c r="N581" s="799"/>
      <c r="O581" s="430"/>
      <c r="P581" s="794"/>
    </row>
    <row r="582" spans="1:16" s="17" customFormat="1" ht="33" customHeight="1">
      <c r="A582" s="604"/>
      <c r="B582" s="399"/>
      <c r="C582" s="4"/>
      <c r="D582" s="4"/>
      <c r="E582" s="794"/>
      <c r="F582" s="794"/>
      <c r="G582" s="16"/>
      <c r="H582" s="800"/>
      <c r="I582" s="794"/>
      <c r="J582" s="800"/>
      <c r="K582" s="125"/>
      <c r="L582" s="16"/>
      <c r="M582" s="8"/>
      <c r="N582" s="799"/>
      <c r="O582" s="430"/>
      <c r="P582" s="794"/>
    </row>
    <row r="583" spans="1:16" s="17" customFormat="1" ht="33" customHeight="1">
      <c r="A583" s="604"/>
      <c r="B583" s="399"/>
      <c r="C583" s="4"/>
      <c r="D583" s="4"/>
      <c r="E583" s="794"/>
      <c r="F583" s="794"/>
      <c r="G583" s="16"/>
      <c r="H583" s="800"/>
      <c r="I583" s="794"/>
      <c r="J583" s="800"/>
      <c r="K583" s="125"/>
      <c r="L583" s="16"/>
      <c r="M583" s="8"/>
      <c r="N583" s="799"/>
      <c r="O583" s="430"/>
      <c r="P583" s="794"/>
    </row>
    <row r="584" spans="1:16" s="17" customFormat="1" ht="33" customHeight="1">
      <c r="A584" s="605"/>
      <c r="B584" s="399"/>
      <c r="C584" s="4"/>
      <c r="D584" s="4"/>
      <c r="E584" s="291"/>
      <c r="F584" s="794"/>
      <c r="G584" s="16"/>
      <c r="H584" s="800"/>
      <c r="I584" s="794"/>
      <c r="J584" s="794"/>
      <c r="K584" s="125"/>
      <c r="L584" s="16"/>
      <c r="M584" s="8"/>
      <c r="N584" s="794"/>
      <c r="O584" s="432"/>
      <c r="P584" s="794"/>
    </row>
    <row r="585" spans="1:16" s="17" customFormat="1" ht="33" customHeight="1">
      <c r="A585" s="322" t="s">
        <v>0</v>
      </c>
      <c r="B585" s="323" t="s">
        <v>1</v>
      </c>
      <c r="C585" s="322" t="s">
        <v>2</v>
      </c>
      <c r="D585" s="322" t="s">
        <v>3</v>
      </c>
      <c r="E585" s="322" t="s">
        <v>4</v>
      </c>
      <c r="F585" s="322" t="s">
        <v>5</v>
      </c>
      <c r="G585" s="322" t="s">
        <v>6</v>
      </c>
      <c r="H585" s="324" t="s">
        <v>7</v>
      </c>
      <c r="I585" s="322" t="s">
        <v>8</v>
      </c>
      <c r="J585" s="322" t="s">
        <v>9</v>
      </c>
      <c r="K585" s="325" t="s">
        <v>10</v>
      </c>
      <c r="L585" s="326" t="s">
        <v>11</v>
      </c>
      <c r="M585" s="322" t="s">
        <v>12</v>
      </c>
      <c r="N585" s="327" t="s">
        <v>13</v>
      </c>
      <c r="O585" s="427" t="s">
        <v>63</v>
      </c>
      <c r="P585" s="322" t="s">
        <v>123</v>
      </c>
    </row>
    <row r="586" spans="1:16" s="17" customFormat="1" ht="33" customHeight="1">
      <c r="A586" s="603"/>
      <c r="B586" s="399"/>
      <c r="C586" s="4"/>
      <c r="D586" s="4"/>
      <c r="E586" s="794"/>
      <c r="F586" s="794"/>
      <c r="G586" s="16"/>
      <c r="H586" s="800"/>
      <c r="I586" s="794"/>
      <c r="J586" s="794"/>
      <c r="K586" s="125"/>
      <c r="L586" s="16"/>
      <c r="M586" s="8"/>
      <c r="N586" s="794"/>
      <c r="O586" s="431"/>
      <c r="P586" s="794"/>
    </row>
    <row r="587" spans="1:16" s="17" customFormat="1" ht="33" customHeight="1">
      <c r="A587" s="604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1"/>
      <c r="P587" s="794"/>
    </row>
    <row r="588" spans="1:16" s="17" customFormat="1" ht="33" customHeight="1">
      <c r="A588" s="604"/>
      <c r="B588" s="399"/>
      <c r="C588" s="4"/>
      <c r="D588" s="4"/>
      <c r="E588" s="794"/>
      <c r="F588" s="794"/>
      <c r="G588" s="16"/>
      <c r="H588" s="800"/>
      <c r="I588" s="794"/>
      <c r="J588" s="800"/>
      <c r="K588" s="125"/>
      <c r="L588" s="16"/>
      <c r="M588" s="8"/>
      <c r="N588" s="799"/>
      <c r="O588" s="430"/>
      <c r="P588" s="794"/>
    </row>
    <row r="589" spans="1:16" s="17" customFormat="1" ht="33" customHeight="1">
      <c r="A589" s="604"/>
      <c r="B589" s="399"/>
      <c r="C589" s="4"/>
      <c r="D589" s="4"/>
      <c r="E589" s="794"/>
      <c r="F589" s="794"/>
      <c r="G589" s="16"/>
      <c r="H589" s="800"/>
      <c r="I589" s="794"/>
      <c r="J589" s="800"/>
      <c r="K589" s="125"/>
      <c r="L589" s="16"/>
      <c r="M589" s="8"/>
      <c r="N589" s="799"/>
      <c r="O589" s="430"/>
      <c r="P589" s="794"/>
    </row>
    <row r="590" spans="1:16" s="17" customFormat="1" ht="33" customHeight="1">
      <c r="A590" s="604"/>
      <c r="B590" s="399"/>
      <c r="C590" s="4"/>
      <c r="D590" s="4"/>
      <c r="E590" s="794"/>
      <c r="F590" s="794"/>
      <c r="G590" s="16"/>
      <c r="H590" s="800"/>
      <c r="I590" s="794"/>
      <c r="J590" s="800"/>
      <c r="K590" s="125"/>
      <c r="L590" s="16"/>
      <c r="M590" s="8"/>
      <c r="N590" s="799"/>
      <c r="O590" s="430"/>
      <c r="P590" s="794"/>
    </row>
    <row r="591" spans="1:16" s="17" customFormat="1" ht="33" customHeight="1">
      <c r="A591" s="605"/>
      <c r="B591" s="399"/>
      <c r="C591" s="4"/>
      <c r="D591" s="4"/>
      <c r="E591" s="291"/>
      <c r="F591" s="794"/>
      <c r="G591" s="16"/>
      <c r="H591" s="800"/>
      <c r="I591" s="794"/>
      <c r="J591" s="794"/>
      <c r="K591" s="125"/>
      <c r="L591" s="16"/>
      <c r="M591" s="8"/>
      <c r="N591" s="794"/>
      <c r="O591" s="432"/>
      <c r="P591" s="794"/>
    </row>
    <row r="592" spans="1:16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6" s="17" customFormat="1" ht="33" customHeight="1">
      <c r="A593" s="603"/>
      <c r="B593" s="399"/>
      <c r="C593" s="4"/>
      <c r="D593" s="4"/>
      <c r="E593" s="794"/>
      <c r="F593" s="794"/>
      <c r="G593" s="16"/>
      <c r="H593" s="800"/>
      <c r="I593" s="794"/>
      <c r="J593" s="794"/>
      <c r="K593" s="125"/>
      <c r="L593" s="16"/>
      <c r="M593" s="8"/>
      <c r="N593" s="794"/>
      <c r="O593" s="431"/>
      <c r="P593" s="794"/>
    </row>
    <row r="594" spans="1:16" s="17" customFormat="1" ht="33" customHeight="1">
      <c r="A594" s="604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1"/>
      <c r="P594" s="794"/>
    </row>
    <row r="595" spans="1:16" s="17" customFormat="1" ht="33" customHeight="1">
      <c r="A595" s="604"/>
      <c r="B595" s="399"/>
      <c r="C595" s="4"/>
      <c r="D595" s="4"/>
      <c r="E595" s="794"/>
      <c r="F595" s="794"/>
      <c r="G595" s="16"/>
      <c r="H595" s="800"/>
      <c r="I595" s="794"/>
      <c r="J595" s="800"/>
      <c r="K595" s="125"/>
      <c r="L595" s="16"/>
      <c r="M595" s="8"/>
      <c r="N595" s="799"/>
      <c r="O595" s="430"/>
      <c r="P595" s="794"/>
    </row>
    <row r="596" spans="1:16" s="17" customFormat="1" ht="33" customHeight="1">
      <c r="A596" s="604"/>
      <c r="B596" s="399"/>
      <c r="C596" s="4"/>
      <c r="D596" s="4"/>
      <c r="E596" s="794"/>
      <c r="F596" s="794"/>
      <c r="G596" s="16"/>
      <c r="H596" s="800"/>
      <c r="I596" s="794"/>
      <c r="J596" s="800"/>
      <c r="K596" s="125"/>
      <c r="L596" s="16"/>
      <c r="M596" s="8"/>
      <c r="N596" s="799"/>
      <c r="O596" s="430"/>
      <c r="P596" s="794"/>
    </row>
    <row r="597" spans="1:16" s="17" customFormat="1" ht="33" customHeight="1">
      <c r="A597" s="604"/>
      <c r="B597" s="399"/>
      <c r="C597" s="4"/>
      <c r="D597" s="4"/>
      <c r="E597" s="794"/>
      <c r="F597" s="794"/>
      <c r="G597" s="16"/>
      <c r="H597" s="800"/>
      <c r="I597" s="794"/>
      <c r="J597" s="800"/>
      <c r="K597" s="125"/>
      <c r="L597" s="16"/>
      <c r="M597" s="8"/>
      <c r="N597" s="799"/>
      <c r="O597" s="430"/>
      <c r="P597" s="794"/>
    </row>
    <row r="598" spans="1:16" s="17" customFormat="1" ht="33" customHeight="1">
      <c r="A598" s="605"/>
      <c r="B598" s="399"/>
      <c r="C598" s="4"/>
      <c r="D598" s="4"/>
      <c r="E598" s="291"/>
      <c r="F598" s="794"/>
      <c r="G598" s="16"/>
      <c r="H598" s="800"/>
      <c r="I598" s="794"/>
      <c r="J598" s="794"/>
      <c r="K598" s="125"/>
      <c r="L598" s="16"/>
      <c r="M598" s="8"/>
      <c r="N598" s="794"/>
      <c r="O598" s="432"/>
      <c r="P598" s="794"/>
    </row>
    <row r="599" spans="1:16" s="17" customFormat="1" ht="33" customHeight="1">
      <c r="A599" s="322" t="s">
        <v>0</v>
      </c>
      <c r="B599" s="323" t="s">
        <v>1</v>
      </c>
      <c r="C599" s="322" t="s">
        <v>2</v>
      </c>
      <c r="D599" s="322" t="s">
        <v>3</v>
      </c>
      <c r="E599" s="322" t="s">
        <v>4</v>
      </c>
      <c r="F599" s="322" t="s">
        <v>5</v>
      </c>
      <c r="G599" s="322" t="s">
        <v>6</v>
      </c>
      <c r="H599" s="324" t="s">
        <v>7</v>
      </c>
      <c r="I599" s="322" t="s">
        <v>8</v>
      </c>
      <c r="J599" s="322" t="s">
        <v>9</v>
      </c>
      <c r="K599" s="325" t="s">
        <v>10</v>
      </c>
      <c r="L599" s="326" t="s">
        <v>11</v>
      </c>
      <c r="M599" s="322" t="s">
        <v>12</v>
      </c>
      <c r="N599" s="327" t="s">
        <v>13</v>
      </c>
      <c r="O599" s="427" t="s">
        <v>63</v>
      </c>
      <c r="P599" s="322" t="s">
        <v>123</v>
      </c>
    </row>
    <row r="600" spans="1:16" s="17" customFormat="1" ht="33" customHeight="1">
      <c r="A600" s="603"/>
      <c r="B600" s="399"/>
      <c r="C600" s="4"/>
      <c r="D600" s="4"/>
      <c r="E600" s="794"/>
      <c r="F600" s="794"/>
      <c r="G600" s="16"/>
      <c r="H600" s="800"/>
      <c r="I600" s="794"/>
      <c r="J600" s="794"/>
      <c r="K600" s="125"/>
      <c r="L600" s="16"/>
      <c r="M600" s="8"/>
      <c r="N600" s="794"/>
      <c r="O600" s="431"/>
      <c r="P600" s="794"/>
    </row>
    <row r="601" spans="1:16" s="17" customFormat="1" ht="33" customHeight="1">
      <c r="A601" s="604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1"/>
      <c r="P601" s="794"/>
    </row>
    <row r="602" spans="1:16" s="17" customFormat="1" ht="33" customHeight="1">
      <c r="A602" s="604"/>
      <c r="B602" s="399"/>
      <c r="C602" s="4"/>
      <c r="D602" s="4"/>
      <c r="E602" s="794"/>
      <c r="F602" s="794"/>
      <c r="G602" s="16"/>
      <c r="H602" s="800"/>
      <c r="I602" s="794"/>
      <c r="J602" s="800"/>
      <c r="K602" s="125"/>
      <c r="L602" s="16"/>
      <c r="M602" s="8"/>
      <c r="N602" s="799"/>
      <c r="O602" s="430"/>
      <c r="P602" s="794"/>
    </row>
    <row r="603" spans="1:16" s="17" customFormat="1" ht="33" customHeight="1">
      <c r="A603" s="604"/>
      <c r="B603" s="399"/>
      <c r="C603" s="4"/>
      <c r="D603" s="4"/>
      <c r="E603" s="794"/>
      <c r="F603" s="794"/>
      <c r="G603" s="16"/>
      <c r="H603" s="800"/>
      <c r="I603" s="794"/>
      <c r="J603" s="800"/>
      <c r="K603" s="125"/>
      <c r="L603" s="16"/>
      <c r="M603" s="8"/>
      <c r="N603" s="799"/>
      <c r="O603" s="430"/>
      <c r="P603" s="794"/>
    </row>
    <row r="604" spans="1:16" s="17" customFormat="1" ht="33" customHeight="1">
      <c r="A604" s="604"/>
      <c r="B604" s="399"/>
      <c r="C604" s="4"/>
      <c r="D604" s="4"/>
      <c r="E604" s="794"/>
      <c r="F604" s="794"/>
      <c r="G604" s="16"/>
      <c r="H604" s="800"/>
      <c r="I604" s="794"/>
      <c r="J604" s="800"/>
      <c r="K604" s="125"/>
      <c r="L604" s="16"/>
      <c r="M604" s="8"/>
      <c r="N604" s="799"/>
      <c r="O604" s="430"/>
      <c r="P604" s="794"/>
    </row>
    <row r="605" spans="1:16" s="17" customFormat="1" ht="33" customHeight="1">
      <c r="A605" s="605"/>
      <c r="B605" s="399"/>
      <c r="C605" s="4"/>
      <c r="D605" s="4"/>
      <c r="E605" s="291"/>
      <c r="F605" s="794"/>
      <c r="G605" s="16"/>
      <c r="H605" s="800"/>
      <c r="I605" s="794"/>
      <c r="J605" s="794"/>
      <c r="K605" s="125"/>
      <c r="L605" s="16"/>
      <c r="M605" s="8"/>
      <c r="N605" s="794"/>
      <c r="O605" s="432"/>
      <c r="P605" s="794"/>
    </row>
    <row r="606" spans="1:16" s="17" customFormat="1" ht="33" customHeight="1">
      <c r="A606" s="322" t="s">
        <v>0</v>
      </c>
      <c r="B606" s="323" t="s">
        <v>1</v>
      </c>
      <c r="C606" s="322" t="s">
        <v>2</v>
      </c>
      <c r="D606" s="322" t="s">
        <v>3</v>
      </c>
      <c r="E606" s="322" t="s">
        <v>4</v>
      </c>
      <c r="F606" s="322" t="s">
        <v>5</v>
      </c>
      <c r="G606" s="322" t="s">
        <v>6</v>
      </c>
      <c r="H606" s="324" t="s">
        <v>7</v>
      </c>
      <c r="I606" s="322" t="s">
        <v>8</v>
      </c>
      <c r="J606" s="322" t="s">
        <v>9</v>
      </c>
      <c r="K606" s="325" t="s">
        <v>10</v>
      </c>
      <c r="L606" s="326" t="s">
        <v>11</v>
      </c>
      <c r="M606" s="322" t="s">
        <v>12</v>
      </c>
      <c r="N606" s="327" t="s">
        <v>13</v>
      </c>
      <c r="O606" s="427" t="s">
        <v>63</v>
      </c>
      <c r="P606" s="322" t="s">
        <v>123</v>
      </c>
    </row>
    <row r="607" spans="1:16" s="17" customFormat="1" ht="33" customHeight="1">
      <c r="A607" s="603"/>
      <c r="B607" s="399"/>
      <c r="C607" s="4"/>
      <c r="D607" s="4"/>
      <c r="E607" s="794"/>
      <c r="F607" s="794"/>
      <c r="G607" s="16"/>
      <c r="H607" s="800"/>
      <c r="I607" s="794"/>
      <c r="J607" s="794"/>
      <c r="K607" s="125"/>
      <c r="L607" s="16"/>
      <c r="M607" s="8"/>
      <c r="N607" s="794"/>
      <c r="O607" s="431"/>
      <c r="P607" s="794"/>
    </row>
    <row r="608" spans="1:16" s="17" customFormat="1" ht="33" customHeight="1">
      <c r="A608" s="604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1"/>
      <c r="P608" s="794"/>
    </row>
    <row r="609" spans="1:16" s="17" customFormat="1" ht="33" customHeight="1">
      <c r="A609" s="604"/>
      <c r="B609" s="399"/>
      <c r="C609" s="4"/>
      <c r="D609" s="4"/>
      <c r="E609" s="794"/>
      <c r="F609" s="794"/>
      <c r="G609" s="16"/>
      <c r="H609" s="800"/>
      <c r="I609" s="794"/>
      <c r="J609" s="800"/>
      <c r="K609" s="125"/>
      <c r="L609" s="16"/>
      <c r="M609" s="8"/>
      <c r="N609" s="799"/>
      <c r="O609" s="430"/>
      <c r="P609" s="794"/>
    </row>
    <row r="610" spans="1:16" s="17" customFormat="1" ht="33" customHeight="1">
      <c r="A610" s="604"/>
      <c r="B610" s="399"/>
      <c r="C610" s="4"/>
      <c r="D610" s="4"/>
      <c r="E610" s="794"/>
      <c r="F610" s="794"/>
      <c r="G610" s="16"/>
      <c r="H610" s="800"/>
      <c r="I610" s="794"/>
      <c r="J610" s="800"/>
      <c r="K610" s="125"/>
      <c r="L610" s="16"/>
      <c r="M610" s="8"/>
      <c r="N610" s="799"/>
      <c r="O610" s="430"/>
      <c r="P610" s="794"/>
    </row>
    <row r="611" spans="1:16" s="17" customFormat="1" ht="33" customHeight="1">
      <c r="A611" s="604"/>
      <c r="B611" s="399"/>
      <c r="C611" s="4"/>
      <c r="D611" s="4"/>
      <c r="E611" s="794"/>
      <c r="F611" s="794"/>
      <c r="G611" s="16"/>
      <c r="H611" s="800"/>
      <c r="I611" s="794"/>
      <c r="J611" s="800"/>
      <c r="K611" s="125"/>
      <c r="L611" s="16"/>
      <c r="M611" s="8"/>
      <c r="N611" s="799"/>
      <c r="O611" s="430"/>
      <c r="P611" s="794"/>
    </row>
    <row r="612" spans="1:16" s="17" customFormat="1" ht="33" customHeight="1">
      <c r="A612" s="605"/>
      <c r="B612" s="399"/>
      <c r="C612" s="4"/>
      <c r="D612" s="4"/>
      <c r="E612" s="291"/>
      <c r="F612" s="794"/>
      <c r="G612" s="16"/>
      <c r="H612" s="800"/>
      <c r="I612" s="794"/>
      <c r="J612" s="794"/>
      <c r="K612" s="125"/>
      <c r="L612" s="16"/>
      <c r="M612" s="8"/>
      <c r="N612" s="794"/>
      <c r="O612" s="432"/>
      <c r="P612" s="794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67" activePane="bottomLeft" state="frozen"/>
      <selection pane="bottomLeft" activeCell="I1579" sqref="I15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44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45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45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46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45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46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45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>
      <c r="A182" s="55">
        <v>36</v>
      </c>
      <c r="B182" s="945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>
      <c r="A183" s="55">
        <v>36</v>
      </c>
      <c r="B183" s="945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45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46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44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45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45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45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45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46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44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45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45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46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44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45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44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45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>
      <c r="A226" s="55">
        <v>44</v>
      </c>
      <c r="B226" s="9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>
      <c r="A227" s="55">
        <v>44</v>
      </c>
      <c r="B227" s="9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>
      <c r="A228" s="55">
        <v>44</v>
      </c>
      <c r="B228" s="9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45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>
      <c r="A250" s="55">
        <v>48</v>
      </c>
      <c r="B250" s="946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>
      <c r="A251" s="55">
        <v>48</v>
      </c>
      <c r="B251" s="9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45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>
      <c r="A257" s="55">
        <v>49</v>
      </c>
      <c r="B257" s="946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>
      <c r="A258" s="55">
        <v>49</v>
      </c>
      <c r="B258" s="9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2" t="s">
        <v>1103</v>
      </c>
    </row>
    <row r="262" spans="1:14" ht="25.5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3"/>
    </row>
    <row r="263" spans="1:14" ht="16.5" customHeight="1">
      <c r="A263" s="55">
        <v>50</v>
      </c>
      <c r="B263" s="944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45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45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45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46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57" t="s">
        <v>658</v>
      </c>
      <c r="C268" s="9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9"/>
      <c r="C270" s="9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44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45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45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45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45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>
      <c r="A279" s="55">
        <v>1</v>
      </c>
      <c r="B279" s="944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46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44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45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45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45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67" t="s">
        <v>123</v>
      </c>
      <c r="C287" s="9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68"/>
      <c r="C288" s="9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57" t="s">
        <v>64</v>
      </c>
      <c r="C289" s="9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2" t="s">
        <v>638</v>
      </c>
      <c r="K291" s="996" t="s">
        <v>671</v>
      </c>
      <c r="L291" s="148" t="s">
        <v>309</v>
      </c>
      <c r="M291" s="924" t="s">
        <v>672</v>
      </c>
      <c r="N291" s="148" t="s">
        <v>723</v>
      </c>
    </row>
    <row r="292" spans="1:15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3"/>
      <c r="K292" s="997"/>
      <c r="L292" s="148" t="s">
        <v>309</v>
      </c>
      <c r="M292" s="925"/>
      <c r="N292" s="148" t="s">
        <v>723</v>
      </c>
    </row>
    <row r="293" spans="1:15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58"/>
      <c r="C294" s="9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44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45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46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44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45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45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45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46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44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46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57" t="s">
        <v>307</v>
      </c>
      <c r="C313" s="9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9"/>
      <c r="C314" s="9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44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45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46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44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46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44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45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46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44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45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45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46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44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45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45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46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57" t="s">
        <v>307</v>
      </c>
      <c r="C375" s="128" t="s">
        <v>1531</v>
      </c>
      <c r="D375" s="942" t="s">
        <v>306</v>
      </c>
      <c r="E375" s="942" t="s">
        <v>322</v>
      </c>
      <c r="F375" s="942" t="s">
        <v>307</v>
      </c>
      <c r="G375" s="940">
        <v>4266</v>
      </c>
      <c r="H375" s="942" t="s">
        <v>640</v>
      </c>
      <c r="I375" s="940" t="s">
        <v>1533</v>
      </c>
      <c r="J375" s="942" t="s">
        <v>1534</v>
      </c>
      <c r="K375" s="1069" t="s">
        <v>692</v>
      </c>
      <c r="L375" s="942" t="s">
        <v>324</v>
      </c>
      <c r="M375" s="924" t="s">
        <v>1535</v>
      </c>
      <c r="N375" s="942" t="s">
        <v>425</v>
      </c>
    </row>
    <row r="376" spans="1:19">
      <c r="A376" s="199" t="s">
        <v>1539</v>
      </c>
      <c r="B376" s="1058"/>
      <c r="C376" s="129" t="s">
        <v>1532</v>
      </c>
      <c r="D376" s="943"/>
      <c r="E376" s="943"/>
      <c r="F376" s="943"/>
      <c r="G376" s="941"/>
      <c r="H376" s="943"/>
      <c r="I376" s="941"/>
      <c r="J376" s="943"/>
      <c r="K376" s="1070"/>
      <c r="L376" s="943"/>
      <c r="M376" s="925"/>
      <c r="N376" s="943"/>
    </row>
    <row r="377" spans="1:19">
      <c r="A377" s="199" t="s">
        <v>1539</v>
      </c>
      <c r="B377" s="1058"/>
      <c r="C377" s="128" t="s">
        <v>1536</v>
      </c>
      <c r="D377" s="942" t="s">
        <v>306</v>
      </c>
      <c r="E377" s="942" t="s">
        <v>322</v>
      </c>
      <c r="F377" s="942" t="s">
        <v>307</v>
      </c>
      <c r="G377" s="940">
        <v>3306</v>
      </c>
      <c r="H377" s="942" t="s">
        <v>1153</v>
      </c>
      <c r="I377" s="940" t="s">
        <v>1538</v>
      </c>
      <c r="J377" s="942" t="s">
        <v>1534</v>
      </c>
      <c r="K377" s="1069" t="s">
        <v>692</v>
      </c>
      <c r="L377" s="942" t="s">
        <v>324</v>
      </c>
      <c r="M377" s="924" t="s">
        <v>1535</v>
      </c>
      <c r="N377" s="942" t="s">
        <v>425</v>
      </c>
    </row>
    <row r="378" spans="1:19">
      <c r="A378" s="199" t="s">
        <v>1539</v>
      </c>
      <c r="B378" s="1059"/>
      <c r="C378" s="129" t="s">
        <v>1537</v>
      </c>
      <c r="D378" s="943"/>
      <c r="E378" s="943"/>
      <c r="F378" s="943"/>
      <c r="G378" s="941"/>
      <c r="H378" s="943"/>
      <c r="I378" s="941"/>
      <c r="J378" s="943"/>
      <c r="K378" s="1070"/>
      <c r="L378" s="943"/>
      <c r="M378" s="925"/>
      <c r="N378" s="943"/>
    </row>
    <row r="379" spans="1:19" ht="27" customHeight="1">
      <c r="A379" s="123">
        <v>15</v>
      </c>
      <c r="B379" s="9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35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>
      <c r="A404" s="123">
        <v>18</v>
      </c>
      <c r="B404" s="936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>
      <c r="A405" s="123">
        <v>18</v>
      </c>
      <c r="B405" s="93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36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>
      <c r="A407" s="123">
        <v>18</v>
      </c>
      <c r="B407" s="936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>
      <c r="A408" s="123">
        <v>18</v>
      </c>
      <c r="B408" s="936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>
      <c r="A409" s="123">
        <v>18</v>
      </c>
      <c r="B409" s="937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>
      <c r="A410" s="123">
        <v>18</v>
      </c>
      <c r="B410" s="935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>
      <c r="A411" s="123">
        <v>18</v>
      </c>
      <c r="B411" s="936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>
      <c r="A412" s="123">
        <v>18</v>
      </c>
      <c r="B412" s="93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36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>
      <c r="A414" s="123">
        <v>18</v>
      </c>
      <c r="B414" s="937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>
      <c r="A415" s="123">
        <v>19</v>
      </c>
      <c r="B415" s="935" t="s">
        <v>20</v>
      </c>
      <c r="C415" s="148" t="s">
        <v>1794</v>
      </c>
      <c r="D415" s="942" t="s">
        <v>306</v>
      </c>
      <c r="E415" s="942" t="s">
        <v>322</v>
      </c>
      <c r="F415" s="942" t="s">
        <v>307</v>
      </c>
      <c r="G415" s="940" t="s">
        <v>1796</v>
      </c>
      <c r="H415" s="942" t="s">
        <v>1797</v>
      </c>
      <c r="I415" s="940" t="s">
        <v>1792</v>
      </c>
      <c r="J415" s="942" t="s">
        <v>664</v>
      </c>
      <c r="K415" s="148" t="s">
        <v>1520</v>
      </c>
      <c r="L415" s="942" t="s">
        <v>324</v>
      </c>
      <c r="M415" s="924" t="s">
        <v>1799</v>
      </c>
      <c r="N415" s="942" t="s">
        <v>665</v>
      </c>
    </row>
    <row r="416" spans="1:14">
      <c r="A416" s="123">
        <v>19</v>
      </c>
      <c r="B416" s="936"/>
      <c r="C416" s="148" t="s">
        <v>1795</v>
      </c>
      <c r="D416" s="943"/>
      <c r="E416" s="943"/>
      <c r="F416" s="943"/>
      <c r="G416" s="941"/>
      <c r="H416" s="943"/>
      <c r="I416" s="941"/>
      <c r="J416" s="943"/>
      <c r="K416" s="148" t="s">
        <v>1798</v>
      </c>
      <c r="L416" s="943"/>
      <c r="M416" s="925"/>
      <c r="N416" s="943"/>
    </row>
    <row r="417" spans="1:14">
      <c r="A417" s="123">
        <v>19</v>
      </c>
      <c r="B417" s="936"/>
      <c r="C417" s="148" t="s">
        <v>1800</v>
      </c>
      <c r="D417" s="942" t="s">
        <v>306</v>
      </c>
      <c r="E417" s="942" t="s">
        <v>322</v>
      </c>
      <c r="F417" s="942" t="s">
        <v>307</v>
      </c>
      <c r="G417" s="940" t="s">
        <v>1801</v>
      </c>
      <c r="H417" s="942" t="s">
        <v>1802</v>
      </c>
      <c r="I417" s="940" t="s">
        <v>1803</v>
      </c>
      <c r="J417" s="942" t="s">
        <v>664</v>
      </c>
      <c r="K417" s="996" t="s">
        <v>1155</v>
      </c>
      <c r="L417" s="942" t="s">
        <v>324</v>
      </c>
      <c r="M417" s="924" t="s">
        <v>1804</v>
      </c>
      <c r="N417" s="942" t="s">
        <v>665</v>
      </c>
    </row>
    <row r="418" spans="1:14">
      <c r="A418" s="123">
        <v>19</v>
      </c>
      <c r="B418" s="937"/>
      <c r="C418" s="148" t="s">
        <v>1795</v>
      </c>
      <c r="D418" s="943"/>
      <c r="E418" s="943"/>
      <c r="F418" s="943"/>
      <c r="G418" s="941"/>
      <c r="H418" s="943"/>
      <c r="I418" s="941"/>
      <c r="J418" s="943"/>
      <c r="K418" s="997"/>
      <c r="L418" s="943"/>
      <c r="M418" s="925"/>
      <c r="N418" s="943"/>
    </row>
    <row r="419" spans="1:14" ht="16.5" customHeight="1">
      <c r="A419" s="123">
        <v>19</v>
      </c>
      <c r="B419" s="935" t="s">
        <v>21</v>
      </c>
      <c r="C419" s="986" t="s">
        <v>1805</v>
      </c>
      <c r="D419" s="986" t="s">
        <v>700</v>
      </c>
      <c r="E419" s="942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42"/>
      <c r="K419" s="988" t="s">
        <v>1809</v>
      </c>
      <c r="L419" s="942" t="s">
        <v>309</v>
      </c>
      <c r="M419" s="924" t="s">
        <v>1810</v>
      </c>
      <c r="N419" s="149" t="s">
        <v>1811</v>
      </c>
    </row>
    <row r="420" spans="1:14">
      <c r="A420" s="123">
        <v>19</v>
      </c>
      <c r="B420" s="936"/>
      <c r="C420" s="987"/>
      <c r="D420" s="987"/>
      <c r="E420" s="943"/>
      <c r="F420" s="987"/>
      <c r="G420" s="987"/>
      <c r="H420" s="987"/>
      <c r="I420" s="941"/>
      <c r="J420" s="943"/>
      <c r="K420" s="989"/>
      <c r="L420" s="943"/>
      <c r="M420" s="925"/>
      <c r="N420" s="149" t="s">
        <v>1812</v>
      </c>
    </row>
    <row r="421" spans="1:14">
      <c r="A421" s="123">
        <v>19</v>
      </c>
      <c r="B421" s="936"/>
      <c r="C421" s="990" t="s">
        <v>1813</v>
      </c>
      <c r="D421" s="986" t="s">
        <v>700</v>
      </c>
      <c r="E421" s="942" t="s">
        <v>320</v>
      </c>
      <c r="F421" s="942" t="s">
        <v>337</v>
      </c>
      <c r="G421" s="986" t="s">
        <v>353</v>
      </c>
      <c r="H421" s="986" t="s">
        <v>1814</v>
      </c>
      <c r="I421" s="940" t="s">
        <v>1815</v>
      </c>
      <c r="J421" s="942" t="s">
        <v>638</v>
      </c>
      <c r="K421" s="992" t="s">
        <v>692</v>
      </c>
      <c r="L421" s="942" t="s">
        <v>309</v>
      </c>
      <c r="M421" s="924" t="s">
        <v>1816</v>
      </c>
      <c r="N421" s="148" t="s">
        <v>1817</v>
      </c>
    </row>
    <row r="422" spans="1:14">
      <c r="A422" s="123">
        <v>19</v>
      </c>
      <c r="B422" s="936"/>
      <c r="C422" s="991"/>
      <c r="D422" s="987"/>
      <c r="E422" s="943"/>
      <c r="F422" s="943"/>
      <c r="G422" s="987"/>
      <c r="H422" s="987"/>
      <c r="I422" s="941"/>
      <c r="J422" s="943"/>
      <c r="K422" s="993"/>
      <c r="L422" s="943"/>
      <c r="M422" s="925"/>
      <c r="N422" s="148" t="s">
        <v>1818</v>
      </c>
    </row>
    <row r="423" spans="1:14">
      <c r="A423" s="123">
        <v>19</v>
      </c>
      <c r="B423" s="93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36"/>
      <c r="C424" s="986" t="s">
        <v>1820</v>
      </c>
      <c r="D424" s="986" t="s">
        <v>700</v>
      </c>
      <c r="E424" s="942" t="s">
        <v>320</v>
      </c>
      <c r="F424" s="942" t="s">
        <v>709</v>
      </c>
      <c r="G424" s="942" t="s">
        <v>1768</v>
      </c>
      <c r="H424" s="986" t="s">
        <v>1821</v>
      </c>
      <c r="I424" s="149" t="s">
        <v>1822</v>
      </c>
      <c r="J424" s="942" t="s">
        <v>638</v>
      </c>
      <c r="K424" s="942" t="s">
        <v>692</v>
      </c>
      <c r="L424" s="942" t="s">
        <v>309</v>
      </c>
      <c r="M424" s="924" t="s">
        <v>1535</v>
      </c>
      <c r="N424" s="940" t="s">
        <v>1824</v>
      </c>
    </row>
    <row r="425" spans="1:14">
      <c r="A425" s="123">
        <v>19</v>
      </c>
      <c r="B425" s="936"/>
      <c r="C425" s="987"/>
      <c r="D425" s="987"/>
      <c r="E425" s="943"/>
      <c r="F425" s="943"/>
      <c r="G425" s="943"/>
      <c r="H425" s="987"/>
      <c r="I425" s="149" t="s">
        <v>1823</v>
      </c>
      <c r="J425" s="943"/>
      <c r="K425" s="943"/>
      <c r="L425" s="943"/>
      <c r="M425" s="925"/>
      <c r="N425" s="941"/>
    </row>
    <row r="426" spans="1:14">
      <c r="A426" s="123">
        <v>19</v>
      </c>
      <c r="B426" s="93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3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3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3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3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3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3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3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3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3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3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3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3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3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3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3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3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3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3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3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3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3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3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3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3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3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35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>
      <c r="A453" s="123">
        <v>23</v>
      </c>
      <c r="B453" s="936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>
      <c r="A454" s="123">
        <v>23</v>
      </c>
      <c r="B454" s="936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>
      <c r="A455" s="123">
        <v>23</v>
      </c>
      <c r="B455" s="936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>
      <c r="A456" s="123">
        <v>23</v>
      </c>
      <c r="B456" s="93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36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>
      <c r="A458" s="123">
        <v>23</v>
      </c>
      <c r="B458" s="936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>
      <c r="A459" s="123">
        <v>23</v>
      </c>
      <c r="B459" s="936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>
      <c r="A460" s="123">
        <v>23</v>
      </c>
      <c r="B460" s="937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>
      <c r="A461" s="123">
        <v>23</v>
      </c>
      <c r="B461" s="93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36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>
      <c r="A463" s="123">
        <v>23</v>
      </c>
      <c r="B463" s="936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>
      <c r="A464" s="123">
        <v>23</v>
      </c>
      <c r="B464" s="93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3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3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3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3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3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3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3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3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3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3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3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3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3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3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3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3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3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3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3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3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3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3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3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3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3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3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3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3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3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3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3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3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3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3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3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3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3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3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3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3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3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3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3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3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3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3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3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3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3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3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3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3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3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3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3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3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3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3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3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3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3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3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3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3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3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3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3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3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3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3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3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3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3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3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3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3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3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3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3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3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3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3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3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3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3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3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3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3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3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3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3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3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3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3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3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3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3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3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3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3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3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3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3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3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3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3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3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3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3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3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3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3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3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3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3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3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3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3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3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3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3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3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3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3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3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3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3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3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3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3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3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3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3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3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3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3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3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3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3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3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3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3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3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3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3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3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3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3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3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3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3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3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3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3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3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3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3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3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3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3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3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3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3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3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3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3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3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3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3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3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3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3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3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3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3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3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3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3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3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3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3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3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3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3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3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3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3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3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3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3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3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3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36"/>
      <c r="C687" s="148" t="s">
        <v>2726</v>
      </c>
      <c r="D687" s="942" t="s">
        <v>306</v>
      </c>
      <c r="E687" s="942" t="s">
        <v>322</v>
      </c>
      <c r="F687" s="942" t="s">
        <v>307</v>
      </c>
      <c r="G687" s="940" t="s">
        <v>2719</v>
      </c>
      <c r="H687" s="942" t="s">
        <v>1047</v>
      </c>
      <c r="I687" s="940" t="s">
        <v>704</v>
      </c>
      <c r="J687" s="942" t="s">
        <v>664</v>
      </c>
      <c r="K687" s="974" t="s">
        <v>1763</v>
      </c>
      <c r="L687" s="942"/>
      <c r="M687" s="924" t="s">
        <v>458</v>
      </c>
      <c r="N687" s="942" t="s">
        <v>665</v>
      </c>
    </row>
    <row r="688" spans="1:14">
      <c r="A688" s="123">
        <v>8</v>
      </c>
      <c r="B688" s="936"/>
      <c r="C688" s="148" t="s">
        <v>2727</v>
      </c>
      <c r="D688" s="943"/>
      <c r="E688" s="943"/>
      <c r="F688" s="943"/>
      <c r="G688" s="941"/>
      <c r="H688" s="943"/>
      <c r="I688" s="941"/>
      <c r="J688" s="943"/>
      <c r="K688" s="975"/>
      <c r="L688" s="943"/>
      <c r="M688" s="925"/>
      <c r="N688" s="943"/>
    </row>
    <row r="689" spans="1:14">
      <c r="A689" s="123">
        <v>8</v>
      </c>
      <c r="B689" s="93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36"/>
      <c r="C690" s="148" t="s">
        <v>2730</v>
      </c>
      <c r="D690" s="942" t="s">
        <v>306</v>
      </c>
      <c r="E690" s="942" t="s">
        <v>322</v>
      </c>
      <c r="F690" s="942" t="s">
        <v>307</v>
      </c>
      <c r="G690" s="940" t="s">
        <v>2731</v>
      </c>
      <c r="H690" s="942" t="s">
        <v>640</v>
      </c>
      <c r="I690" s="940" t="s">
        <v>668</v>
      </c>
      <c r="J690" s="942" t="s">
        <v>349</v>
      </c>
      <c r="K690" s="976" t="s">
        <v>2732</v>
      </c>
      <c r="L690" s="942"/>
      <c r="M690" s="924" t="s">
        <v>2769</v>
      </c>
      <c r="N690" s="942" t="s">
        <v>425</v>
      </c>
    </row>
    <row r="691" spans="1:14">
      <c r="A691" s="123">
        <v>8</v>
      </c>
      <c r="B691" s="937"/>
      <c r="C691" s="148" t="s">
        <v>2723</v>
      </c>
      <c r="D691" s="943"/>
      <c r="E691" s="943"/>
      <c r="F691" s="943"/>
      <c r="G691" s="941"/>
      <c r="H691" s="943"/>
      <c r="I691" s="941"/>
      <c r="J691" s="943"/>
      <c r="K691" s="977"/>
      <c r="L691" s="943"/>
      <c r="M691" s="925"/>
      <c r="N691" s="943"/>
    </row>
    <row r="692" spans="1:14">
      <c r="A692" s="123">
        <v>8</v>
      </c>
      <c r="B692" s="93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36"/>
      <c r="C693" s="942" t="s">
        <v>2768</v>
      </c>
      <c r="D693" s="942" t="s">
        <v>311</v>
      </c>
      <c r="E693" s="942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42" t="s">
        <v>309</v>
      </c>
      <c r="M693" s="924" t="s">
        <v>672</v>
      </c>
      <c r="N693" s="942" t="s">
        <v>2740</v>
      </c>
    </row>
    <row r="694" spans="1:14">
      <c r="A694" s="123">
        <v>8</v>
      </c>
      <c r="B694" s="937"/>
      <c r="C694" s="943"/>
      <c r="D694" s="943"/>
      <c r="E694" s="943"/>
      <c r="F694" s="149" t="s">
        <v>2738</v>
      </c>
      <c r="G694" s="941"/>
      <c r="H694" s="941"/>
      <c r="I694" s="941"/>
      <c r="J694" s="941"/>
      <c r="K694" s="941"/>
      <c r="L694" s="943"/>
      <c r="M694" s="925"/>
      <c r="N694" s="952"/>
    </row>
    <row r="695" spans="1:14">
      <c r="A695" s="123">
        <v>9</v>
      </c>
      <c r="B695" s="93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3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36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>
      <c r="A698" s="123">
        <v>9</v>
      </c>
      <c r="B698" s="936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>
      <c r="A699" s="123">
        <v>9</v>
      </c>
      <c r="B699" s="936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>
      <c r="A700" s="123">
        <v>9</v>
      </c>
      <c r="B700" s="936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>
      <c r="A701" s="123">
        <v>9</v>
      </c>
      <c r="B701" s="93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3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3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3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3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3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3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3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3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3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3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3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3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3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3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3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3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3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3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3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3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3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3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3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3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3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3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3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3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3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>
      <c r="A734" s="123">
        <v>15</v>
      </c>
      <c r="B734" s="93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>
      <c r="A735" s="123">
        <v>15</v>
      </c>
      <c r="B735" s="93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3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3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3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3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3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3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3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3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3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3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3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3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3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3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3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3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3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3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3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3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3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3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3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3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3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3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3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3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3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3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3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3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3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3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3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3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3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3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3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3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3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3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3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3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3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3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3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3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3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3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3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3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3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3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3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3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3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3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3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3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3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3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3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3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3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3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3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3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3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3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3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3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3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3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3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3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3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3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3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3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3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3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3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3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3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3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3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3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35" t="s">
        <v>3097</v>
      </c>
      <c r="C835" s="148" t="s">
        <v>3079</v>
      </c>
      <c r="D835" s="942" t="s">
        <v>306</v>
      </c>
      <c r="E835" s="942" t="s">
        <v>322</v>
      </c>
      <c r="F835" s="942" t="s">
        <v>307</v>
      </c>
      <c r="G835" s="940" t="s">
        <v>3051</v>
      </c>
      <c r="H835" s="942" t="s">
        <v>1993</v>
      </c>
      <c r="I835" s="940" t="s">
        <v>3052</v>
      </c>
      <c r="J835" s="942" t="s">
        <v>664</v>
      </c>
      <c r="K835" s="148" t="s">
        <v>3081</v>
      </c>
      <c r="L835" s="942"/>
      <c r="M835" s="954" t="s">
        <v>3082</v>
      </c>
      <c r="N835" s="148" t="s">
        <v>3083</v>
      </c>
    </row>
    <row r="836" spans="1:14">
      <c r="A836" s="123">
        <v>29</v>
      </c>
      <c r="B836" s="936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>
      <c r="A837" s="123">
        <v>29</v>
      </c>
      <c r="B837" s="936"/>
      <c r="C837" s="148"/>
      <c r="D837" s="943"/>
      <c r="E837" s="943"/>
      <c r="F837" s="943"/>
      <c r="G837" s="941"/>
      <c r="H837" s="943"/>
      <c r="I837" s="941"/>
      <c r="J837" s="943"/>
      <c r="K837" s="148"/>
      <c r="L837" s="943"/>
      <c r="M837" s="956"/>
      <c r="N837" s="148" t="s">
        <v>3084</v>
      </c>
    </row>
    <row r="838" spans="1:14">
      <c r="A838" s="123">
        <v>29</v>
      </c>
      <c r="B838" s="93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3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35" t="s">
        <v>21</v>
      </c>
      <c r="C840" s="111" t="s">
        <v>3087</v>
      </c>
      <c r="D840" s="942" t="s">
        <v>311</v>
      </c>
      <c r="E840" s="942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42" t="s">
        <v>309</v>
      </c>
      <c r="M840" s="954" t="s">
        <v>1816</v>
      </c>
      <c r="N840" s="942" t="s">
        <v>3088</v>
      </c>
    </row>
    <row r="841" spans="1:14">
      <c r="A841" s="123">
        <v>29</v>
      </c>
      <c r="B841" s="936"/>
      <c r="C841" s="111" t="s">
        <v>3065</v>
      </c>
      <c r="D841" s="943"/>
      <c r="E841" s="943"/>
      <c r="F841" s="941"/>
      <c r="G841" s="941"/>
      <c r="H841" s="941"/>
      <c r="I841" s="941"/>
      <c r="J841" s="941"/>
      <c r="K841" s="941"/>
      <c r="L841" s="943"/>
      <c r="M841" s="956"/>
      <c r="N841" s="943"/>
    </row>
    <row r="842" spans="1:14">
      <c r="A842" s="123">
        <v>29</v>
      </c>
      <c r="B842" s="93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3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36"/>
      <c r="C844" s="111" t="s">
        <v>3079</v>
      </c>
      <c r="D844" s="942" t="s">
        <v>311</v>
      </c>
      <c r="E844" s="942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42" t="s">
        <v>309</v>
      </c>
      <c r="M844" s="960" t="s">
        <v>3092</v>
      </c>
      <c r="N844" s="942" t="s">
        <v>1206</v>
      </c>
    </row>
    <row r="845" spans="1:14">
      <c r="A845" s="123">
        <v>29</v>
      </c>
      <c r="B845" s="936"/>
      <c r="C845" s="111" t="s">
        <v>3089</v>
      </c>
      <c r="D845" s="943"/>
      <c r="E845" s="943"/>
      <c r="F845" s="941"/>
      <c r="G845" s="941"/>
      <c r="H845" s="941"/>
      <c r="I845" s="149" t="s">
        <v>3091</v>
      </c>
      <c r="J845" s="941"/>
      <c r="K845" s="941"/>
      <c r="L845" s="943"/>
      <c r="M845" s="961"/>
      <c r="N845" s="943"/>
    </row>
    <row r="846" spans="1:14">
      <c r="A846" s="123">
        <v>29</v>
      </c>
      <c r="B846" s="936"/>
      <c r="C846" s="111" t="s">
        <v>3079</v>
      </c>
      <c r="D846" s="942" t="s">
        <v>311</v>
      </c>
      <c r="E846" s="942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42" t="s">
        <v>309</v>
      </c>
      <c r="M846" s="954" t="s">
        <v>3094</v>
      </c>
      <c r="N846" s="942" t="s">
        <v>3095</v>
      </c>
    </row>
    <row r="847" spans="1:14">
      <c r="A847" s="123">
        <v>29</v>
      </c>
      <c r="B847" s="936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>
      <c r="A848" s="123">
        <v>29</v>
      </c>
      <c r="B848" s="936"/>
      <c r="C848" s="111" t="s">
        <v>3093</v>
      </c>
      <c r="D848" s="943"/>
      <c r="E848" s="943"/>
      <c r="F848" s="941"/>
      <c r="G848" s="941"/>
      <c r="H848" s="941"/>
      <c r="I848" s="941"/>
      <c r="J848" s="941"/>
      <c r="K848" s="941"/>
      <c r="L848" s="943"/>
      <c r="M848" s="956"/>
      <c r="N848" s="943"/>
    </row>
    <row r="849" spans="1:14">
      <c r="A849" s="123">
        <v>29</v>
      </c>
      <c r="B849" s="936"/>
      <c r="C849" s="111" t="s">
        <v>3096</v>
      </c>
      <c r="D849" s="942" t="s">
        <v>311</v>
      </c>
      <c r="E849" s="942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42" t="s">
        <v>309</v>
      </c>
      <c r="M849" s="954" t="s">
        <v>1816</v>
      </c>
      <c r="N849" s="942" t="s">
        <v>3095</v>
      </c>
    </row>
    <row r="850" spans="1:14">
      <c r="A850" s="123">
        <v>29</v>
      </c>
      <c r="B850" s="937"/>
      <c r="C850" s="111" t="s">
        <v>3089</v>
      </c>
      <c r="D850" s="943"/>
      <c r="E850" s="943"/>
      <c r="F850" s="941"/>
      <c r="G850" s="941"/>
      <c r="H850" s="941"/>
      <c r="I850" s="941"/>
      <c r="J850" s="941"/>
      <c r="K850" s="941"/>
      <c r="L850" s="943"/>
      <c r="M850" s="956"/>
      <c r="N850" s="943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48"/>
      <c r="C853" s="148" t="s">
        <v>3106</v>
      </c>
      <c r="D853" s="942" t="s">
        <v>306</v>
      </c>
      <c r="E853" s="942" t="s">
        <v>322</v>
      </c>
      <c r="F853" s="942" t="s">
        <v>307</v>
      </c>
      <c r="G853" s="940" t="s">
        <v>3051</v>
      </c>
      <c r="H853" s="942" t="s">
        <v>1993</v>
      </c>
      <c r="I853" s="940" t="s">
        <v>3108</v>
      </c>
      <c r="J853" s="942" t="s">
        <v>664</v>
      </c>
      <c r="K853" s="148" t="s">
        <v>3109</v>
      </c>
      <c r="L853" s="942"/>
      <c r="M853" s="924" t="s">
        <v>3110</v>
      </c>
      <c r="N853" s="942" t="s">
        <v>665</v>
      </c>
    </row>
    <row r="854" spans="1:14">
      <c r="A854" s="123">
        <v>30</v>
      </c>
      <c r="B854" s="948"/>
      <c r="C854" s="148" t="s">
        <v>3107</v>
      </c>
      <c r="D854" s="943"/>
      <c r="E854" s="943"/>
      <c r="F854" s="943"/>
      <c r="G854" s="941"/>
      <c r="H854" s="943"/>
      <c r="I854" s="941"/>
      <c r="J854" s="943"/>
      <c r="K854" s="148" t="s">
        <v>655</v>
      </c>
      <c r="L854" s="943"/>
      <c r="M854" s="925"/>
      <c r="N854" s="943"/>
    </row>
    <row r="855" spans="1:14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35" t="s">
        <v>3116</v>
      </c>
      <c r="C856" s="950" t="s">
        <v>3117</v>
      </c>
      <c r="D856" s="942" t="s">
        <v>311</v>
      </c>
      <c r="E856" s="942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42" t="s">
        <v>309</v>
      </c>
      <c r="M856" s="924" t="s">
        <v>1810</v>
      </c>
      <c r="N856" s="148" t="s">
        <v>3119</v>
      </c>
    </row>
    <row r="857" spans="1:14">
      <c r="A857" s="123">
        <v>30</v>
      </c>
      <c r="B857" s="936"/>
      <c r="C857" s="951"/>
      <c r="D857" s="943"/>
      <c r="E857" s="943"/>
      <c r="F857" s="941"/>
      <c r="G857" s="941"/>
      <c r="H857" s="941"/>
      <c r="I857" s="941"/>
      <c r="J857" s="941"/>
      <c r="K857" s="941"/>
      <c r="L857" s="943"/>
      <c r="M857" s="925"/>
      <c r="N857" s="148" t="s">
        <v>3120</v>
      </c>
    </row>
    <row r="858" spans="1:14" ht="16.5" customHeight="1">
      <c r="A858" s="123">
        <v>30</v>
      </c>
      <c r="B858" s="936"/>
      <c r="C858" s="950" t="s">
        <v>3117</v>
      </c>
      <c r="D858" s="942" t="s">
        <v>311</v>
      </c>
      <c r="E858" s="942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42" t="s">
        <v>309</v>
      </c>
      <c r="M858" s="924" t="s">
        <v>1535</v>
      </c>
      <c r="N858" s="942" t="s">
        <v>1772</v>
      </c>
    </row>
    <row r="859" spans="1:14">
      <c r="A859" s="123">
        <v>30</v>
      </c>
      <c r="B859" s="936"/>
      <c r="C859" s="951"/>
      <c r="D859" s="943"/>
      <c r="E859" s="943"/>
      <c r="F859" s="941"/>
      <c r="G859" s="149">
        <v>2651</v>
      </c>
      <c r="H859" s="941"/>
      <c r="I859" s="941"/>
      <c r="J859" s="941"/>
      <c r="K859" s="941"/>
      <c r="L859" s="943"/>
      <c r="M859" s="925"/>
      <c r="N859" s="943"/>
    </row>
    <row r="860" spans="1:14">
      <c r="A860" s="123">
        <v>30</v>
      </c>
      <c r="B860" s="936"/>
      <c r="C860" s="950" t="s">
        <v>3123</v>
      </c>
      <c r="D860" s="942" t="s">
        <v>311</v>
      </c>
      <c r="E860" s="942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42" t="s">
        <v>309</v>
      </c>
      <c r="M860" s="924" t="s">
        <v>1933</v>
      </c>
      <c r="N860" s="942" t="s">
        <v>1206</v>
      </c>
    </row>
    <row r="861" spans="1:14">
      <c r="A861" s="123">
        <v>30</v>
      </c>
      <c r="B861" s="936"/>
      <c r="C861" s="951"/>
      <c r="D861" s="943"/>
      <c r="E861" s="943"/>
      <c r="F861" s="941"/>
      <c r="G861" s="941"/>
      <c r="H861" s="941"/>
      <c r="I861" s="149" t="s">
        <v>3125</v>
      </c>
      <c r="J861" s="941"/>
      <c r="K861" s="941"/>
      <c r="L861" s="943"/>
      <c r="M861" s="925"/>
      <c r="N861" s="943"/>
    </row>
    <row r="862" spans="1:14">
      <c r="A862" s="123">
        <v>30</v>
      </c>
      <c r="B862" s="936"/>
      <c r="C862" s="111" t="s">
        <v>3127</v>
      </c>
      <c r="D862" s="942" t="s">
        <v>311</v>
      </c>
      <c r="E862" s="942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42" t="s">
        <v>309</v>
      </c>
      <c r="M862" s="924" t="s">
        <v>1535</v>
      </c>
      <c r="N862" s="942" t="s">
        <v>1206</v>
      </c>
    </row>
    <row r="863" spans="1:14">
      <c r="A863" s="123">
        <v>30</v>
      </c>
      <c r="B863" s="936"/>
      <c r="C863" s="111" t="s">
        <v>3128</v>
      </c>
      <c r="D863" s="943"/>
      <c r="E863" s="943"/>
      <c r="F863" s="941"/>
      <c r="G863" s="941"/>
      <c r="H863" s="941"/>
      <c r="I863" s="941"/>
      <c r="J863" s="941"/>
      <c r="K863" s="941"/>
      <c r="L863" s="943"/>
      <c r="M863" s="925"/>
      <c r="N863" s="943"/>
    </row>
    <row r="864" spans="1:14">
      <c r="A864" s="123">
        <v>30</v>
      </c>
      <c r="B864" s="936"/>
      <c r="C864" s="111" t="s">
        <v>3130</v>
      </c>
      <c r="D864" s="942" t="s">
        <v>311</v>
      </c>
      <c r="E864" s="942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42" t="s">
        <v>309</v>
      </c>
      <c r="M864" s="924" t="s">
        <v>1810</v>
      </c>
      <c r="N864" s="942" t="s">
        <v>1206</v>
      </c>
    </row>
    <row r="865" spans="1:14">
      <c r="A865" s="123">
        <v>30</v>
      </c>
      <c r="B865" s="936"/>
      <c r="C865" s="111" t="s">
        <v>3107</v>
      </c>
      <c r="D865" s="943"/>
      <c r="E865" s="943"/>
      <c r="F865" s="941"/>
      <c r="G865" s="941"/>
      <c r="H865" s="941"/>
      <c r="I865" s="941"/>
      <c r="J865" s="941"/>
      <c r="K865" s="941"/>
      <c r="L865" s="943"/>
      <c r="M865" s="925"/>
      <c r="N865" s="943"/>
    </row>
    <row r="866" spans="1:14" ht="25.5">
      <c r="A866" s="123">
        <v>30</v>
      </c>
      <c r="B866" s="93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36"/>
      <c r="C867" s="950" t="s">
        <v>3111</v>
      </c>
      <c r="D867" s="942" t="s">
        <v>311</v>
      </c>
      <c r="E867" s="942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42" t="s">
        <v>309</v>
      </c>
      <c r="M867" s="924" t="s">
        <v>1828</v>
      </c>
      <c r="N867" s="942" t="s">
        <v>3136</v>
      </c>
    </row>
    <row r="868" spans="1:14">
      <c r="A868" s="123">
        <v>30</v>
      </c>
      <c r="B868" s="937"/>
      <c r="C868" s="951"/>
      <c r="D868" s="943"/>
      <c r="E868" s="943"/>
      <c r="F868" s="941"/>
      <c r="G868" s="941"/>
      <c r="H868" s="941"/>
      <c r="I868" s="149" t="s">
        <v>3135</v>
      </c>
      <c r="J868" s="941"/>
      <c r="K868" s="941"/>
      <c r="L868" s="943"/>
      <c r="M868" s="925"/>
      <c r="N868" s="943"/>
    </row>
    <row r="869" spans="1:14">
      <c r="A869" s="123">
        <v>31</v>
      </c>
      <c r="B869" s="93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36"/>
      <c r="C870" s="148" t="s">
        <v>3140</v>
      </c>
      <c r="D870" s="942" t="s">
        <v>306</v>
      </c>
      <c r="E870" s="942" t="s">
        <v>322</v>
      </c>
      <c r="F870" s="942" t="s">
        <v>307</v>
      </c>
      <c r="G870" s="940">
        <v>1566</v>
      </c>
      <c r="H870" s="942" t="s">
        <v>1911</v>
      </c>
      <c r="I870" s="940" t="s">
        <v>3142</v>
      </c>
      <c r="J870" s="942" t="s">
        <v>664</v>
      </c>
      <c r="K870" s="942" t="s">
        <v>3143</v>
      </c>
      <c r="L870" s="942"/>
      <c r="M870" s="924" t="s">
        <v>3144</v>
      </c>
      <c r="N870" s="942" t="s">
        <v>665</v>
      </c>
    </row>
    <row r="871" spans="1:14">
      <c r="A871" s="123">
        <v>31</v>
      </c>
      <c r="B871" s="936"/>
      <c r="C871" s="148" t="s">
        <v>3141</v>
      </c>
      <c r="D871" s="943"/>
      <c r="E871" s="943"/>
      <c r="F871" s="943"/>
      <c r="G871" s="941"/>
      <c r="H871" s="943"/>
      <c r="I871" s="941"/>
      <c r="J871" s="943"/>
      <c r="K871" s="943"/>
      <c r="L871" s="943"/>
      <c r="M871" s="925"/>
      <c r="N871" s="943"/>
    </row>
    <row r="872" spans="1:14">
      <c r="A872" s="123">
        <v>31</v>
      </c>
      <c r="B872" s="93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36"/>
      <c r="C873" s="388" t="s">
        <v>3140</v>
      </c>
      <c r="D873" s="942" t="s">
        <v>306</v>
      </c>
      <c r="E873" s="942" t="s">
        <v>322</v>
      </c>
      <c r="F873" s="942" t="s">
        <v>307</v>
      </c>
      <c r="G873" s="940" t="s">
        <v>3147</v>
      </c>
      <c r="H873" s="942" t="s">
        <v>3148</v>
      </c>
      <c r="I873" s="940" t="s">
        <v>332</v>
      </c>
      <c r="J873" s="942" t="s">
        <v>1534</v>
      </c>
      <c r="K873" s="942" t="s">
        <v>1157</v>
      </c>
      <c r="L873" s="942"/>
      <c r="M873" s="924" t="s">
        <v>3149</v>
      </c>
      <c r="N873" s="942" t="s">
        <v>425</v>
      </c>
    </row>
    <row r="874" spans="1:14">
      <c r="A874" s="123">
        <v>31</v>
      </c>
      <c r="B874" s="937"/>
      <c r="C874" s="388" t="s">
        <v>3146</v>
      </c>
      <c r="D874" s="943"/>
      <c r="E874" s="943"/>
      <c r="F874" s="943"/>
      <c r="G874" s="941"/>
      <c r="H874" s="943"/>
      <c r="I874" s="941"/>
      <c r="J874" s="943"/>
      <c r="K874" s="943"/>
      <c r="L874" s="943"/>
      <c r="M874" s="925"/>
      <c r="N874" s="943"/>
    </row>
    <row r="875" spans="1:14">
      <c r="A875" s="123">
        <v>31</v>
      </c>
      <c r="B875" s="93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36"/>
      <c r="C876" s="942" t="s">
        <v>3128</v>
      </c>
      <c r="D876" s="942" t="s">
        <v>311</v>
      </c>
      <c r="E876" s="942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42" t="s">
        <v>309</v>
      </c>
      <c r="M876" s="924" t="s">
        <v>3139</v>
      </c>
      <c r="N876" s="942" t="s">
        <v>3152</v>
      </c>
    </row>
    <row r="877" spans="1:14">
      <c r="A877" s="123">
        <v>31</v>
      </c>
      <c r="B877" s="936"/>
      <c r="C877" s="943"/>
      <c r="D877" s="943"/>
      <c r="E877" s="943"/>
      <c r="F877" s="941"/>
      <c r="G877" s="941"/>
      <c r="H877" s="941"/>
      <c r="I877" s="149" t="s">
        <v>3135</v>
      </c>
      <c r="J877" s="941"/>
      <c r="K877" s="941"/>
      <c r="L877" s="943"/>
      <c r="M877" s="925"/>
      <c r="N877" s="943"/>
    </row>
    <row r="878" spans="1:14" ht="16.5" customHeight="1">
      <c r="A878" s="123">
        <v>31</v>
      </c>
      <c r="B878" s="936"/>
      <c r="C878" s="148" t="s">
        <v>3153</v>
      </c>
      <c r="D878" s="942" t="s">
        <v>311</v>
      </c>
      <c r="E878" s="942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42" t="s">
        <v>309</v>
      </c>
      <c r="M878" s="924" t="s">
        <v>3156</v>
      </c>
      <c r="N878" s="942" t="s">
        <v>3151</v>
      </c>
    </row>
    <row r="879" spans="1:14">
      <c r="A879" s="123">
        <v>31</v>
      </c>
      <c r="B879" s="936"/>
      <c r="C879" s="148" t="s">
        <v>3111</v>
      </c>
      <c r="D879" s="943"/>
      <c r="E879" s="943"/>
      <c r="F879" s="941"/>
      <c r="G879" s="941"/>
      <c r="H879" s="941"/>
      <c r="I879" s="941"/>
      <c r="J879" s="941"/>
      <c r="K879" s="941"/>
      <c r="L879" s="943"/>
      <c r="M879" s="925"/>
      <c r="N879" s="943"/>
    </row>
    <row r="880" spans="1:14">
      <c r="A880" s="123">
        <v>31</v>
      </c>
      <c r="B880" s="93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3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3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36"/>
      <c r="C883" s="111" t="s">
        <v>3166</v>
      </c>
      <c r="D883" s="942" t="s">
        <v>311</v>
      </c>
      <c r="E883" s="942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42" t="s">
        <v>309</v>
      </c>
      <c r="M883" s="924" t="s">
        <v>3173</v>
      </c>
      <c r="N883" s="942" t="s">
        <v>3136</v>
      </c>
    </row>
    <row r="884" spans="1:14">
      <c r="A884" s="123">
        <v>31</v>
      </c>
      <c r="B884" s="937"/>
      <c r="C884" s="111" t="s">
        <v>3167</v>
      </c>
      <c r="D884" s="943"/>
      <c r="E884" s="943"/>
      <c r="F884" s="941"/>
      <c r="G884" s="941"/>
      <c r="H884" s="941"/>
      <c r="I884" s="941"/>
      <c r="J884" s="941"/>
      <c r="K884" s="941"/>
      <c r="L884" s="943"/>
      <c r="M884" s="925"/>
      <c r="N884" s="943"/>
    </row>
    <row r="885" spans="1:14" ht="27">
      <c r="A885" s="123">
        <v>32</v>
      </c>
      <c r="B885" s="9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2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2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2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2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2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2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2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2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2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2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2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2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2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2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2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2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2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2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2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2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2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2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2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2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2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2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2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2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2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2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2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2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2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2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2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2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2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2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2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2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2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2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2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2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2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2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2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2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2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2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2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2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2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2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2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2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2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2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2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2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2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2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2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2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2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2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2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2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2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2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2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2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2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2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2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2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2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2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2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2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2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2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2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2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2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2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2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2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2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2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2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2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2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2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2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2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2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2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2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2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2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2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2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2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2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2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2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2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2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2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2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2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2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2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2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2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2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2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2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2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2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2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2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2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2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2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2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2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2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2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2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2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2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2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2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2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2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2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2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2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2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2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2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2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2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2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2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2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2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2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2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2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2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2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2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2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2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2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2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2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2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2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2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2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2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2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2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2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2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2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2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2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2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2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2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2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2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2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2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2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2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2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2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2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2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2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2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2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2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2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2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2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2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2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2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2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2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2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2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2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2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2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2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2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2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2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2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2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2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2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2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2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2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2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2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3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3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3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3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3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3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3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3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3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3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3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3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3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3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3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3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3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3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3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38"/>
      <c r="C1208" s="1075" t="s">
        <v>5007</v>
      </c>
      <c r="D1208" s="1076" t="s">
        <v>311</v>
      </c>
      <c r="E1208" s="1076" t="s">
        <v>675</v>
      </c>
      <c r="F1208" s="1075" t="s">
        <v>337</v>
      </c>
      <c r="G1208" s="1075" t="s">
        <v>353</v>
      </c>
      <c r="H1208" s="1075" t="s">
        <v>5008</v>
      </c>
      <c r="I1208" s="476" t="s">
        <v>5009</v>
      </c>
      <c r="J1208" s="1075" t="s">
        <v>638</v>
      </c>
      <c r="K1208" s="1075" t="s">
        <v>713</v>
      </c>
      <c r="L1208" s="1076" t="s">
        <v>309</v>
      </c>
      <c r="M1208" s="1077">
        <v>250000</v>
      </c>
      <c r="N1208" s="1076" t="s">
        <v>4990</v>
      </c>
    </row>
    <row r="1209" spans="1:14">
      <c r="A1209" s="123">
        <v>2</v>
      </c>
      <c r="B1209" s="938"/>
      <c r="C1209" s="1075"/>
      <c r="D1209" s="1076"/>
      <c r="E1209" s="1076"/>
      <c r="F1209" s="1075"/>
      <c r="G1209" s="1075"/>
      <c r="H1209" s="1075"/>
      <c r="I1209" s="476" t="s">
        <v>5010</v>
      </c>
      <c r="J1209" s="1075"/>
      <c r="K1209" s="1075"/>
      <c r="L1209" s="1076"/>
      <c r="M1209" s="1077"/>
      <c r="N1209" s="1076"/>
    </row>
    <row r="1210" spans="1:14">
      <c r="A1210" s="123">
        <v>2</v>
      </c>
      <c r="B1210" s="93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3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3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3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3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3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3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3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3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3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3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3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38"/>
      <c r="C1222" s="1075" t="s">
        <v>5033</v>
      </c>
      <c r="D1222" s="1076" t="s">
        <v>311</v>
      </c>
      <c r="E1222" s="1076" t="s">
        <v>675</v>
      </c>
      <c r="F1222" s="149" t="s">
        <v>5034</v>
      </c>
      <c r="G1222" s="149" t="s">
        <v>5036</v>
      </c>
      <c r="H1222" s="1075" t="s">
        <v>347</v>
      </c>
      <c r="I1222" s="149" t="s">
        <v>5038</v>
      </c>
      <c r="J1222" s="1075"/>
      <c r="K1222" s="1075" t="s">
        <v>705</v>
      </c>
      <c r="L1222" s="1076" t="s">
        <v>309</v>
      </c>
      <c r="M1222" s="1077">
        <v>500000</v>
      </c>
      <c r="N1222" s="1076" t="s">
        <v>5032</v>
      </c>
    </row>
    <row r="1223" spans="1:14">
      <c r="A1223" s="123">
        <v>3</v>
      </c>
      <c r="B1223" s="938"/>
      <c r="C1223" s="1075"/>
      <c r="D1223" s="1076"/>
      <c r="E1223" s="1076"/>
      <c r="F1223" s="149" t="s">
        <v>5035</v>
      </c>
      <c r="G1223" s="149" t="s">
        <v>5037</v>
      </c>
      <c r="H1223" s="1075"/>
      <c r="I1223" s="149" t="s">
        <v>5039</v>
      </c>
      <c r="J1223" s="1075"/>
      <c r="K1223" s="1075"/>
      <c r="L1223" s="1076"/>
      <c r="M1223" s="1077"/>
      <c r="N1223" s="1076"/>
    </row>
    <row r="1224" spans="1:14">
      <c r="A1224" s="123">
        <v>3</v>
      </c>
      <c r="B1224" s="93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3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3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3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3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3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3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3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3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3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3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3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3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3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3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3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3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3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3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3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3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3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3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3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3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3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38"/>
      <c r="C1250" s="1075" t="s">
        <v>5098</v>
      </c>
      <c r="D1250" s="1076" t="s">
        <v>311</v>
      </c>
      <c r="E1250" s="1076" t="s">
        <v>675</v>
      </c>
      <c r="F1250" s="1076" t="s">
        <v>4986</v>
      </c>
      <c r="G1250" s="1076">
        <v>1017</v>
      </c>
      <c r="H1250" s="1076" t="s">
        <v>347</v>
      </c>
      <c r="I1250" s="149" t="s">
        <v>5099</v>
      </c>
      <c r="J1250" s="1075"/>
      <c r="K1250" s="1075" t="s">
        <v>692</v>
      </c>
      <c r="L1250" s="1076" t="s">
        <v>309</v>
      </c>
      <c r="M1250" s="1077">
        <v>500000</v>
      </c>
      <c r="N1250" s="1076" t="s">
        <v>5032</v>
      </c>
    </row>
    <row r="1251" spans="1:14">
      <c r="A1251" s="123">
        <v>5</v>
      </c>
      <c r="B1251" s="938"/>
      <c r="C1251" s="1075"/>
      <c r="D1251" s="1076"/>
      <c r="E1251" s="1076"/>
      <c r="F1251" s="1076"/>
      <c r="G1251" s="1076"/>
      <c r="H1251" s="1076"/>
      <c r="I1251" s="149" t="s">
        <v>5100</v>
      </c>
      <c r="J1251" s="1075"/>
      <c r="K1251" s="1075"/>
      <c r="L1251" s="1076"/>
      <c r="M1251" s="1077"/>
      <c r="N1251" s="1076"/>
    </row>
    <row r="1252" spans="1:14">
      <c r="A1252" s="123">
        <v>5</v>
      </c>
      <c r="B1252" s="93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3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38"/>
      <c r="C1254" s="1075" t="s">
        <v>5103</v>
      </c>
      <c r="D1254" s="1076" t="s">
        <v>311</v>
      </c>
      <c r="E1254" s="1076" t="s">
        <v>675</v>
      </c>
      <c r="F1254" s="1075" t="s">
        <v>5070</v>
      </c>
      <c r="G1254" s="1075">
        <v>3006</v>
      </c>
      <c r="H1254" s="1075" t="s">
        <v>347</v>
      </c>
      <c r="I1254" s="476" t="s">
        <v>5104</v>
      </c>
      <c r="J1254" s="1075"/>
      <c r="K1254" s="1075" t="s">
        <v>705</v>
      </c>
      <c r="L1254" s="1076" t="s">
        <v>309</v>
      </c>
      <c r="M1254" s="1077">
        <v>500000</v>
      </c>
      <c r="N1254" s="1076" t="s">
        <v>5032</v>
      </c>
    </row>
    <row r="1255" spans="1:14">
      <c r="A1255" s="123">
        <v>5</v>
      </c>
      <c r="B1255" s="938"/>
      <c r="C1255" s="1075"/>
      <c r="D1255" s="1076"/>
      <c r="E1255" s="1076"/>
      <c r="F1255" s="1075"/>
      <c r="G1255" s="1075"/>
      <c r="H1255" s="1075"/>
      <c r="I1255" s="476" t="s">
        <v>5105</v>
      </c>
      <c r="J1255" s="1075"/>
      <c r="K1255" s="1075"/>
      <c r="L1255" s="1076"/>
      <c r="M1255" s="1077"/>
      <c r="N1255" s="1076"/>
    </row>
    <row r="1256" spans="1:14">
      <c r="A1256" s="123">
        <v>5</v>
      </c>
      <c r="B1256" s="938"/>
      <c r="C1256" s="1075" t="s">
        <v>5103</v>
      </c>
      <c r="D1256" s="1076" t="s">
        <v>311</v>
      </c>
      <c r="E1256" s="1076" t="s">
        <v>675</v>
      </c>
      <c r="F1256" s="1075" t="s">
        <v>5070</v>
      </c>
      <c r="G1256" s="1075">
        <v>3006</v>
      </c>
      <c r="H1256" s="1075" t="s">
        <v>347</v>
      </c>
      <c r="I1256" s="476" t="s">
        <v>5104</v>
      </c>
      <c r="J1256" s="1075"/>
      <c r="K1256" s="1075" t="s">
        <v>4936</v>
      </c>
      <c r="L1256" s="1076" t="s">
        <v>309</v>
      </c>
      <c r="M1256" s="1077">
        <v>600000</v>
      </c>
      <c r="N1256" s="1076" t="s">
        <v>5032</v>
      </c>
    </row>
    <row r="1257" spans="1:14">
      <c r="A1257" s="123">
        <v>5</v>
      </c>
      <c r="B1257" s="938"/>
      <c r="C1257" s="1075"/>
      <c r="D1257" s="1076"/>
      <c r="E1257" s="1076"/>
      <c r="F1257" s="1075"/>
      <c r="G1257" s="1075"/>
      <c r="H1257" s="1075"/>
      <c r="I1257" s="476" t="s">
        <v>5105</v>
      </c>
      <c r="J1257" s="1075"/>
      <c r="K1257" s="1075"/>
      <c r="L1257" s="1076"/>
      <c r="M1257" s="1077"/>
      <c r="N1257" s="1076"/>
    </row>
    <row r="1258" spans="1:14">
      <c r="A1258" s="123">
        <v>5</v>
      </c>
      <c r="B1258" s="93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3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3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3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3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3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3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3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3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3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38"/>
      <c r="C1268" s="1075" t="s">
        <v>5122</v>
      </c>
      <c r="D1268" s="1076" t="s">
        <v>311</v>
      </c>
      <c r="E1268" s="1076" t="s">
        <v>675</v>
      </c>
      <c r="F1268" s="149" t="s">
        <v>5123</v>
      </c>
      <c r="G1268" s="475" t="s">
        <v>5125</v>
      </c>
      <c r="H1268" s="389" t="s">
        <v>347</v>
      </c>
      <c r="I1268" s="1075" t="s">
        <v>5128</v>
      </c>
      <c r="J1268" s="1075" t="s">
        <v>638</v>
      </c>
      <c r="K1268" s="1075" t="s">
        <v>692</v>
      </c>
      <c r="L1268" s="1076" t="s">
        <v>309</v>
      </c>
      <c r="M1268" s="1077">
        <v>500000</v>
      </c>
      <c r="N1268" s="1076" t="s">
        <v>1772</v>
      </c>
    </row>
    <row r="1269" spans="1:14">
      <c r="A1269" s="123">
        <v>6</v>
      </c>
      <c r="B1269" s="938"/>
      <c r="C1269" s="1075"/>
      <c r="D1269" s="1076"/>
      <c r="E1269" s="1076"/>
      <c r="F1269" s="149" t="s">
        <v>5124</v>
      </c>
      <c r="G1269" s="475" t="s">
        <v>5126</v>
      </c>
      <c r="H1269" s="389" t="s">
        <v>5127</v>
      </c>
      <c r="I1269" s="1075"/>
      <c r="J1269" s="1075"/>
      <c r="K1269" s="1075"/>
      <c r="L1269" s="1076"/>
      <c r="M1269" s="1077"/>
      <c r="N1269" s="1076"/>
    </row>
    <row r="1270" spans="1:14" ht="24">
      <c r="A1270" s="123">
        <v>6</v>
      </c>
      <c r="B1270" s="93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3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3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3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3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3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3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3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3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3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3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3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3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3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3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3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3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3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3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38"/>
      <c r="C1289" s="1078" t="s">
        <v>5158</v>
      </c>
      <c r="D1289" s="1079" t="s">
        <v>311</v>
      </c>
      <c r="E1289" s="1079" t="s">
        <v>675</v>
      </c>
      <c r="F1289" s="506" t="s">
        <v>5123</v>
      </c>
      <c r="G1289" s="507" t="s">
        <v>5125</v>
      </c>
      <c r="H1289" s="507" t="s">
        <v>347</v>
      </c>
      <c r="I1289" s="1078" t="s">
        <v>5128</v>
      </c>
      <c r="J1289" s="1078"/>
      <c r="K1289" s="1078" t="s">
        <v>692</v>
      </c>
      <c r="L1289" s="1079" t="s">
        <v>309</v>
      </c>
      <c r="M1289" s="1080">
        <v>500000</v>
      </c>
      <c r="N1289" s="1076" t="s">
        <v>5032</v>
      </c>
    </row>
    <row r="1290" spans="1:14" ht="19.5">
      <c r="A1290" s="123">
        <v>8</v>
      </c>
      <c r="B1290" s="938"/>
      <c r="C1290" s="1075"/>
      <c r="D1290" s="1076"/>
      <c r="E1290" s="1076"/>
      <c r="F1290" s="149" t="s">
        <v>5124</v>
      </c>
      <c r="G1290" s="475" t="s">
        <v>5126</v>
      </c>
      <c r="H1290" s="477" t="s">
        <v>5127</v>
      </c>
      <c r="I1290" s="1075"/>
      <c r="J1290" s="1075"/>
      <c r="K1290" s="1075"/>
      <c r="L1290" s="1076"/>
      <c r="M1290" s="1077"/>
      <c r="N1290" s="1076"/>
    </row>
    <row r="1291" spans="1:14">
      <c r="A1291" s="123">
        <v>8</v>
      </c>
      <c r="B1291" s="938"/>
      <c r="C1291" s="1078" t="s">
        <v>5159</v>
      </c>
      <c r="D1291" s="1079" t="s">
        <v>311</v>
      </c>
      <c r="E1291" s="1079" t="s">
        <v>320</v>
      </c>
      <c r="F1291" s="1081" t="s">
        <v>709</v>
      </c>
      <c r="G1291" s="1078" t="s">
        <v>3098</v>
      </c>
      <c r="H1291" s="1078" t="s">
        <v>3099</v>
      </c>
      <c r="I1291" s="506" t="s">
        <v>5312</v>
      </c>
      <c r="J1291" s="1078" t="s">
        <v>638</v>
      </c>
      <c r="K1291" s="1078" t="s">
        <v>713</v>
      </c>
      <c r="L1291" s="1079" t="s">
        <v>309</v>
      </c>
      <c r="M1291" s="1080">
        <v>250000</v>
      </c>
      <c r="N1291" s="1076" t="s">
        <v>5032</v>
      </c>
    </row>
    <row r="1292" spans="1:14">
      <c r="A1292" s="123">
        <v>8</v>
      </c>
      <c r="B1292" s="938"/>
      <c r="C1292" s="1075"/>
      <c r="D1292" s="1076"/>
      <c r="E1292" s="1076"/>
      <c r="F1292" s="1082"/>
      <c r="G1292" s="1075"/>
      <c r="H1292" s="1075"/>
      <c r="I1292" s="149" t="s">
        <v>5160</v>
      </c>
      <c r="J1292" s="1075"/>
      <c r="K1292" s="1075"/>
      <c r="L1292" s="1076"/>
      <c r="M1292" s="1077"/>
      <c r="N1292" s="1076"/>
    </row>
    <row r="1293" spans="1:14">
      <c r="A1293" s="123">
        <v>8</v>
      </c>
      <c r="B1293" s="938"/>
      <c r="C1293" s="1078" t="s">
        <v>5161</v>
      </c>
      <c r="D1293" s="1079" t="s">
        <v>311</v>
      </c>
      <c r="E1293" s="1079" t="s">
        <v>320</v>
      </c>
      <c r="F1293" s="1078" t="s">
        <v>337</v>
      </c>
      <c r="G1293" s="1078" t="s">
        <v>3168</v>
      </c>
      <c r="H1293" s="1078" t="s">
        <v>3057</v>
      </c>
      <c r="I1293" s="506" t="s">
        <v>5313</v>
      </c>
      <c r="J1293" s="1078" t="s">
        <v>638</v>
      </c>
      <c r="K1293" s="1078" t="s">
        <v>692</v>
      </c>
      <c r="L1293" s="1079" t="s">
        <v>309</v>
      </c>
      <c r="M1293" s="1080">
        <v>500000</v>
      </c>
      <c r="N1293" s="1076" t="s">
        <v>1206</v>
      </c>
    </row>
    <row r="1294" spans="1:14">
      <c r="A1294" s="123">
        <v>8</v>
      </c>
      <c r="B1294" s="938"/>
      <c r="C1294" s="1075"/>
      <c r="D1294" s="1076"/>
      <c r="E1294" s="1076"/>
      <c r="F1294" s="1075"/>
      <c r="G1294" s="1075"/>
      <c r="H1294" s="1075"/>
      <c r="I1294" s="149" t="s">
        <v>5162</v>
      </c>
      <c r="J1294" s="1075"/>
      <c r="K1294" s="1075"/>
      <c r="L1294" s="1076"/>
      <c r="M1294" s="1077"/>
      <c r="N1294" s="1076"/>
    </row>
    <row r="1295" spans="1:14">
      <c r="A1295" s="123">
        <v>9</v>
      </c>
      <c r="B1295" s="93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3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3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3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3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3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3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3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3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38"/>
      <c r="C1304" s="1078" t="s">
        <v>5175</v>
      </c>
      <c r="D1304" s="1079" t="s">
        <v>311</v>
      </c>
      <c r="E1304" s="1079" t="s">
        <v>320</v>
      </c>
      <c r="F1304" s="1078" t="s">
        <v>337</v>
      </c>
      <c r="G1304" s="1078" t="s">
        <v>3168</v>
      </c>
      <c r="H1304" s="1078" t="s">
        <v>3057</v>
      </c>
      <c r="I1304" s="510" t="s">
        <v>5176</v>
      </c>
      <c r="J1304" s="1078" t="s">
        <v>638</v>
      </c>
      <c r="K1304" s="1078" t="s">
        <v>713</v>
      </c>
      <c r="L1304" s="1079" t="s">
        <v>309</v>
      </c>
      <c r="M1304" s="1080">
        <v>250000</v>
      </c>
      <c r="N1304" s="1076" t="s">
        <v>5032</v>
      </c>
    </row>
    <row r="1305" spans="1:14">
      <c r="A1305" s="123">
        <v>9</v>
      </c>
      <c r="B1305" s="938"/>
      <c r="C1305" s="1075"/>
      <c r="D1305" s="1076"/>
      <c r="E1305" s="1076"/>
      <c r="F1305" s="1075"/>
      <c r="G1305" s="1075"/>
      <c r="H1305" s="1075"/>
      <c r="I1305" s="476" t="s">
        <v>5177</v>
      </c>
      <c r="J1305" s="1075"/>
      <c r="K1305" s="1075"/>
      <c r="L1305" s="1076"/>
      <c r="M1305" s="1077"/>
      <c r="N1305" s="1076"/>
    </row>
    <row r="1306" spans="1:14">
      <c r="A1306" s="123">
        <v>9</v>
      </c>
      <c r="B1306" s="938"/>
      <c r="C1306" s="1078" t="s">
        <v>5175</v>
      </c>
      <c r="D1306" s="1079" t="s">
        <v>311</v>
      </c>
      <c r="E1306" s="1079" t="s">
        <v>320</v>
      </c>
      <c r="F1306" s="1078" t="s">
        <v>5178</v>
      </c>
      <c r="G1306" s="506" t="s">
        <v>689</v>
      </c>
      <c r="H1306" s="1078" t="s">
        <v>5180</v>
      </c>
      <c r="I1306" s="506" t="s">
        <v>5315</v>
      </c>
      <c r="J1306" s="1078"/>
      <c r="K1306" s="1078" t="s">
        <v>713</v>
      </c>
      <c r="L1306" s="1079" t="s">
        <v>309</v>
      </c>
      <c r="M1306" s="1080">
        <v>250000</v>
      </c>
      <c r="N1306" s="1076" t="s">
        <v>5032</v>
      </c>
    </row>
    <row r="1307" spans="1:14">
      <c r="A1307" s="123">
        <v>9</v>
      </c>
      <c r="B1307" s="938"/>
      <c r="C1307" s="1075"/>
      <c r="D1307" s="1076"/>
      <c r="E1307" s="1076"/>
      <c r="F1307" s="1075"/>
      <c r="G1307" s="149" t="s">
        <v>5179</v>
      </c>
      <c r="H1307" s="1075"/>
      <c r="I1307" s="149" t="s">
        <v>5181</v>
      </c>
      <c r="J1307" s="1075"/>
      <c r="K1307" s="1075"/>
      <c r="L1307" s="1076"/>
      <c r="M1307" s="1077"/>
      <c r="N1307" s="1076"/>
    </row>
    <row r="1308" spans="1:14">
      <c r="A1308" s="123">
        <v>9</v>
      </c>
      <c r="B1308" s="93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38"/>
      <c r="C1309" s="1078" t="s">
        <v>5183</v>
      </c>
      <c r="D1309" s="1079" t="s">
        <v>311</v>
      </c>
      <c r="E1309" s="1079" t="s">
        <v>320</v>
      </c>
      <c r="F1309" s="1078" t="s">
        <v>337</v>
      </c>
      <c r="G1309" s="506" t="s">
        <v>3401</v>
      </c>
      <c r="H1309" s="1078" t="s">
        <v>5029</v>
      </c>
      <c r="I1309" s="1078" t="s">
        <v>5316</v>
      </c>
      <c r="J1309" s="1078"/>
      <c r="K1309" s="1078" t="s">
        <v>692</v>
      </c>
      <c r="L1309" s="1079" t="s">
        <v>309</v>
      </c>
      <c r="M1309" s="1080">
        <v>500000</v>
      </c>
      <c r="N1309" s="1076" t="s">
        <v>5032</v>
      </c>
    </row>
    <row r="1310" spans="1:14">
      <c r="A1310" s="123">
        <v>9</v>
      </c>
      <c r="B1310" s="938"/>
      <c r="C1310" s="1075"/>
      <c r="D1310" s="1076"/>
      <c r="E1310" s="1076"/>
      <c r="F1310" s="1075"/>
      <c r="G1310" s="149" t="s">
        <v>5184</v>
      </c>
      <c r="H1310" s="1075"/>
      <c r="I1310" s="1075"/>
      <c r="J1310" s="1075"/>
      <c r="K1310" s="1075"/>
      <c r="L1310" s="1076"/>
      <c r="M1310" s="1077"/>
      <c r="N1310" s="1076"/>
    </row>
    <row r="1311" spans="1:14" ht="24">
      <c r="A1311" s="123">
        <v>9</v>
      </c>
      <c r="B1311" s="93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38"/>
      <c r="C1312" s="1078" t="s">
        <v>5187</v>
      </c>
      <c r="D1312" s="1079" t="s">
        <v>311</v>
      </c>
      <c r="E1312" s="1079" t="s">
        <v>675</v>
      </c>
      <c r="F1312" s="1078" t="s">
        <v>5188</v>
      </c>
      <c r="G1312" s="507" t="s">
        <v>1919</v>
      </c>
      <c r="H1312" s="1078" t="s">
        <v>347</v>
      </c>
      <c r="I1312" s="1078" t="s">
        <v>5319</v>
      </c>
      <c r="J1312" s="1078"/>
      <c r="K1312" s="1078" t="s">
        <v>692</v>
      </c>
      <c r="L1312" s="1079" t="s">
        <v>309</v>
      </c>
      <c r="M1312" s="1083">
        <v>500000</v>
      </c>
      <c r="N1312" s="1076" t="s">
        <v>1925</v>
      </c>
    </row>
    <row r="1313" spans="1:14">
      <c r="A1313" s="123">
        <v>9</v>
      </c>
      <c r="B1313" s="938"/>
      <c r="C1313" s="1075"/>
      <c r="D1313" s="1076"/>
      <c r="E1313" s="1076"/>
      <c r="F1313" s="1075"/>
      <c r="G1313" s="475" t="s">
        <v>5189</v>
      </c>
      <c r="H1313" s="1075"/>
      <c r="I1313" s="1075"/>
      <c r="J1313" s="1075"/>
      <c r="K1313" s="1075"/>
      <c r="L1313" s="1076"/>
      <c r="M1313" s="1084"/>
      <c r="N1313" s="1076"/>
    </row>
    <row r="1314" spans="1:14">
      <c r="A1314" s="123">
        <v>10</v>
      </c>
      <c r="B1314" s="93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3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3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3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3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3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3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38"/>
      <c r="C1321" s="1075" t="s">
        <v>5201</v>
      </c>
      <c r="D1321" s="1076" t="s">
        <v>311</v>
      </c>
      <c r="E1321" s="1076" t="s">
        <v>320</v>
      </c>
      <c r="F1321" s="1075" t="s">
        <v>337</v>
      </c>
      <c r="G1321" s="1075" t="s">
        <v>3168</v>
      </c>
      <c r="H1321" s="1075" t="s">
        <v>3057</v>
      </c>
      <c r="I1321" s="476" t="s">
        <v>5176</v>
      </c>
      <c r="J1321" s="1075" t="s">
        <v>638</v>
      </c>
      <c r="K1321" s="1075" t="s">
        <v>705</v>
      </c>
      <c r="L1321" s="1076" t="s">
        <v>309</v>
      </c>
      <c r="M1321" s="1077">
        <v>500000</v>
      </c>
      <c r="N1321" s="1076" t="s">
        <v>1206</v>
      </c>
    </row>
    <row r="1322" spans="1:14">
      <c r="A1322" s="123">
        <v>10</v>
      </c>
      <c r="B1322" s="938"/>
      <c r="C1322" s="1075"/>
      <c r="D1322" s="1076"/>
      <c r="E1322" s="1076"/>
      <c r="F1322" s="1075"/>
      <c r="G1322" s="1075"/>
      <c r="H1322" s="1075"/>
      <c r="I1322" s="476" t="s">
        <v>5177</v>
      </c>
      <c r="J1322" s="1075"/>
      <c r="K1322" s="1075"/>
      <c r="L1322" s="1076"/>
      <c r="M1322" s="1077"/>
      <c r="N1322" s="1076"/>
    </row>
    <row r="1323" spans="1:14">
      <c r="A1323" s="123">
        <v>10</v>
      </c>
      <c r="B1323" s="93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3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3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38"/>
      <c r="C1326" s="1075" t="s">
        <v>5202</v>
      </c>
      <c r="D1326" s="1076" t="s">
        <v>311</v>
      </c>
      <c r="E1326" s="1076" t="s">
        <v>320</v>
      </c>
      <c r="F1326" s="1075" t="s">
        <v>337</v>
      </c>
      <c r="G1326" s="1075" t="s">
        <v>3168</v>
      </c>
      <c r="H1326" s="1075" t="s">
        <v>3057</v>
      </c>
      <c r="I1326" s="476" t="s">
        <v>5176</v>
      </c>
      <c r="J1326" s="1075"/>
      <c r="K1326" s="1075" t="s">
        <v>705</v>
      </c>
      <c r="L1326" s="1076" t="s">
        <v>309</v>
      </c>
      <c r="M1326" s="1077">
        <v>500000</v>
      </c>
      <c r="N1326" s="1076" t="s">
        <v>1206</v>
      </c>
    </row>
    <row r="1327" spans="1:14">
      <c r="A1327" s="123">
        <v>10</v>
      </c>
      <c r="B1327" s="938"/>
      <c r="C1327" s="1075"/>
      <c r="D1327" s="1076"/>
      <c r="E1327" s="1076"/>
      <c r="F1327" s="1075"/>
      <c r="G1327" s="1075"/>
      <c r="H1327" s="1075"/>
      <c r="I1327" s="476" t="s">
        <v>5177</v>
      </c>
      <c r="J1327" s="1075"/>
      <c r="K1327" s="1075"/>
      <c r="L1327" s="1076"/>
      <c r="M1327" s="1077"/>
      <c r="N1327" s="1076"/>
    </row>
    <row r="1328" spans="1:14" ht="25.5">
      <c r="A1328" s="123">
        <v>10</v>
      </c>
      <c r="B1328" s="93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38"/>
      <c r="C1329" s="1078" t="s">
        <v>5209</v>
      </c>
      <c r="D1329" s="1079" t="s">
        <v>311</v>
      </c>
      <c r="E1329" s="1079" t="s">
        <v>675</v>
      </c>
      <c r="F1329" s="506" t="s">
        <v>5210</v>
      </c>
      <c r="G1329" s="1078" t="s">
        <v>5212</v>
      </c>
      <c r="H1329" s="1078" t="s">
        <v>662</v>
      </c>
      <c r="I1329" s="1078" t="s">
        <v>5321</v>
      </c>
      <c r="J1329" s="1078" t="s">
        <v>638</v>
      </c>
      <c r="K1329" s="1078" t="s">
        <v>713</v>
      </c>
      <c r="L1329" s="1079" t="s">
        <v>309</v>
      </c>
      <c r="M1329" s="1080">
        <v>250000</v>
      </c>
      <c r="N1329" s="1076" t="s">
        <v>5032</v>
      </c>
    </row>
    <row r="1330" spans="1:14">
      <c r="A1330" s="123">
        <v>10</v>
      </c>
      <c r="B1330" s="938"/>
      <c r="C1330" s="1075"/>
      <c r="D1330" s="1076"/>
      <c r="E1330" s="1076"/>
      <c r="F1330" s="149" t="s">
        <v>5211</v>
      </c>
      <c r="G1330" s="1075"/>
      <c r="H1330" s="1075"/>
      <c r="I1330" s="1075"/>
      <c r="J1330" s="1075"/>
      <c r="K1330" s="1075"/>
      <c r="L1330" s="1076"/>
      <c r="M1330" s="1077"/>
      <c r="N1330" s="1076"/>
    </row>
    <row r="1331" spans="1:14">
      <c r="A1331" s="123">
        <v>10</v>
      </c>
      <c r="B1331" s="938"/>
      <c r="C1331" s="1078" t="s">
        <v>5213</v>
      </c>
      <c r="D1331" s="1079" t="s">
        <v>311</v>
      </c>
      <c r="E1331" s="1079" t="s">
        <v>675</v>
      </c>
      <c r="F1331" s="1078" t="s">
        <v>5214</v>
      </c>
      <c r="G1331" s="507" t="s">
        <v>5126</v>
      </c>
      <c r="H1331" s="1093" t="s">
        <v>347</v>
      </c>
      <c r="I1331" s="506" t="s">
        <v>5322</v>
      </c>
      <c r="J1331" s="1078"/>
      <c r="K1331" s="1078" t="s">
        <v>692</v>
      </c>
      <c r="L1331" s="1079" t="s">
        <v>309</v>
      </c>
      <c r="M1331" s="1080">
        <v>500000</v>
      </c>
      <c r="N1331" s="1076" t="s">
        <v>5032</v>
      </c>
    </row>
    <row r="1332" spans="1:14">
      <c r="A1332" s="123">
        <v>10</v>
      </c>
      <c r="B1332" s="938"/>
      <c r="C1332" s="1075"/>
      <c r="D1332" s="1076"/>
      <c r="E1332" s="1076"/>
      <c r="F1332" s="1075"/>
      <c r="G1332" s="475" t="s">
        <v>5215</v>
      </c>
      <c r="H1332" s="1094"/>
      <c r="I1332" s="149" t="s">
        <v>5217</v>
      </c>
      <c r="J1332" s="1075"/>
      <c r="K1332" s="1075"/>
      <c r="L1332" s="1076"/>
      <c r="M1332" s="1077"/>
      <c r="N1332" s="1076"/>
    </row>
    <row r="1333" spans="1:14">
      <c r="A1333" s="123">
        <v>11</v>
      </c>
      <c r="B1333" s="93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3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3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3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3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3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38" t="s">
        <v>5163</v>
      </c>
      <c r="C1339" s="1093" t="s">
        <v>5218</v>
      </c>
      <c r="D1339" s="1095" t="s">
        <v>311</v>
      </c>
      <c r="E1339" s="1095" t="s">
        <v>675</v>
      </c>
      <c r="F1339" s="1093" t="s">
        <v>5214</v>
      </c>
      <c r="G1339" s="510" t="s">
        <v>5126</v>
      </c>
      <c r="H1339" s="1093" t="s">
        <v>347</v>
      </c>
      <c r="I1339" s="510" t="s">
        <v>5216</v>
      </c>
      <c r="J1339" s="1093"/>
      <c r="K1339" s="1093" t="s">
        <v>692</v>
      </c>
      <c r="L1339" s="1095" t="s">
        <v>309</v>
      </c>
      <c r="M1339" s="1096">
        <v>500000</v>
      </c>
      <c r="N1339" s="1094" t="s">
        <v>5225</v>
      </c>
    </row>
    <row r="1340" spans="1:14">
      <c r="A1340" s="123">
        <v>11</v>
      </c>
      <c r="B1340" s="938"/>
      <c r="C1340" s="1094"/>
      <c r="D1340" s="1091"/>
      <c r="E1340" s="1091"/>
      <c r="F1340" s="1094"/>
      <c r="G1340" s="476" t="s">
        <v>5215</v>
      </c>
      <c r="H1340" s="1094"/>
      <c r="I1340" s="476" t="s">
        <v>5217</v>
      </c>
      <c r="J1340" s="1094"/>
      <c r="K1340" s="1094"/>
      <c r="L1340" s="1091"/>
      <c r="M1340" s="1097"/>
      <c r="N1340" s="1094"/>
    </row>
    <row r="1341" spans="1:14">
      <c r="A1341" s="123">
        <v>11</v>
      </c>
      <c r="B1341" s="93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3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3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3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3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3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3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3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3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3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3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3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3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3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3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3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3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3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3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3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3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3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3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3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3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3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3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3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1091" t="s">
        <v>5443</v>
      </c>
    </row>
    <row r="1370" spans="1:14">
      <c r="A1370" s="123">
        <v>14</v>
      </c>
      <c r="B1370" s="10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1091"/>
    </row>
    <row r="1371" spans="1:14">
      <c r="A1371" s="123">
        <v>14</v>
      </c>
      <c r="B1371" s="10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2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2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2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2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2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2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2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2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2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2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2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2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2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2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2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2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3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3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3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3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3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3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3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36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36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3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3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3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3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3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38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3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38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3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3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38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39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939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939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939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939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939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939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939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3">
        <v>20</v>
      </c>
      <c r="B1433" s="935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3">
        <v>20</v>
      </c>
      <c r="B1434" s="936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3">
        <v>20</v>
      </c>
      <c r="B1435" s="936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3">
        <v>20</v>
      </c>
      <c r="B1436" s="936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3">
        <v>20</v>
      </c>
      <c r="B1437" s="937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3">
        <v>20</v>
      </c>
      <c r="B1438" s="935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3">
        <v>20</v>
      </c>
      <c r="B1439" s="936"/>
      <c r="C1439" s="917" t="s">
        <v>5860</v>
      </c>
      <c r="D1439" s="918" t="s">
        <v>311</v>
      </c>
      <c r="E1439" s="918" t="s">
        <v>320</v>
      </c>
      <c r="F1439" s="919" t="s">
        <v>5188</v>
      </c>
      <c r="G1439" s="677" t="s">
        <v>1919</v>
      </c>
      <c r="H1439" s="919" t="s">
        <v>347</v>
      </c>
      <c r="I1439" s="919" t="s">
        <v>5870</v>
      </c>
      <c r="J1439" s="919"/>
      <c r="K1439" s="919" t="s">
        <v>692</v>
      </c>
      <c r="L1439" s="918" t="s">
        <v>309</v>
      </c>
      <c r="M1439" s="920">
        <v>500000</v>
      </c>
      <c r="N1439" s="927"/>
    </row>
    <row r="1440" spans="1:14">
      <c r="A1440" s="723">
        <v>20</v>
      </c>
      <c r="B1440" s="936"/>
      <c r="C1440" s="917"/>
      <c r="D1440" s="918"/>
      <c r="E1440" s="918"/>
      <c r="F1440" s="919"/>
      <c r="G1440" s="677" t="s">
        <v>5189</v>
      </c>
      <c r="H1440" s="919"/>
      <c r="I1440" s="919"/>
      <c r="J1440" s="919"/>
      <c r="K1440" s="919"/>
      <c r="L1440" s="918"/>
      <c r="M1440" s="920"/>
      <c r="N1440" s="927"/>
    </row>
    <row r="1441" spans="1:14" ht="24">
      <c r="A1441" s="723">
        <v>20</v>
      </c>
      <c r="B1441" s="937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3">
        <v>21</v>
      </c>
      <c r="B1442" s="914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3">
        <v>21</v>
      </c>
      <c r="B1443" s="914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3">
        <v>21</v>
      </c>
      <c r="B1444" s="914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3">
        <v>21</v>
      </c>
      <c r="B1445" s="914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3">
        <v>21</v>
      </c>
      <c r="B1446" s="914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3">
        <v>21</v>
      </c>
      <c r="B1447" s="914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5">
        <v>21</v>
      </c>
      <c r="B1448" s="914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>
      <c r="A1449" s="735">
        <v>21</v>
      </c>
      <c r="B1449" s="914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5">
        <v>21</v>
      </c>
      <c r="B1450" s="914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>
      <c r="A1451" s="735">
        <v>21</v>
      </c>
      <c r="B1451" s="914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5">
        <v>21</v>
      </c>
      <c r="B1452" s="914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5">
        <v>22</v>
      </c>
      <c r="B1453" s="900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928" t="s">
        <v>5942</v>
      </c>
    </row>
    <row r="1454" spans="1:14">
      <c r="A1454" s="735">
        <v>22</v>
      </c>
      <c r="B1454" s="901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929"/>
    </row>
    <row r="1455" spans="1:14">
      <c r="A1455" s="735">
        <v>22</v>
      </c>
      <c r="B1455" s="901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>
      <c r="A1456" s="735">
        <v>22</v>
      </c>
      <c r="B1456" s="901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>
      <c r="A1457" s="735">
        <v>22</v>
      </c>
      <c r="B1457" s="901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>
      <c r="A1458" s="735">
        <v>22</v>
      </c>
      <c r="B1458" s="901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>
      <c r="A1459" s="735">
        <v>22</v>
      </c>
      <c r="B1459" s="900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931" t="s">
        <v>3274</v>
      </c>
      <c r="K1459" s="931" t="s">
        <v>3454</v>
      </c>
      <c r="L1459" s="663" t="s">
        <v>3265</v>
      </c>
      <c r="M1459" s="904">
        <v>250000</v>
      </c>
      <c r="N1459" s="722" t="s">
        <v>5964</v>
      </c>
    </row>
    <row r="1460" spans="1:14">
      <c r="A1460" s="735">
        <v>22</v>
      </c>
      <c r="B1460" s="901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932"/>
      <c r="K1460" s="932"/>
      <c r="L1460" s="663" t="s">
        <v>3265</v>
      </c>
      <c r="M1460" s="905"/>
      <c r="N1460" s="722" t="s">
        <v>5965</v>
      </c>
    </row>
    <row r="1461" spans="1:14">
      <c r="A1461" s="735">
        <v>22</v>
      </c>
      <c r="B1461" s="901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>
      <c r="A1462" s="735">
        <v>22</v>
      </c>
      <c r="B1462" s="901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>
      <c r="A1463" s="735">
        <v>22</v>
      </c>
      <c r="B1463" s="901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>
      <c r="A1464" s="735">
        <v>22</v>
      </c>
      <c r="B1464" s="901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933" t="s">
        <v>5920</v>
      </c>
      <c r="L1464" s="663" t="s">
        <v>15</v>
      </c>
      <c r="M1464" s="904">
        <v>500000</v>
      </c>
      <c r="N1464" s="722" t="s">
        <v>5969</v>
      </c>
    </row>
    <row r="1465" spans="1:14">
      <c r="A1465" s="735">
        <v>22</v>
      </c>
      <c r="B1465" s="930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934"/>
      <c r="L1465" s="663" t="s">
        <v>15</v>
      </c>
      <c r="M1465" s="905"/>
      <c r="N1465" s="722" t="s">
        <v>5970</v>
      </c>
    </row>
    <row r="1466" spans="1:14">
      <c r="A1466" s="760">
        <v>23</v>
      </c>
      <c r="B1466" s="914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>
      <c r="A1467" s="760">
        <v>23</v>
      </c>
      <c r="B1467" s="914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>
      <c r="A1468" s="760">
        <v>23</v>
      </c>
      <c r="B1468" s="914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>
      <c r="A1469" s="760">
        <v>23</v>
      </c>
      <c r="B1469" s="914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>
      <c r="A1470" s="760">
        <v>23</v>
      </c>
      <c r="B1470" s="914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>
      <c r="A1471" s="760">
        <v>23</v>
      </c>
      <c r="B1471" s="9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>
      <c r="A1472" s="760">
        <v>23</v>
      </c>
      <c r="B1472" s="9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>
      <c r="A1473" s="760">
        <v>23</v>
      </c>
      <c r="B1473" s="914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>
      <c r="A1474" s="760">
        <v>23</v>
      </c>
      <c r="B1474" s="91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5" t="s">
        <v>90</v>
      </c>
      <c r="K1474" s="915" t="s">
        <v>6007</v>
      </c>
      <c r="L1474" s="136" t="s">
        <v>15</v>
      </c>
      <c r="M1474" s="916">
        <v>250000</v>
      </c>
      <c r="N1474" s="663"/>
    </row>
    <row r="1475" spans="1:14" ht="27">
      <c r="A1475" s="760">
        <v>23</v>
      </c>
      <c r="B1475" s="914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915"/>
      <c r="K1475" s="915"/>
      <c r="L1475" s="136" t="s">
        <v>15</v>
      </c>
      <c r="M1475" s="916"/>
      <c r="N1475" s="663"/>
    </row>
    <row r="1476" spans="1:14">
      <c r="A1476" s="760">
        <v>23</v>
      </c>
      <c r="B1476" s="9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>
      <c r="A1477" s="760">
        <v>23</v>
      </c>
      <c r="B1477" s="9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>
      <c r="A1478" s="760">
        <v>23</v>
      </c>
      <c r="B1478" s="9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>
      <c r="A1479" s="760">
        <v>23</v>
      </c>
      <c r="B1479" s="914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>
      <c r="A1480" s="760">
        <v>23</v>
      </c>
      <c r="B1480" s="9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>
      <c r="A1481" s="760">
        <v>23</v>
      </c>
      <c r="B1481" s="9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>
      <c r="A1482" s="760">
        <v>23</v>
      </c>
      <c r="B1482" s="9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>
      <c r="A1483" s="760">
        <v>23</v>
      </c>
      <c r="B1483" s="9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>
      <c r="A1484" s="760">
        <v>23</v>
      </c>
      <c r="B1484" s="914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>
      <c r="A1485" s="760">
        <v>23</v>
      </c>
      <c r="B1485" s="9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>
      <c r="A1486" s="760">
        <v>24</v>
      </c>
      <c r="B1486" s="914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>
      <c r="A1487" s="760">
        <v>24</v>
      </c>
      <c r="B1487" s="914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>
      <c r="A1488" s="760">
        <v>24</v>
      </c>
      <c r="B1488" s="914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>
      <c r="A1489" s="760">
        <v>24</v>
      </c>
      <c r="B1489" s="914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>
      <c r="A1490" s="760">
        <v>24</v>
      </c>
      <c r="B1490" s="914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>
      <c r="A1491" s="760">
        <v>24</v>
      </c>
      <c r="B1491" s="914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>
      <c r="A1492" s="760">
        <v>24</v>
      </c>
      <c r="B1492" s="914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>
      <c r="A1493" s="760">
        <v>24</v>
      </c>
      <c r="B1493" s="9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>
      <c r="A1494" s="760">
        <v>24</v>
      </c>
      <c r="B1494" s="9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>
      <c r="A1495" s="760">
        <v>24</v>
      </c>
      <c r="B1495" s="9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>
      <c r="A1496" s="760">
        <v>24</v>
      </c>
      <c r="B1496" s="9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>
      <c r="A1497" s="760">
        <v>24</v>
      </c>
      <c r="B1497" s="914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>
      <c r="A1498" s="760">
        <v>24</v>
      </c>
      <c r="B1498" s="9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>
      <c r="A1499" s="760">
        <v>24</v>
      </c>
      <c r="B1499" s="9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>
      <c r="A1500" s="760">
        <v>24</v>
      </c>
      <c r="B1500" s="9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>
      <c r="A1501" s="760">
        <v>24</v>
      </c>
      <c r="B1501" s="914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>
      <c r="A1502" s="760">
        <v>24</v>
      </c>
      <c r="B1502" s="914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>
      <c r="A1503" s="760">
        <v>24</v>
      </c>
      <c r="B1503" s="9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>
      <c r="A1504" s="760">
        <v>24</v>
      </c>
      <c r="B1504" s="914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>
      <c r="A1505" s="760">
        <v>24</v>
      </c>
      <c r="B1505" s="914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>
      <c r="A1506" s="760">
        <v>24</v>
      </c>
      <c r="B1506" s="9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>
      <c r="A1507" s="760">
        <v>24</v>
      </c>
      <c r="B1507" s="9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>
      <c r="A1508" s="760">
        <v>24</v>
      </c>
      <c r="B1508" s="9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>
      <c r="A1509" s="760">
        <v>25</v>
      </c>
      <c r="B1509" s="912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>
      <c r="A1510" s="760">
        <v>25</v>
      </c>
      <c r="B1510" s="913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>
      <c r="A1511" s="760">
        <v>25</v>
      </c>
      <c r="B1511" s="913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>
      <c r="A1512" s="760">
        <v>25</v>
      </c>
      <c r="B1512" s="913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>
      <c r="A1513" s="760">
        <v>25</v>
      </c>
      <c r="B1513" s="913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>
      <c r="A1514" s="760">
        <v>25</v>
      </c>
      <c r="B1514" s="913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>
      <c r="A1515" s="760">
        <v>25</v>
      </c>
      <c r="B1515" s="912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>
      <c r="A1516" s="760">
        <v>25</v>
      </c>
      <c r="B1516" s="913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>
      <c r="A1517" s="760">
        <v>25</v>
      </c>
      <c r="B1517" s="913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>
      <c r="A1518" s="760">
        <v>25</v>
      </c>
      <c r="B1518" s="913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>
      <c r="A1519" s="760">
        <v>25</v>
      </c>
      <c r="B1519" s="913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>
      <c r="A1520" s="760">
        <v>25</v>
      </c>
      <c r="B1520" s="913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>
      <c r="A1521" s="760">
        <v>25</v>
      </c>
      <c r="B1521" s="913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>
      <c r="A1522" s="760">
        <v>25</v>
      </c>
      <c r="B1522" s="913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>
      <c r="A1523" s="760">
        <v>25</v>
      </c>
      <c r="B1523" s="913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>
      <c r="A1524" s="760">
        <v>25</v>
      </c>
      <c r="B1524" s="913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>
      <c r="A1525" s="760">
        <v>25</v>
      </c>
      <c r="B1525" s="913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>
      <c r="A1526" s="760">
        <v>25</v>
      </c>
      <c r="B1526" s="913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>
      <c r="A1527" s="760">
        <v>26</v>
      </c>
      <c r="B1527" s="912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>
      <c r="A1528" s="760">
        <v>26</v>
      </c>
      <c r="B1528" s="913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>
      <c r="A1529" s="760">
        <v>26</v>
      </c>
      <c r="B1529" s="913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>
      <c r="A1530" s="760">
        <v>26</v>
      </c>
      <c r="B1530" s="913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>
      <c r="A1531" s="760">
        <v>26</v>
      </c>
      <c r="B1531" s="913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>
      <c r="A1532" s="760">
        <v>26</v>
      </c>
      <c r="B1532" s="913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>
      <c r="A1533" s="760">
        <v>26</v>
      </c>
      <c r="B1533" s="91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>
      <c r="A1534" s="760">
        <v>26</v>
      </c>
      <c r="B1534" s="91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>
      <c r="A1535" s="760">
        <v>26</v>
      </c>
      <c r="B1535" s="91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>
      <c r="A1536" s="760">
        <v>26</v>
      </c>
      <c r="B1536" s="91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>
      <c r="A1537" s="760">
        <v>26</v>
      </c>
      <c r="B1537" s="91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>
      <c r="A1538" s="760">
        <v>26</v>
      </c>
      <c r="B1538" s="91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>
      <c r="A1539" s="760">
        <v>26</v>
      </c>
      <c r="B1539" s="91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>
      <c r="A1540" s="760">
        <v>26</v>
      </c>
      <c r="B1540" s="91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>
      <c r="A1541" s="846">
        <v>27</v>
      </c>
      <c r="B1541" s="914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>
      <c r="A1542" s="846">
        <v>27</v>
      </c>
      <c r="B1542" s="914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>
      <c r="A1543" s="846">
        <v>27</v>
      </c>
      <c r="B1543" s="914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>
      <c r="A1544" s="846">
        <v>27</v>
      </c>
      <c r="B1544" s="914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>
      <c r="A1545" s="846">
        <v>27</v>
      </c>
      <c r="B1545" s="914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>
      <c r="A1546" s="846">
        <v>27</v>
      </c>
      <c r="B1546" s="914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>
      <c r="A1547" s="846">
        <v>27</v>
      </c>
      <c r="B1547" s="914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>
      <c r="A1548" s="846">
        <v>27</v>
      </c>
      <c r="B1548" s="914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>
      <c r="A1549" s="846">
        <v>27</v>
      </c>
      <c r="B1549" s="914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>
      <c r="A1550" s="846">
        <v>27</v>
      </c>
      <c r="B1550" s="914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>
      <c r="A1551" s="846">
        <v>27</v>
      </c>
      <c r="B1551" s="914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>
      <c r="A1552" s="846">
        <v>27</v>
      </c>
      <c r="B1552" s="914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>
      <c r="A1553" s="846">
        <v>27</v>
      </c>
      <c r="B1553" s="914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87" t="s">
        <v>6417</v>
      </c>
      <c r="L1553" s="645" t="s">
        <v>6356</v>
      </c>
      <c r="M1553" s="904">
        <v>250000</v>
      </c>
      <c r="N1553" s="722" t="s">
        <v>6444</v>
      </c>
    </row>
    <row r="1554" spans="1:14">
      <c r="A1554" s="846">
        <v>27</v>
      </c>
      <c r="B1554" s="914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088"/>
      <c r="L1554" s="645" t="s">
        <v>15</v>
      </c>
      <c r="M1554" s="905"/>
      <c r="N1554" s="722" t="s">
        <v>6445</v>
      </c>
    </row>
    <row r="1555" spans="1:14">
      <c r="A1555" s="846">
        <v>27</v>
      </c>
      <c r="B1555" s="914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>
      <c r="A1556" s="846">
        <v>27</v>
      </c>
      <c r="B1556" s="914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>
      <c r="A1557" s="760">
        <v>28</v>
      </c>
      <c r="B1557" s="912" t="s">
        <v>20</v>
      </c>
      <c r="C1557" s="657">
        <v>46214</v>
      </c>
      <c r="D1557" s="786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1" t="s">
        <v>6532</v>
      </c>
      <c r="J1557" s="646" t="s">
        <v>2172</v>
      </c>
      <c r="K1557" s="851" t="s">
        <v>6533</v>
      </c>
      <c r="L1557" s="759" t="s">
        <v>6534</v>
      </c>
      <c r="M1557" s="850">
        <v>250000</v>
      </c>
      <c r="N1557" s="722" t="s">
        <v>6529</v>
      </c>
    </row>
    <row r="1558" spans="1:14">
      <c r="A1558" s="760">
        <v>28</v>
      </c>
      <c r="B1558" s="913"/>
      <c r="C1558" s="657">
        <v>46216</v>
      </c>
      <c r="D1558" s="786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1" t="s">
        <v>6532</v>
      </c>
      <c r="J1558" s="646" t="s">
        <v>2172</v>
      </c>
      <c r="K1558" s="851" t="s">
        <v>2828</v>
      </c>
      <c r="L1558" s="759" t="s">
        <v>6534</v>
      </c>
      <c r="M1558" s="850">
        <f>250000*2</f>
        <v>500000</v>
      </c>
      <c r="N1558" s="722"/>
    </row>
    <row r="1559" spans="1:14" ht="24">
      <c r="A1559" s="760">
        <v>28</v>
      </c>
      <c r="B1559" s="913"/>
      <c r="C1559" s="657" t="s">
        <v>6570</v>
      </c>
      <c r="D1559" s="786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6534</v>
      </c>
      <c r="M1559" s="850">
        <f>250000*3</f>
        <v>750000</v>
      </c>
      <c r="N1559" s="722"/>
    </row>
    <row r="1560" spans="1:14" ht="24">
      <c r="A1560" s="760">
        <v>28</v>
      </c>
      <c r="B1560" s="913"/>
      <c r="C1560" s="657" t="s">
        <v>6571</v>
      </c>
      <c r="D1560" s="786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6534</v>
      </c>
      <c r="M1560" s="850">
        <f>250000*2</f>
        <v>500000</v>
      </c>
      <c r="N1560" s="720"/>
    </row>
    <row r="1561" spans="1:14">
      <c r="A1561" s="760">
        <v>28</v>
      </c>
      <c r="B1561" s="9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6529</v>
      </c>
    </row>
    <row r="1562" spans="1:14">
      <c r="A1562" s="760">
        <v>28</v>
      </c>
      <c r="B1562" s="913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6519</v>
      </c>
      <c r="J1562" s="454" t="s">
        <v>6528</v>
      </c>
      <c r="K1562" s="453" t="s">
        <v>2828</v>
      </c>
      <c r="L1562" s="136" t="s">
        <v>15</v>
      </c>
      <c r="M1562" s="847">
        <v>250000</v>
      </c>
      <c r="N1562" s="722" t="s">
        <v>6529</v>
      </c>
    </row>
    <row r="1563" spans="1:14" ht="27">
      <c r="A1563" s="760">
        <v>28</v>
      </c>
      <c r="B1563" s="9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6494</v>
      </c>
      <c r="J1563" s="848" t="s">
        <v>90</v>
      </c>
      <c r="K1563" s="902" t="s">
        <v>686</v>
      </c>
      <c r="L1563" s="125" t="s">
        <v>15</v>
      </c>
      <c r="M1563" s="904">
        <v>250000</v>
      </c>
      <c r="N1563" s="722" t="s">
        <v>393</v>
      </c>
    </row>
    <row r="1564" spans="1:14">
      <c r="A1564" s="760">
        <v>28</v>
      </c>
      <c r="B1564" s="9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85"/>
      <c r="L1564" s="125" t="s">
        <v>15</v>
      </c>
      <c r="M1564" s="1086"/>
      <c r="N1564" s="722" t="s">
        <v>128</v>
      </c>
    </row>
    <row r="1565" spans="1:14" ht="27">
      <c r="A1565" s="760">
        <v>28</v>
      </c>
      <c r="B1565" s="9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6495</v>
      </c>
      <c r="J1565" s="848" t="s">
        <v>90</v>
      </c>
      <c r="K1565" s="903"/>
      <c r="L1565" s="125" t="s">
        <v>15</v>
      </c>
      <c r="M1565" s="905"/>
      <c r="N1565" s="722" t="s">
        <v>393</v>
      </c>
    </row>
    <row r="1566" spans="1:14">
      <c r="A1566" s="760">
        <v>28</v>
      </c>
      <c r="B1566" s="9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>
      <c r="A1567" s="760">
        <v>28</v>
      </c>
      <c r="B1567" s="9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>
      <c r="A1568" s="760">
        <v>28</v>
      </c>
      <c r="B1568" s="9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>
      <c r="A1569" s="760">
        <v>28</v>
      </c>
      <c r="B1569" s="913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6537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6538</v>
      </c>
    </row>
    <row r="1570" spans="1:14">
      <c r="A1570" s="760">
        <v>29</v>
      </c>
      <c r="B1570" s="857" t="s">
        <v>20</v>
      </c>
      <c r="C1570" s="657" t="s">
        <v>6624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6626</v>
      </c>
      <c r="J1570" s="646" t="s">
        <v>168</v>
      </c>
      <c r="K1570" s="861" t="s">
        <v>6627</v>
      </c>
      <c r="L1570" s="759" t="s">
        <v>209</v>
      </c>
      <c r="M1570" s="856">
        <f>250000*4</f>
        <v>1000000</v>
      </c>
      <c r="N1570" s="663"/>
    </row>
    <row r="1571" spans="1:14">
      <c r="A1571" s="760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902" t="s">
        <v>1113</v>
      </c>
      <c r="L1571" s="125" t="s">
        <v>15</v>
      </c>
      <c r="M1571" s="904">
        <v>750000</v>
      </c>
      <c r="N1571" s="906" t="s">
        <v>6625</v>
      </c>
    </row>
    <row r="1572" spans="1:14">
      <c r="A1572" s="760">
        <v>29</v>
      </c>
      <c r="B1572" s="901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6550</v>
      </c>
      <c r="J1572" s="854" t="s">
        <v>202</v>
      </c>
      <c r="K1572" s="903"/>
      <c r="L1572" s="125" t="s">
        <v>15</v>
      </c>
      <c r="M1572" s="905"/>
      <c r="N1572" s="907"/>
    </row>
    <row r="1573" spans="1:14" ht="27">
      <c r="A1573" s="760">
        <v>29</v>
      </c>
      <c r="B1573" s="901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6622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6629</v>
      </c>
    </row>
    <row r="1574" spans="1:14" ht="27">
      <c r="A1574" s="760">
        <v>29</v>
      </c>
      <c r="B1574" s="901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6630</v>
      </c>
    </row>
    <row r="1575" spans="1:14">
      <c r="A1575" s="760">
        <v>29</v>
      </c>
      <c r="B1575" s="901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6631</v>
      </c>
    </row>
    <row r="1576" spans="1:14" ht="27">
      <c r="A1576" s="760">
        <v>29</v>
      </c>
      <c r="B1576" s="901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6607</v>
      </c>
      <c r="J1576" s="454" t="s">
        <v>168</v>
      </c>
      <c r="K1576" s="908" t="s">
        <v>41</v>
      </c>
      <c r="L1576" s="136" t="s">
        <v>15</v>
      </c>
      <c r="M1576" s="904">
        <v>250000</v>
      </c>
      <c r="N1576" s="663" t="s">
        <v>6632</v>
      </c>
    </row>
    <row r="1577" spans="1:14">
      <c r="A1577" s="760">
        <v>29</v>
      </c>
      <c r="B1577" s="901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6585</v>
      </c>
      <c r="J1577" s="454" t="s">
        <v>168</v>
      </c>
      <c r="K1577" s="909"/>
      <c r="L1577" s="136" t="s">
        <v>15</v>
      </c>
      <c r="M1577" s="905"/>
      <c r="N1577" s="663" t="s">
        <v>6633</v>
      </c>
    </row>
    <row r="1578" spans="1:14">
      <c r="A1578" s="760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6635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6634</v>
      </c>
    </row>
    <row r="1579" spans="1:14">
      <c r="A1579" s="760">
        <v>29</v>
      </c>
      <c r="B1579" s="901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6535</v>
      </c>
      <c r="H1579" s="884" t="s">
        <v>6536</v>
      </c>
      <c r="I1579" s="882" t="s">
        <v>6603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6628</v>
      </c>
    </row>
    <row r="1580" spans="1:14">
      <c r="A1580" s="760">
        <v>29</v>
      </c>
      <c r="B1580" s="901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6623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6636</v>
      </c>
    </row>
    <row r="1581" spans="1:14">
      <c r="A1581" s="760">
        <v>29</v>
      </c>
      <c r="B1581" s="901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902" t="s">
        <v>686</v>
      </c>
      <c r="L1581" s="125" t="s">
        <v>15</v>
      </c>
      <c r="M1581" s="904">
        <v>250000</v>
      </c>
      <c r="N1581" s="663" t="s">
        <v>6637</v>
      </c>
    </row>
    <row r="1582" spans="1:14">
      <c r="A1582" s="760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903"/>
      <c r="L1582" s="125" t="s">
        <v>15</v>
      </c>
      <c r="M1582" s="905"/>
      <c r="N1582" s="663" t="s">
        <v>6637</v>
      </c>
    </row>
    <row r="1583" spans="1:14">
      <c r="A1583" s="760">
        <v>29</v>
      </c>
      <c r="B1583" s="901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6587</v>
      </c>
      <c r="J1583" s="883" t="s">
        <v>90</v>
      </c>
      <c r="K1583" s="910" t="s">
        <v>686</v>
      </c>
      <c r="L1583" s="885" t="s">
        <v>15</v>
      </c>
      <c r="M1583" s="904">
        <v>250000</v>
      </c>
      <c r="N1583" s="663" t="s">
        <v>6638</v>
      </c>
    </row>
    <row r="1584" spans="1:14">
      <c r="A1584" s="760">
        <v>29</v>
      </c>
      <c r="B1584" s="901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6587</v>
      </c>
      <c r="J1584" s="883" t="s">
        <v>90</v>
      </c>
      <c r="K1584" s="911"/>
      <c r="L1584" s="885" t="s">
        <v>15</v>
      </c>
      <c r="M1584" s="905"/>
      <c r="N1584" s="663" t="s">
        <v>6638</v>
      </c>
    </row>
  </sheetData>
  <autoFilter ref="A1:N1526"/>
  <mergeCells count="107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2100000</v>
      </c>
    </row>
    <row r="10" spans="1:4">
      <c r="A10" s="589" t="s">
        <v>4855</v>
      </c>
      <c r="B10" s="589" t="s">
        <v>4856</v>
      </c>
      <c r="C10" s="1098" t="s">
        <v>4857</v>
      </c>
      <c r="D10" s="1098"/>
    </row>
    <row r="11" spans="1:4">
      <c r="A11" s="589" t="s">
        <v>4858</v>
      </c>
      <c r="B11" s="589">
        <v>2</v>
      </c>
      <c r="C11" s="1099">
        <f>'사전품의양식 (12)'!L6</f>
        <v>250000</v>
      </c>
      <c r="D11" s="1099"/>
    </row>
    <row r="12" spans="1:4">
      <c r="A12" s="589" t="s">
        <v>4859</v>
      </c>
      <c r="B12" s="589">
        <v>5</v>
      </c>
      <c r="C12" s="1099">
        <f>'사전품의양식 (12)'!L13</f>
        <v>1850000</v>
      </c>
      <c r="D12" s="1099"/>
    </row>
    <row r="13" spans="1:4">
      <c r="A13" s="591" t="s">
        <v>53</v>
      </c>
      <c r="B13" s="591">
        <f>SUM(B11:B12)</f>
        <v>7</v>
      </c>
      <c r="C13" s="1100">
        <f>SUM(C11:C12)</f>
        <v>2100000</v>
      </c>
      <c r="D13" s="1100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>
      <c r="A22" s="586" t="s">
        <v>4871</v>
      </c>
    </row>
    <row r="24" spans="1:5">
      <c r="A24" s="859" t="s">
        <v>4855</v>
      </c>
      <c r="B24" s="859" t="s">
        <v>4869</v>
      </c>
      <c r="C24" s="1101" t="s">
        <v>4872</v>
      </c>
      <c r="D24" s="1102"/>
      <c r="E24" s="687"/>
    </row>
    <row r="25" spans="1:5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>
      <c r="A26" s="859" t="s">
        <v>6639</v>
      </c>
      <c r="B26" s="859" t="s">
        <v>6640</v>
      </c>
      <c r="C26" s="608" t="s">
        <v>6641</v>
      </c>
      <c r="D26" s="859" t="s">
        <v>6642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104" t="s">
        <v>6691</v>
      </c>
      <c r="B2" s="1104" t="s">
        <v>1</v>
      </c>
      <c r="C2" s="1104" t="s">
        <v>2</v>
      </c>
      <c r="D2" s="1104" t="s">
        <v>3</v>
      </c>
      <c r="E2" s="860" t="s">
        <v>2623</v>
      </c>
      <c r="F2" s="1104" t="s">
        <v>5</v>
      </c>
      <c r="G2" s="1104" t="s">
        <v>6</v>
      </c>
      <c r="H2" s="1104" t="s">
        <v>2624</v>
      </c>
      <c r="I2" s="1104" t="s">
        <v>55</v>
      </c>
      <c r="J2" s="1104" t="s">
        <v>9</v>
      </c>
      <c r="K2" s="1105" t="s">
        <v>56</v>
      </c>
      <c r="L2" s="1104" t="s">
        <v>57</v>
      </c>
      <c r="M2" s="1104" t="s">
        <v>58</v>
      </c>
    </row>
    <row r="3" spans="1:13">
      <c r="A3" s="1104"/>
      <c r="B3" s="1104"/>
      <c r="C3" s="1104"/>
      <c r="D3" s="1104"/>
      <c r="E3" s="860" t="s">
        <v>1724</v>
      </c>
      <c r="F3" s="1104"/>
      <c r="G3" s="1104"/>
      <c r="H3" s="1104"/>
      <c r="I3" s="1104"/>
      <c r="J3" s="1104"/>
      <c r="K3" s="1105"/>
      <c r="L3" s="1104"/>
      <c r="M3" s="1104"/>
    </row>
    <row r="4" spans="1:13" s="714" customFormat="1" ht="17.100000000000001" customHeight="1">
      <c r="A4" s="914" t="s">
        <v>20</v>
      </c>
      <c r="B4" s="399">
        <v>46230</v>
      </c>
      <c r="C4" s="786" t="s">
        <v>6695</v>
      </c>
      <c r="D4" s="645" t="s">
        <v>6697</v>
      </c>
      <c r="E4" s="646" t="s">
        <v>6698</v>
      </c>
      <c r="F4" s="855">
        <v>7062</v>
      </c>
      <c r="G4" s="855" t="s">
        <v>6700</v>
      </c>
      <c r="H4" s="861" t="s">
        <v>6701</v>
      </c>
      <c r="I4" s="646" t="s">
        <v>6703</v>
      </c>
      <c r="J4" s="861" t="s">
        <v>6705</v>
      </c>
      <c r="K4" s="759"/>
      <c r="L4" s="856">
        <v>250000</v>
      </c>
      <c r="M4" s="663"/>
    </row>
    <row r="5" spans="1:13" s="714" customFormat="1" ht="17.100000000000001" customHeight="1">
      <c r="A5" s="914"/>
      <c r="B5" s="657" t="s">
        <v>6694</v>
      </c>
      <c r="C5" s="786" t="s">
        <v>6696</v>
      </c>
      <c r="D5" s="645" t="s">
        <v>6697</v>
      </c>
      <c r="E5" s="646" t="s">
        <v>6699</v>
      </c>
      <c r="F5" s="854" t="s">
        <v>6707</v>
      </c>
      <c r="G5" s="855"/>
      <c r="H5" s="861" t="s">
        <v>6702</v>
      </c>
      <c r="I5" s="646" t="s">
        <v>6704</v>
      </c>
      <c r="J5" s="861" t="s">
        <v>6706</v>
      </c>
      <c r="K5" s="759"/>
      <c r="L5" s="856">
        <v>500000</v>
      </c>
      <c r="M5" s="663"/>
    </row>
    <row r="6" spans="1:13" ht="17.100000000000001" customHeight="1">
      <c r="A6" s="914"/>
      <c r="B6" s="914" t="s">
        <v>1136</v>
      </c>
      <c r="C6" s="914"/>
      <c r="D6" s="914"/>
      <c r="E6" s="914"/>
      <c r="F6" s="914"/>
      <c r="G6" s="914"/>
      <c r="H6" s="914"/>
      <c r="I6" s="914"/>
      <c r="J6" s="914"/>
      <c r="K6" s="914"/>
      <c r="L6" s="789">
        <f>SUM(L4:L4)</f>
        <v>250000</v>
      </c>
      <c r="M6" s="663"/>
    </row>
    <row r="7" spans="1:13" ht="18" customHeight="1">
      <c r="A7" s="914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6693</v>
      </c>
      <c r="K7" s="125" t="s">
        <v>15</v>
      </c>
      <c r="L7" s="842">
        <v>300000</v>
      </c>
      <c r="M7" s="663" t="s">
        <v>6692</v>
      </c>
    </row>
    <row r="8" spans="1:13" ht="18" customHeight="1">
      <c r="A8" s="914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6643</v>
      </c>
      <c r="J8" s="854" t="s">
        <v>6662</v>
      </c>
      <c r="K8" s="125" t="s">
        <v>6658</v>
      </c>
      <c r="L8" s="842">
        <v>250000</v>
      </c>
      <c r="M8" s="892"/>
    </row>
    <row r="9" spans="1:13" ht="17.100000000000001" customHeight="1">
      <c r="A9" s="914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6550</v>
      </c>
      <c r="I9" s="854"/>
      <c r="J9" s="854" t="s">
        <v>6671</v>
      </c>
      <c r="K9" s="125" t="s">
        <v>6658</v>
      </c>
      <c r="L9" s="842">
        <v>550000</v>
      </c>
      <c r="M9" s="663"/>
    </row>
    <row r="10" spans="1:13" ht="13.5">
      <c r="A10" s="914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6595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>
      <c r="A11" s="914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6683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>
      <c r="A12" s="914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6684</v>
      </c>
      <c r="I12" s="854"/>
      <c r="J12" s="854" t="s">
        <v>6686</v>
      </c>
      <c r="K12" s="125" t="s">
        <v>15</v>
      </c>
      <c r="L12" s="842">
        <v>250000</v>
      </c>
      <c r="M12" s="663"/>
    </row>
    <row r="13" spans="1:13" ht="17.100000000000001" customHeight="1">
      <c r="A13" s="914"/>
      <c r="B13" s="914" t="s">
        <v>4879</v>
      </c>
      <c r="C13" s="914"/>
      <c r="D13" s="914"/>
      <c r="E13" s="914"/>
      <c r="F13" s="914"/>
      <c r="G13" s="914"/>
      <c r="H13" s="914"/>
      <c r="I13" s="914"/>
      <c r="J13" s="914"/>
      <c r="K13" s="914"/>
      <c r="L13" s="789">
        <f>SUM(L7:L12)</f>
        <v>1850000</v>
      </c>
      <c r="M13" s="663"/>
    </row>
    <row r="14" spans="1:13" ht="25.5" customHeight="1">
      <c r="A14" s="1103" t="s">
        <v>62</v>
      </c>
      <c r="B14" s="1103"/>
      <c r="C14" s="1103"/>
      <c r="D14" s="1103"/>
      <c r="E14" s="1103"/>
      <c r="F14" s="1103"/>
      <c r="G14" s="1103"/>
      <c r="H14" s="1103"/>
      <c r="I14" s="1103"/>
      <c r="J14" s="1103"/>
      <c r="K14" s="1103"/>
      <c r="L14" s="789">
        <f>L6+L13</f>
        <v>2100000</v>
      </c>
      <c r="M14" s="666"/>
    </row>
    <row r="15" spans="1:13" ht="26.25" customHeight="1"/>
    <row r="16" spans="1:13" ht="26.25" hidden="1" customHeight="1"/>
    <row r="17" spans="1:16" ht="25.5" hidden="1" customHeight="1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/>
    <row r="23" spans="1:16" ht="20.100000000000001" hidden="1" customHeight="1">
      <c r="J23" s="716"/>
    </row>
    <row r="26" spans="1:16" ht="28.5" customHeight="1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6643</v>
      </c>
      <c r="J27" s="854" t="s">
        <v>6662</v>
      </c>
      <c r="K27" s="125" t="s">
        <v>6658</v>
      </c>
      <c r="L27" s="8">
        <v>2</v>
      </c>
      <c r="M27" s="8"/>
      <c r="N27" s="854" t="s">
        <v>202</v>
      </c>
      <c r="O27" s="431" t="s">
        <v>6663</v>
      </c>
      <c r="P27" s="854"/>
    </row>
    <row r="28" spans="1:16" s="17" customFormat="1" ht="33" customHeight="1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6550</v>
      </c>
      <c r="I29" s="854"/>
      <c r="J29" s="854" t="s">
        <v>6671</v>
      </c>
      <c r="K29" s="125" t="s">
        <v>6658</v>
      </c>
      <c r="L29" s="8">
        <v>2</v>
      </c>
      <c r="M29" s="8"/>
      <c r="N29" s="854"/>
      <c r="O29" s="431"/>
      <c r="P29" s="854"/>
    </row>
    <row r="30" spans="1:16" s="17" customFormat="1" ht="33" customHeight="1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6595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6550</v>
      </c>
      <c r="I32" s="454" t="s">
        <v>6657</v>
      </c>
      <c r="J32" s="454" t="s">
        <v>6675</v>
      </c>
      <c r="K32" s="136" t="s">
        <v>6658</v>
      </c>
      <c r="L32" s="455">
        <v>2</v>
      </c>
      <c r="M32" s="455"/>
      <c r="N32" s="854"/>
      <c r="O32" s="431" t="s">
        <v>6689</v>
      </c>
      <c r="P32" s="854"/>
    </row>
    <row r="33" spans="1:16" s="17" customFormat="1" ht="33" customHeight="1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6654</v>
      </c>
      <c r="I33" s="454"/>
      <c r="J33" s="454" t="s">
        <v>6687</v>
      </c>
      <c r="K33" s="136" t="s">
        <v>15</v>
      </c>
      <c r="L33" s="455">
        <v>2</v>
      </c>
      <c r="M33" s="455"/>
      <c r="N33" s="854"/>
      <c r="O33" s="431" t="s">
        <v>6664</v>
      </c>
      <c r="P33" s="854"/>
    </row>
    <row r="34" spans="1:16" s="17" customFormat="1" ht="33" customHeight="1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6672</v>
      </c>
      <c r="I34" s="454"/>
      <c r="J34" s="454" t="s">
        <v>6673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6683</v>
      </c>
      <c r="I35" s="454" t="s">
        <v>126</v>
      </c>
      <c r="J35" s="454" t="s">
        <v>6676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6507</v>
      </c>
      <c r="I36" s="454" t="s">
        <v>6579</v>
      </c>
      <c r="J36" s="454" t="s">
        <v>3270</v>
      </c>
      <c r="K36" s="136" t="s">
        <v>42</v>
      </c>
      <c r="L36" s="455">
        <v>3</v>
      </c>
      <c r="M36" s="455"/>
      <c r="N36" s="862" t="s">
        <v>6656</v>
      </c>
      <c r="O36" s="430"/>
      <c r="P36" s="854"/>
    </row>
    <row r="37" spans="1:16" s="17" customFormat="1" ht="33" customHeight="1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6611</v>
      </c>
      <c r="G37" s="459" t="s">
        <v>83</v>
      </c>
      <c r="H37" s="453" t="s">
        <v>6651</v>
      </c>
      <c r="I37" s="454" t="s">
        <v>6650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6507</v>
      </c>
      <c r="I38" s="454" t="s">
        <v>6579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>
      <c r="A39" s="604"/>
      <c r="B39" s="399">
        <v>46233</v>
      </c>
      <c r="C39" s="3" t="s">
        <v>6677</v>
      </c>
      <c r="D39" s="3" t="s">
        <v>6678</v>
      </c>
      <c r="E39" s="454" t="s">
        <v>78</v>
      </c>
      <c r="F39" s="454" t="s">
        <v>6679</v>
      </c>
      <c r="G39" s="459" t="s">
        <v>6680</v>
      </c>
      <c r="H39" s="453" t="s">
        <v>6526</v>
      </c>
      <c r="I39" s="854" t="s">
        <v>6643</v>
      </c>
      <c r="J39" s="854" t="s">
        <v>4295</v>
      </c>
      <c r="K39" s="125" t="s">
        <v>6681</v>
      </c>
      <c r="L39" s="8">
        <v>2</v>
      </c>
      <c r="M39" s="8"/>
      <c r="N39" s="862"/>
      <c r="O39" s="430" t="s">
        <v>6688</v>
      </c>
      <c r="P39" s="854"/>
    </row>
    <row r="40" spans="1:16" s="17" customFormat="1" ht="33" customHeight="1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6508</v>
      </c>
      <c r="I40" s="854" t="s">
        <v>6579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6684</v>
      </c>
      <c r="I41" s="854"/>
      <c r="J41" s="854" t="s">
        <v>6686</v>
      </c>
      <c r="K41" s="125" t="s">
        <v>15</v>
      </c>
      <c r="L41" s="8">
        <v>1</v>
      </c>
      <c r="M41" s="8"/>
      <c r="N41" s="862"/>
      <c r="O41" s="430" t="s">
        <v>6685</v>
      </c>
      <c r="P41" s="85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6:K6"/>
    <mergeCell ref="A14:K14"/>
    <mergeCell ref="B13:K13"/>
    <mergeCell ref="A7:A13"/>
    <mergeCell ref="A4:A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38" t="s">
        <v>53</v>
      </c>
      <c r="B21" s="938"/>
      <c r="C21" s="938"/>
      <c r="D21" s="938"/>
      <c r="E21" s="938"/>
      <c r="F21" s="938"/>
      <c r="G21" s="938"/>
      <c r="H21" s="938"/>
      <c r="I21" s="93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6" t="s">
        <v>53</v>
      </c>
      <c r="B26" s="1137"/>
      <c r="C26" s="1137"/>
      <c r="D26" s="1137"/>
      <c r="E26" s="1137"/>
      <c r="F26" s="1137"/>
      <c r="G26" s="1137"/>
      <c r="H26" s="1137"/>
      <c r="I26" s="113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6" t="s">
        <v>53</v>
      </c>
      <c r="B35" s="1137"/>
      <c r="C35" s="1137"/>
      <c r="D35" s="1137"/>
      <c r="E35" s="1137"/>
      <c r="F35" s="1137"/>
      <c r="G35" s="1137"/>
      <c r="H35" s="1137"/>
      <c r="I35" s="113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6" t="s">
        <v>53</v>
      </c>
      <c r="B42" s="1137"/>
      <c r="C42" s="1137"/>
      <c r="D42" s="1137"/>
      <c r="E42" s="1137"/>
      <c r="F42" s="1137"/>
      <c r="G42" s="1137"/>
      <c r="H42" s="1137"/>
      <c r="I42" s="113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6" t="s">
        <v>53</v>
      </c>
      <c r="B48" s="1137"/>
      <c r="C48" s="1137"/>
      <c r="D48" s="1137"/>
      <c r="E48" s="1137"/>
      <c r="F48" s="1137"/>
      <c r="G48" s="1137"/>
      <c r="H48" s="1137"/>
      <c r="I48" s="113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6" t="s">
        <v>53</v>
      </c>
      <c r="B54" s="1137"/>
      <c r="C54" s="1137"/>
      <c r="D54" s="1137"/>
      <c r="E54" s="1137"/>
      <c r="F54" s="1137"/>
      <c r="G54" s="1137"/>
      <c r="H54" s="1137"/>
      <c r="I54" s="113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4"/>
      <c r="B61" s="116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4"/>
      <c r="B62" s="116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4"/>
      <c r="B63" s="116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6" t="s">
        <v>53</v>
      </c>
      <c r="B64" s="1137"/>
      <c r="C64" s="1137"/>
      <c r="D64" s="1137"/>
      <c r="E64" s="1137"/>
      <c r="F64" s="1137"/>
      <c r="G64" s="1137"/>
      <c r="H64" s="1137"/>
      <c r="I64" s="113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6" t="s">
        <v>53</v>
      </c>
      <c r="B70" s="1137"/>
      <c r="C70" s="1137"/>
      <c r="D70" s="1137"/>
      <c r="E70" s="1137"/>
      <c r="F70" s="1137"/>
      <c r="G70" s="1137"/>
      <c r="H70" s="1137"/>
      <c r="I70" s="113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38" t="s">
        <v>53</v>
      </c>
      <c r="B78" s="938"/>
      <c r="C78" s="938"/>
      <c r="D78" s="938"/>
      <c r="E78" s="938"/>
      <c r="F78" s="938"/>
      <c r="G78" s="938"/>
      <c r="H78" s="938"/>
      <c r="I78" s="93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6" t="s">
        <v>53</v>
      </c>
      <c r="B86" s="1137"/>
      <c r="C86" s="1137"/>
      <c r="D86" s="1137"/>
      <c r="E86" s="1137"/>
      <c r="F86" s="1137"/>
      <c r="G86" s="1137"/>
      <c r="H86" s="1137"/>
      <c r="I86" s="113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6" t="s">
        <v>53</v>
      </c>
      <c r="B92" s="1137"/>
      <c r="C92" s="1137"/>
      <c r="D92" s="1137"/>
      <c r="E92" s="1137"/>
      <c r="F92" s="1137"/>
      <c r="G92" s="1137"/>
      <c r="H92" s="1137"/>
      <c r="I92" s="113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6" t="s">
        <v>53</v>
      </c>
      <c r="B101" s="1137"/>
      <c r="C101" s="1137"/>
      <c r="D101" s="1137"/>
      <c r="E101" s="1137"/>
      <c r="F101" s="1137"/>
      <c r="G101" s="1137"/>
      <c r="H101" s="1137"/>
      <c r="I101" s="113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4"/>
      <c r="B107" s="11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4"/>
      <c r="B108" s="11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38" t="s">
        <v>53</v>
      </c>
      <c r="B112" s="938"/>
      <c r="C112" s="938"/>
      <c r="D112" s="938"/>
      <c r="E112" s="938"/>
      <c r="F112" s="938"/>
      <c r="G112" s="938"/>
      <c r="H112" s="938"/>
      <c r="I112" s="93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5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6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38" t="s">
        <v>53</v>
      </c>
      <c r="B121" s="938"/>
      <c r="C121" s="938"/>
      <c r="D121" s="938"/>
      <c r="E121" s="938"/>
      <c r="F121" s="938"/>
      <c r="G121" s="938"/>
      <c r="H121" s="938"/>
      <c r="I121" s="93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6"/>
      <c r="B129" s="116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3" t="s">
        <v>90</v>
      </c>
      <c r="J129" s="1151">
        <v>2</v>
      </c>
      <c r="K129" s="25" t="s">
        <v>52</v>
      </c>
      <c r="L129" s="25" t="s">
        <v>51</v>
      </c>
    </row>
    <row r="130" spans="1:12">
      <c r="A130" s="936"/>
      <c r="B130" s="116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3"/>
      <c r="J130" s="1152"/>
      <c r="K130" s="25" t="s">
        <v>52</v>
      </c>
      <c r="L130" s="25" t="s">
        <v>51</v>
      </c>
    </row>
    <row r="131" spans="1:12">
      <c r="A131" s="93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6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51">
        <v>1</v>
      </c>
      <c r="K133" s="25" t="s">
        <v>52</v>
      </c>
      <c r="L133" s="25" t="s">
        <v>51</v>
      </c>
    </row>
    <row r="134" spans="1:12">
      <c r="A134" s="936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3"/>
      <c r="J134" s="1152"/>
      <c r="K134" s="25" t="s">
        <v>52</v>
      </c>
      <c r="L134" s="25" t="s">
        <v>51</v>
      </c>
    </row>
    <row r="135" spans="1:12">
      <c r="A135" s="93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38" t="s">
        <v>53</v>
      </c>
      <c r="B137" s="938"/>
      <c r="C137" s="938"/>
      <c r="D137" s="938"/>
      <c r="E137" s="938"/>
      <c r="F137" s="938"/>
      <c r="G137" s="938"/>
      <c r="H137" s="938"/>
      <c r="I137" s="93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6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6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38" t="s">
        <v>53</v>
      </c>
      <c r="B145" s="938"/>
      <c r="C145" s="938"/>
      <c r="D145" s="938"/>
      <c r="E145" s="938"/>
      <c r="F145" s="938"/>
      <c r="G145" s="938"/>
      <c r="H145" s="938"/>
      <c r="I145" s="93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8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8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5" t="s">
        <v>53</v>
      </c>
      <c r="B154" s="915"/>
      <c r="C154" s="915"/>
      <c r="D154" s="915"/>
      <c r="E154" s="915"/>
      <c r="F154" s="915"/>
      <c r="G154" s="915"/>
      <c r="H154" s="915"/>
      <c r="I154" s="9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38" t="s">
        <v>53</v>
      </c>
      <c r="B163" s="938"/>
      <c r="C163" s="938"/>
      <c r="D163" s="938"/>
      <c r="E163" s="938"/>
      <c r="F163" s="938"/>
      <c r="G163" s="938"/>
      <c r="H163" s="938"/>
      <c r="I163" s="93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5" t="s">
        <v>53</v>
      </c>
      <c r="B167" s="915"/>
      <c r="C167" s="915"/>
      <c r="D167" s="915"/>
      <c r="E167" s="915"/>
      <c r="F167" s="915"/>
      <c r="G167" s="915"/>
      <c r="H167" s="915"/>
      <c r="I167" s="9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38" t="s">
        <v>53</v>
      </c>
      <c r="B183" s="938"/>
      <c r="C183" s="938"/>
      <c r="D183" s="938"/>
      <c r="E183" s="938"/>
      <c r="F183" s="938"/>
      <c r="G183" s="938"/>
      <c r="H183" s="938"/>
      <c r="I183" s="93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38" t="s">
        <v>53</v>
      </c>
      <c r="B193" s="938"/>
      <c r="C193" s="938"/>
      <c r="D193" s="938"/>
      <c r="E193" s="938"/>
      <c r="F193" s="938"/>
      <c r="G193" s="938"/>
      <c r="H193" s="938"/>
      <c r="I193" s="93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7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7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7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7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5" t="s">
        <v>53</v>
      </c>
      <c r="B203" s="915"/>
      <c r="C203" s="915"/>
      <c r="D203" s="915"/>
      <c r="E203" s="915"/>
      <c r="F203" s="915"/>
      <c r="G203" s="915"/>
      <c r="H203" s="915"/>
      <c r="I203" s="9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5" t="s">
        <v>53</v>
      </c>
      <c r="B214" s="915"/>
      <c r="C214" s="915"/>
      <c r="D214" s="915"/>
      <c r="E214" s="915"/>
      <c r="F214" s="915"/>
      <c r="G214" s="915"/>
      <c r="H214" s="915"/>
      <c r="I214" s="9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5" t="s">
        <v>1458</v>
      </c>
      <c r="B226" s="915"/>
      <c r="C226" s="915"/>
      <c r="D226" s="915"/>
      <c r="E226" s="915"/>
      <c r="F226" s="915"/>
      <c r="G226" s="915"/>
      <c r="H226" s="915"/>
      <c r="I226" s="9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5" t="s">
        <v>1499</v>
      </c>
      <c r="B236" s="915"/>
      <c r="C236" s="915"/>
      <c r="D236" s="915"/>
      <c r="E236" s="915"/>
      <c r="F236" s="915"/>
      <c r="G236" s="915"/>
      <c r="H236" s="915"/>
      <c r="I236" s="9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6" t="s">
        <v>53</v>
      </c>
      <c r="B244" s="1137"/>
      <c r="C244" s="1137"/>
      <c r="D244" s="1137"/>
      <c r="E244" s="1137"/>
      <c r="F244" s="1137"/>
      <c r="G244" s="1137"/>
      <c r="H244" s="1137"/>
      <c r="I244" s="113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6" t="s">
        <v>53</v>
      </c>
      <c r="B250" s="1137"/>
      <c r="C250" s="1137"/>
      <c r="D250" s="1137"/>
      <c r="E250" s="1137"/>
      <c r="F250" s="1137"/>
      <c r="G250" s="1137"/>
      <c r="H250" s="1137"/>
      <c r="I250" s="113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6" t="s">
        <v>53</v>
      </c>
      <c r="B257" s="1137"/>
      <c r="C257" s="1137"/>
      <c r="D257" s="1137"/>
      <c r="E257" s="1137"/>
      <c r="F257" s="1137"/>
      <c r="G257" s="1137"/>
      <c r="H257" s="1137"/>
      <c r="I257" s="113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7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7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6" t="s">
        <v>53</v>
      </c>
      <c r="B262" s="1137"/>
      <c r="C262" s="1137"/>
      <c r="D262" s="1137"/>
      <c r="E262" s="1137"/>
      <c r="F262" s="1137"/>
      <c r="G262" s="1137"/>
      <c r="H262" s="1137"/>
      <c r="I262" s="113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6" t="s">
        <v>53</v>
      </c>
      <c r="B271" s="1137"/>
      <c r="C271" s="1137"/>
      <c r="D271" s="1137"/>
      <c r="E271" s="1137"/>
      <c r="F271" s="1137"/>
      <c r="G271" s="1137"/>
      <c r="H271" s="1137"/>
      <c r="I271" s="113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6" t="s">
        <v>53</v>
      </c>
      <c r="B275" s="1137"/>
      <c r="C275" s="1137"/>
      <c r="D275" s="1137"/>
      <c r="E275" s="1137"/>
      <c r="F275" s="1137"/>
      <c r="G275" s="1137"/>
      <c r="H275" s="1137"/>
      <c r="I275" s="113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6" t="s">
        <v>1646</v>
      </c>
      <c r="B296" s="1137"/>
      <c r="C296" s="1137"/>
      <c r="D296" s="1137"/>
      <c r="E296" s="1137"/>
      <c r="F296" s="1137"/>
      <c r="G296" s="1137"/>
      <c r="H296" s="1137"/>
      <c r="I296" s="113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5" t="s">
        <v>1659</v>
      </c>
      <c r="B305" s="915"/>
      <c r="C305" s="915"/>
      <c r="D305" s="915"/>
      <c r="E305" s="915"/>
      <c r="F305" s="915"/>
      <c r="G305" s="915"/>
      <c r="H305" s="915"/>
      <c r="I305" s="9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5" t="s">
        <v>53</v>
      </c>
      <c r="B309" s="915"/>
      <c r="C309" s="915"/>
      <c r="D309" s="915"/>
      <c r="E309" s="915"/>
      <c r="F309" s="915"/>
      <c r="G309" s="915"/>
      <c r="H309" s="915"/>
      <c r="I309" s="9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5" t="s">
        <v>1659</v>
      </c>
      <c r="B314" s="915"/>
      <c r="C314" s="915"/>
      <c r="D314" s="915"/>
      <c r="E314" s="915"/>
      <c r="F314" s="915"/>
      <c r="G314" s="915"/>
      <c r="H314" s="915"/>
      <c r="I314" s="9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5" t="s">
        <v>1659</v>
      </c>
      <c r="B321" s="915"/>
      <c r="C321" s="915"/>
      <c r="D321" s="915"/>
      <c r="E321" s="915"/>
      <c r="F321" s="915"/>
      <c r="G321" s="915"/>
      <c r="H321" s="915"/>
      <c r="I321" s="9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5" t="s">
        <v>1659</v>
      </c>
      <c r="B330" s="915"/>
      <c r="C330" s="915"/>
      <c r="D330" s="915"/>
      <c r="E330" s="915"/>
      <c r="F330" s="915"/>
      <c r="G330" s="915"/>
      <c r="H330" s="915"/>
      <c r="I330" s="9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5" t="s">
        <v>1659</v>
      </c>
      <c r="B338" s="915"/>
      <c r="C338" s="915"/>
      <c r="D338" s="915"/>
      <c r="E338" s="915"/>
      <c r="F338" s="915"/>
      <c r="G338" s="915"/>
      <c r="H338" s="915"/>
      <c r="I338" s="9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3" t="s">
        <v>1521</v>
      </c>
      <c r="B343" s="128" t="s">
        <v>1531</v>
      </c>
      <c r="C343" s="1061" t="s">
        <v>306</v>
      </c>
      <c r="D343" s="1061" t="s">
        <v>322</v>
      </c>
      <c r="E343" s="942" t="s">
        <v>307</v>
      </c>
      <c r="F343" s="1176">
        <v>4266</v>
      </c>
      <c r="G343" s="1061" t="s">
        <v>640</v>
      </c>
      <c r="H343" s="1176" t="s">
        <v>1533</v>
      </c>
      <c r="I343" s="1061" t="s">
        <v>1534</v>
      </c>
      <c r="J343" s="942">
        <v>2</v>
      </c>
      <c r="K343" s="1133" t="s">
        <v>50</v>
      </c>
      <c r="L343" s="1133" t="s">
        <v>51</v>
      </c>
    </row>
    <row r="344" spans="1:13">
      <c r="A344" s="1174"/>
      <c r="B344" s="129" t="s">
        <v>1532</v>
      </c>
      <c r="C344" s="943"/>
      <c r="D344" s="943"/>
      <c r="E344" s="943"/>
      <c r="F344" s="941"/>
      <c r="G344" s="943"/>
      <c r="H344" s="941"/>
      <c r="I344" s="943"/>
      <c r="J344" s="943"/>
      <c r="K344" s="1135"/>
      <c r="L344" s="1135"/>
    </row>
    <row r="345" spans="1:13">
      <c r="A345" s="1174"/>
      <c r="B345" s="128" t="s">
        <v>1536</v>
      </c>
      <c r="C345" s="942" t="s">
        <v>306</v>
      </c>
      <c r="D345" s="942" t="s">
        <v>322</v>
      </c>
      <c r="E345" s="942" t="s">
        <v>307</v>
      </c>
      <c r="F345" s="940">
        <v>3306</v>
      </c>
      <c r="G345" s="942" t="s">
        <v>1153</v>
      </c>
      <c r="H345" s="940" t="s">
        <v>1538</v>
      </c>
      <c r="I345" s="942" t="s">
        <v>1534</v>
      </c>
      <c r="J345" s="942">
        <v>2</v>
      </c>
      <c r="K345" s="1133" t="s">
        <v>50</v>
      </c>
      <c r="L345" s="1133" t="s">
        <v>51</v>
      </c>
    </row>
    <row r="346" spans="1:13">
      <c r="A346" s="1175"/>
      <c r="B346" s="129" t="s">
        <v>1537</v>
      </c>
      <c r="C346" s="943"/>
      <c r="D346" s="943"/>
      <c r="E346" s="943"/>
      <c r="F346" s="941"/>
      <c r="G346" s="943"/>
      <c r="H346" s="941"/>
      <c r="I346" s="943"/>
      <c r="J346" s="943"/>
      <c r="K346" s="1135"/>
      <c r="L346" s="1135"/>
    </row>
    <row r="347" spans="1:13">
      <c r="A347" s="1136" t="s">
        <v>53</v>
      </c>
      <c r="B347" s="1137"/>
      <c r="C347" s="1137"/>
      <c r="D347" s="1137"/>
      <c r="E347" s="1137"/>
      <c r="F347" s="1137"/>
      <c r="G347" s="1137"/>
      <c r="H347" s="1137"/>
      <c r="I347" s="113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38" t="s">
        <v>53</v>
      </c>
      <c r="B357" s="938"/>
      <c r="C357" s="938"/>
      <c r="D357" s="938"/>
      <c r="E357" s="938"/>
      <c r="F357" s="938"/>
      <c r="G357" s="938"/>
      <c r="H357" s="938"/>
      <c r="I357" s="93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5" t="s">
        <v>1458</v>
      </c>
      <c r="B361" s="915"/>
      <c r="C361" s="915"/>
      <c r="D361" s="915"/>
      <c r="E361" s="915"/>
      <c r="F361" s="915"/>
      <c r="G361" s="915"/>
      <c r="H361" s="915"/>
      <c r="I361" s="9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5" t="s">
        <v>1659</v>
      </c>
      <c r="B370" s="915"/>
      <c r="C370" s="915"/>
      <c r="D370" s="915"/>
      <c r="E370" s="915"/>
      <c r="F370" s="915"/>
      <c r="G370" s="915"/>
      <c r="H370" s="915"/>
      <c r="I370" s="9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38" t="s">
        <v>1646</v>
      </c>
      <c r="B378" s="938"/>
      <c r="C378" s="938"/>
      <c r="D378" s="938"/>
      <c r="E378" s="938"/>
      <c r="F378" s="938"/>
      <c r="G378" s="938"/>
      <c r="H378" s="938"/>
      <c r="I378" s="938"/>
      <c r="J378" s="938"/>
      <c r="K378" s="4">
        <v>25</v>
      </c>
      <c r="L378" s="55"/>
    </row>
    <row r="381" spans="1:12">
      <c r="B381" s="1156" t="s">
        <v>1</v>
      </c>
      <c r="C381" s="1156" t="s">
        <v>2</v>
      </c>
      <c r="D381" s="1156" t="s">
        <v>3</v>
      </c>
      <c r="E381" s="36" t="s">
        <v>54</v>
      </c>
      <c r="F381" s="1156" t="s">
        <v>5</v>
      </c>
      <c r="G381" s="1156" t="s">
        <v>6</v>
      </c>
      <c r="H381" s="1156" t="s">
        <v>7</v>
      </c>
      <c r="I381" s="1156" t="s">
        <v>55</v>
      </c>
      <c r="J381" s="1156" t="s">
        <v>9</v>
      </c>
      <c r="K381" s="1158" t="s">
        <v>56</v>
      </c>
      <c r="L381" s="1156" t="s">
        <v>57</v>
      </c>
    </row>
    <row r="382" spans="1:12">
      <c r="B382" s="1157"/>
      <c r="C382" s="1157"/>
      <c r="D382" s="1157"/>
      <c r="E382" s="37" t="s">
        <v>59</v>
      </c>
      <c r="F382" s="1157"/>
      <c r="G382" s="1157"/>
      <c r="H382" s="1157"/>
      <c r="I382" s="1157"/>
      <c r="J382" s="1157"/>
      <c r="K382" s="1159"/>
      <c r="L382" s="115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5" t="s">
        <v>53</v>
      </c>
      <c r="B394" s="915"/>
      <c r="C394" s="915"/>
      <c r="D394" s="915"/>
      <c r="E394" s="915"/>
      <c r="F394" s="915"/>
      <c r="G394" s="915"/>
      <c r="H394" s="915"/>
      <c r="I394" s="9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5" t="s">
        <v>53</v>
      </c>
      <c r="B401" s="915"/>
      <c r="C401" s="915"/>
      <c r="D401" s="915"/>
      <c r="E401" s="915"/>
      <c r="F401" s="915"/>
      <c r="G401" s="915"/>
      <c r="H401" s="915"/>
      <c r="I401" s="9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8" t="s">
        <v>229</v>
      </c>
      <c r="B405" s="1144" t="s">
        <v>1805</v>
      </c>
      <c r="C405" s="1144" t="s">
        <v>700</v>
      </c>
      <c r="D405" s="1140" t="s">
        <v>675</v>
      </c>
      <c r="E405" s="1144" t="s">
        <v>1806</v>
      </c>
      <c r="F405" s="1144" t="s">
        <v>1807</v>
      </c>
      <c r="G405" s="1144" t="s">
        <v>662</v>
      </c>
      <c r="H405" s="1145" t="s">
        <v>1808</v>
      </c>
      <c r="I405" s="1140"/>
      <c r="J405" s="1145">
        <v>1</v>
      </c>
      <c r="K405" s="1133" t="s">
        <v>631</v>
      </c>
      <c r="L405" s="921" t="s">
        <v>51</v>
      </c>
    </row>
    <row r="406" spans="1:12" ht="13.5" customHeight="1">
      <c r="A406" s="1148"/>
      <c r="B406" s="1144"/>
      <c r="C406" s="1144"/>
      <c r="D406" s="1140"/>
      <c r="E406" s="1144"/>
      <c r="F406" s="1144"/>
      <c r="G406" s="1144"/>
      <c r="H406" s="1145"/>
      <c r="I406" s="1140"/>
      <c r="J406" s="1145"/>
      <c r="K406" s="1135"/>
      <c r="L406" s="923"/>
    </row>
    <row r="407" spans="1:12" ht="27" customHeight="1">
      <c r="A407" s="114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8" t="s">
        <v>1646</v>
      </c>
      <c r="B409" s="1148"/>
      <c r="C409" s="1148"/>
      <c r="D409" s="1148"/>
      <c r="E409" s="1148"/>
      <c r="F409" s="1148"/>
      <c r="G409" s="1148"/>
      <c r="H409" s="1148"/>
      <c r="I409" s="114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8" t="s">
        <v>2008</v>
      </c>
      <c r="B412" s="1153" t="s">
        <v>2009</v>
      </c>
      <c r="C412" s="1133" t="s">
        <v>21</v>
      </c>
      <c r="D412" s="1018" t="s">
        <v>14</v>
      </c>
      <c r="E412" s="1133" t="s">
        <v>78</v>
      </c>
      <c r="F412" s="1144" t="s">
        <v>2010</v>
      </c>
      <c r="G412" s="1144" t="s">
        <v>40</v>
      </c>
      <c r="H412" s="1145" t="s">
        <v>614</v>
      </c>
      <c r="I412" s="1140"/>
      <c r="J412" s="1145">
        <v>1</v>
      </c>
      <c r="K412" s="1133" t="s">
        <v>2011</v>
      </c>
      <c r="L412" s="921" t="s">
        <v>1997</v>
      </c>
    </row>
    <row r="413" spans="1:12" ht="20.100000000000001" customHeight="1">
      <c r="A413" s="1148"/>
      <c r="B413" s="1144"/>
      <c r="C413" s="1135"/>
      <c r="D413" s="1020"/>
      <c r="E413" s="1135"/>
      <c r="F413" s="1144"/>
      <c r="G413" s="1144"/>
      <c r="H413" s="1145"/>
      <c r="I413" s="1140"/>
      <c r="J413" s="1145"/>
      <c r="K413" s="1135"/>
      <c r="L413" s="923"/>
    </row>
    <row r="414" spans="1:12" ht="20.100000000000001" customHeight="1">
      <c r="A414" s="1148" t="s">
        <v>1646</v>
      </c>
      <c r="B414" s="1148"/>
      <c r="C414" s="1148"/>
      <c r="D414" s="1148"/>
      <c r="E414" s="1148"/>
      <c r="F414" s="1148"/>
      <c r="G414" s="1148"/>
      <c r="H414" s="1148"/>
      <c r="I414" s="114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22"/>
      <c r="B418" s="78" t="s">
        <v>1748</v>
      </c>
      <c r="C418" s="1140" t="s">
        <v>306</v>
      </c>
      <c r="D418" s="1140" t="s">
        <v>322</v>
      </c>
      <c r="E418" s="1140" t="s">
        <v>307</v>
      </c>
      <c r="F418" s="1145">
        <v>3306</v>
      </c>
      <c r="G418" s="1140" t="s">
        <v>1153</v>
      </c>
      <c r="H418" s="1145" t="s">
        <v>1749</v>
      </c>
      <c r="I418" s="1140" t="s">
        <v>664</v>
      </c>
      <c r="J418" s="1140">
        <v>4</v>
      </c>
      <c r="K418" s="1133" t="s">
        <v>631</v>
      </c>
      <c r="L418" s="921" t="s">
        <v>51</v>
      </c>
    </row>
    <row r="419" spans="1:12" ht="13.5" customHeight="1">
      <c r="A419" s="922"/>
      <c r="B419" s="79" t="s">
        <v>1751</v>
      </c>
      <c r="C419" s="1140"/>
      <c r="D419" s="1140"/>
      <c r="E419" s="1140"/>
      <c r="F419" s="1145"/>
      <c r="G419" s="1140"/>
      <c r="H419" s="1145"/>
      <c r="I419" s="1140"/>
      <c r="J419" s="1140"/>
      <c r="K419" s="1135"/>
      <c r="L419" s="923"/>
    </row>
    <row r="420" spans="1:12" ht="13.5" customHeight="1">
      <c r="A420" s="922"/>
      <c r="B420" s="78" t="s">
        <v>1800</v>
      </c>
      <c r="C420" s="1140" t="s">
        <v>306</v>
      </c>
      <c r="D420" s="1140" t="s">
        <v>322</v>
      </c>
      <c r="E420" s="1140" t="s">
        <v>307</v>
      </c>
      <c r="F420" s="1145" t="s">
        <v>1801</v>
      </c>
      <c r="G420" s="1140" t="s">
        <v>1802</v>
      </c>
      <c r="H420" s="1145" t="s">
        <v>1803</v>
      </c>
      <c r="I420" s="1140" t="s">
        <v>664</v>
      </c>
      <c r="J420" s="1140">
        <v>5</v>
      </c>
      <c r="K420" s="1133" t="s">
        <v>631</v>
      </c>
      <c r="L420" s="921" t="s">
        <v>51</v>
      </c>
    </row>
    <row r="421" spans="1:12" ht="13.5" customHeight="1">
      <c r="A421" s="922"/>
      <c r="B421" s="79" t="s">
        <v>1795</v>
      </c>
      <c r="C421" s="1140"/>
      <c r="D421" s="1140"/>
      <c r="E421" s="1140"/>
      <c r="F421" s="1145"/>
      <c r="G421" s="1140"/>
      <c r="H421" s="1145"/>
      <c r="I421" s="1140"/>
      <c r="J421" s="1140"/>
      <c r="K421" s="1135"/>
      <c r="L421" s="923"/>
    </row>
    <row r="422" spans="1:12" ht="27" customHeight="1">
      <c r="A422" s="9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8" t="s">
        <v>1646</v>
      </c>
      <c r="B423" s="1148"/>
      <c r="C423" s="1148"/>
      <c r="D423" s="1148"/>
      <c r="E423" s="1148"/>
      <c r="F423" s="1148"/>
      <c r="G423" s="1148"/>
      <c r="H423" s="1148"/>
      <c r="I423" s="114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0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8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8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8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5" t="s">
        <v>1646</v>
      </c>
      <c r="B431" s="915"/>
      <c r="C431" s="915"/>
      <c r="D431" s="915"/>
      <c r="E431" s="915"/>
      <c r="F431" s="915"/>
      <c r="G431" s="915"/>
      <c r="H431" s="915"/>
      <c r="I431" s="9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8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0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5" t="s">
        <v>1646</v>
      </c>
      <c r="B435" s="915"/>
      <c r="C435" s="915"/>
      <c r="D435" s="915"/>
      <c r="E435" s="915"/>
      <c r="F435" s="915"/>
      <c r="G435" s="915"/>
      <c r="H435" s="915"/>
      <c r="I435" s="9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9" t="s">
        <v>1761</v>
      </c>
      <c r="G438" s="1023" t="s">
        <v>329</v>
      </c>
      <c r="H438" s="1151" t="s">
        <v>1762</v>
      </c>
      <c r="I438" s="1006" t="s">
        <v>664</v>
      </c>
      <c r="J438" s="1146">
        <v>2</v>
      </c>
      <c r="K438" s="1133" t="s">
        <v>1996</v>
      </c>
      <c r="L438" s="1133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50"/>
      <c r="G439" s="1024"/>
      <c r="H439" s="1152"/>
      <c r="I439" s="1007"/>
      <c r="J439" s="1147"/>
      <c r="K439" s="1135"/>
      <c r="L439" s="1135"/>
    </row>
    <row r="440" spans="1:12" ht="13.5" customHeight="1">
      <c r="A440" s="958"/>
      <c r="B440" s="254" t="s">
        <v>1794</v>
      </c>
      <c r="C440" s="1076" t="s">
        <v>306</v>
      </c>
      <c r="D440" s="1076" t="s">
        <v>322</v>
      </c>
      <c r="E440" s="1076" t="s">
        <v>307</v>
      </c>
      <c r="F440" s="1075" t="s">
        <v>1796</v>
      </c>
      <c r="G440" s="1076" t="s">
        <v>1797</v>
      </c>
      <c r="H440" s="1075" t="s">
        <v>1792</v>
      </c>
      <c r="I440" s="1076" t="s">
        <v>664</v>
      </c>
      <c r="J440" s="942">
        <v>4</v>
      </c>
      <c r="K440" s="1133" t="s">
        <v>631</v>
      </c>
      <c r="L440" s="1133" t="s">
        <v>1997</v>
      </c>
    </row>
    <row r="441" spans="1:12" ht="13.5" customHeight="1">
      <c r="A441" s="958"/>
      <c r="B441" s="255" t="s">
        <v>1795</v>
      </c>
      <c r="C441" s="1076"/>
      <c r="D441" s="1076"/>
      <c r="E441" s="1076"/>
      <c r="F441" s="1075"/>
      <c r="G441" s="1076"/>
      <c r="H441" s="1075"/>
      <c r="I441" s="1076"/>
      <c r="J441" s="943"/>
      <c r="K441" s="1135"/>
      <c r="L441" s="1135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6" t="s">
        <v>1646</v>
      </c>
      <c r="B450" s="1137"/>
      <c r="C450" s="1137"/>
      <c r="D450" s="1137"/>
      <c r="E450" s="1137"/>
      <c r="F450" s="1137"/>
      <c r="G450" s="1137"/>
      <c r="H450" s="1137"/>
      <c r="I450" s="113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38" t="s">
        <v>2059</v>
      </c>
      <c r="B459" s="938"/>
      <c r="C459" s="938"/>
      <c r="D459" s="938"/>
      <c r="E459" s="938"/>
      <c r="F459" s="938"/>
      <c r="G459" s="938"/>
      <c r="H459" s="938"/>
      <c r="I459" s="93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0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85"/>
      <c r="B463" s="1141" t="s">
        <v>1767</v>
      </c>
      <c r="C463" s="1142" t="s">
        <v>311</v>
      </c>
      <c r="D463" s="1142" t="s">
        <v>320</v>
      </c>
      <c r="E463" s="1142" t="s">
        <v>709</v>
      </c>
      <c r="F463" s="1142" t="s">
        <v>1768</v>
      </c>
      <c r="G463" s="1141" t="s">
        <v>1769</v>
      </c>
      <c r="H463" s="258" t="s">
        <v>1770</v>
      </c>
      <c r="I463" s="1142"/>
      <c r="J463" s="1142">
        <v>1</v>
      </c>
      <c r="K463" s="1018" t="s">
        <v>631</v>
      </c>
      <c r="L463" s="1050" t="s">
        <v>51</v>
      </c>
    </row>
    <row r="464" spans="1:12" ht="13.5" customHeight="1">
      <c r="A464" s="1085"/>
      <c r="B464" s="1141"/>
      <c r="C464" s="1142"/>
      <c r="D464" s="1142"/>
      <c r="E464" s="1142"/>
      <c r="F464" s="1142"/>
      <c r="G464" s="1141"/>
      <c r="H464" s="259" t="s">
        <v>1773</v>
      </c>
      <c r="I464" s="1142"/>
      <c r="J464" s="1142"/>
      <c r="K464" s="1020"/>
      <c r="L464" s="1051"/>
    </row>
    <row r="465" spans="1:12" ht="13.5" customHeight="1">
      <c r="A465" s="1085"/>
      <c r="B465" s="1143" t="s">
        <v>1813</v>
      </c>
      <c r="C465" s="1144" t="s">
        <v>700</v>
      </c>
      <c r="D465" s="1140" t="s">
        <v>320</v>
      </c>
      <c r="E465" s="1140" t="s">
        <v>337</v>
      </c>
      <c r="F465" s="1144" t="s">
        <v>353</v>
      </c>
      <c r="G465" s="1144" t="s">
        <v>1814</v>
      </c>
      <c r="H465" s="1145" t="s">
        <v>1815</v>
      </c>
      <c r="I465" s="1140" t="s">
        <v>638</v>
      </c>
      <c r="J465" s="1145">
        <v>2</v>
      </c>
      <c r="K465" s="1133" t="s">
        <v>631</v>
      </c>
      <c r="L465" s="1133" t="s">
        <v>51</v>
      </c>
    </row>
    <row r="466" spans="1:12" ht="13.5" customHeight="1">
      <c r="A466" s="1085"/>
      <c r="B466" s="1143"/>
      <c r="C466" s="1144"/>
      <c r="D466" s="1140"/>
      <c r="E466" s="1140"/>
      <c r="F466" s="1144"/>
      <c r="G466" s="1144"/>
      <c r="H466" s="1145"/>
      <c r="I466" s="1140"/>
      <c r="J466" s="1145"/>
      <c r="K466" s="1135"/>
      <c r="L466" s="1135"/>
    </row>
    <row r="467" spans="1:12" ht="27" customHeight="1">
      <c r="A467" s="108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85"/>
      <c r="B468" s="1144" t="s">
        <v>1820</v>
      </c>
      <c r="C468" s="1144" t="s">
        <v>700</v>
      </c>
      <c r="D468" s="1140" t="s">
        <v>320</v>
      </c>
      <c r="E468" s="1140" t="s">
        <v>709</v>
      </c>
      <c r="F468" s="1140" t="s">
        <v>1768</v>
      </c>
      <c r="G468" s="1144" t="s">
        <v>1821</v>
      </c>
      <c r="H468" s="261" t="s">
        <v>1822</v>
      </c>
      <c r="I468" s="1140" t="s">
        <v>638</v>
      </c>
      <c r="J468" s="1140">
        <v>2</v>
      </c>
      <c r="K468" s="1133" t="s">
        <v>631</v>
      </c>
      <c r="L468" s="1133" t="s">
        <v>51</v>
      </c>
    </row>
    <row r="469" spans="1:12" ht="13.5" customHeight="1">
      <c r="A469" s="1085"/>
      <c r="B469" s="1144"/>
      <c r="C469" s="1144"/>
      <c r="D469" s="1140"/>
      <c r="E469" s="1140"/>
      <c r="F469" s="1140"/>
      <c r="G469" s="1144"/>
      <c r="H469" s="262" t="s">
        <v>1823</v>
      </c>
      <c r="I469" s="1140"/>
      <c r="J469" s="1140"/>
      <c r="K469" s="1135"/>
      <c r="L469" s="1135"/>
    </row>
    <row r="470" spans="1:12" ht="27" customHeight="1">
      <c r="A470" s="108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0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5" t="s">
        <v>53</v>
      </c>
      <c r="B472" s="915"/>
      <c r="C472" s="915"/>
      <c r="D472" s="915"/>
      <c r="E472" s="915"/>
      <c r="F472" s="915"/>
      <c r="G472" s="915"/>
      <c r="H472" s="915"/>
      <c r="I472" s="9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5" t="s">
        <v>228</v>
      </c>
      <c r="B476" s="1141" t="s">
        <v>1767</v>
      </c>
      <c r="C476" s="1142" t="s">
        <v>311</v>
      </c>
      <c r="D476" s="1142" t="s">
        <v>320</v>
      </c>
      <c r="E476" s="1142" t="s">
        <v>709</v>
      </c>
      <c r="F476" s="1142" t="s">
        <v>1768</v>
      </c>
      <c r="G476" s="1141" t="s">
        <v>1769</v>
      </c>
      <c r="H476" s="258" t="s">
        <v>1770</v>
      </c>
      <c r="I476" s="1142"/>
      <c r="J476" s="1142">
        <v>1</v>
      </c>
      <c r="K476" s="1018" t="s">
        <v>631</v>
      </c>
      <c r="L476" s="1050" t="s">
        <v>51</v>
      </c>
    </row>
    <row r="477" spans="1:12" ht="13.5" customHeight="1">
      <c r="A477" s="915"/>
      <c r="B477" s="1141"/>
      <c r="C477" s="1142"/>
      <c r="D477" s="1142"/>
      <c r="E477" s="1142"/>
      <c r="F477" s="1142"/>
      <c r="G477" s="1141"/>
      <c r="H477" s="259" t="s">
        <v>1773</v>
      </c>
      <c r="I477" s="1142"/>
      <c r="J477" s="1142"/>
      <c r="K477" s="1020"/>
      <c r="L477" s="1051"/>
    </row>
    <row r="478" spans="1:12" ht="27" customHeight="1">
      <c r="A478" s="9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5" t="s">
        <v>1646</v>
      </c>
      <c r="B479" s="915"/>
      <c r="C479" s="915"/>
      <c r="D479" s="915"/>
      <c r="E479" s="915"/>
      <c r="F479" s="915"/>
      <c r="G479" s="915"/>
      <c r="H479" s="915"/>
      <c r="I479" s="9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6" t="s">
        <v>53</v>
      </c>
      <c r="B487" s="1137"/>
      <c r="C487" s="1137"/>
      <c r="D487" s="1137"/>
      <c r="E487" s="1137"/>
      <c r="F487" s="1137"/>
      <c r="G487" s="1137"/>
      <c r="H487" s="1137"/>
      <c r="I487" s="113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3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32"/>
      <c r="B494" s="1130" t="s">
        <v>2182</v>
      </c>
      <c r="C494" s="1130" t="s">
        <v>306</v>
      </c>
      <c r="D494" s="1130" t="s">
        <v>322</v>
      </c>
      <c r="E494" s="1130" t="s">
        <v>307</v>
      </c>
      <c r="F494" s="1139" t="s">
        <v>1919</v>
      </c>
      <c r="G494" s="1130" t="s">
        <v>662</v>
      </c>
      <c r="H494" s="1139" t="s">
        <v>1920</v>
      </c>
      <c r="I494" s="1130" t="s">
        <v>349</v>
      </c>
      <c r="J494" s="1130">
        <v>2</v>
      </c>
      <c r="K494" s="1144" t="s">
        <v>50</v>
      </c>
      <c r="L494" s="222">
        <v>23</v>
      </c>
    </row>
    <row r="495" spans="1:12" ht="12.6" customHeight="1">
      <c r="A495" s="1132"/>
      <c r="B495" s="1130"/>
      <c r="C495" s="1130"/>
      <c r="D495" s="1130"/>
      <c r="E495" s="1130"/>
      <c r="F495" s="1139"/>
      <c r="G495" s="1130"/>
      <c r="H495" s="1139"/>
      <c r="I495" s="1130"/>
      <c r="J495" s="1130"/>
      <c r="K495" s="1144"/>
    </row>
    <row r="496" spans="1:12" ht="24.95" customHeight="1">
      <c r="A496" s="113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3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3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3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5" t="s">
        <v>53</v>
      </c>
      <c r="B500" s="915"/>
      <c r="C500" s="915"/>
      <c r="D500" s="915"/>
      <c r="E500" s="915"/>
      <c r="F500" s="915"/>
      <c r="G500" s="915"/>
      <c r="H500" s="915"/>
      <c r="I500" s="9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3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3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3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3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3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5" t="s">
        <v>2217</v>
      </c>
      <c r="B511" s="915"/>
      <c r="C511" s="915"/>
      <c r="D511" s="915"/>
      <c r="E511" s="915"/>
      <c r="F511" s="915"/>
      <c r="G511" s="915"/>
      <c r="H511" s="915"/>
      <c r="I511" s="9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3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3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3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3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3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3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3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38" t="s">
        <v>2233</v>
      </c>
      <c r="B522" s="938"/>
      <c r="C522" s="938"/>
      <c r="D522" s="938"/>
      <c r="E522" s="938"/>
      <c r="F522" s="938"/>
      <c r="G522" s="938"/>
      <c r="H522" s="938"/>
      <c r="I522" s="93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5" t="s">
        <v>2238</v>
      </c>
      <c r="B528" s="915"/>
      <c r="C528" s="915"/>
      <c r="D528" s="915"/>
      <c r="E528" s="915"/>
      <c r="F528" s="915"/>
      <c r="G528" s="915"/>
      <c r="H528" s="915"/>
      <c r="I528" s="9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3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3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3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5" t="s">
        <v>2233</v>
      </c>
      <c r="B535" s="915"/>
      <c r="C535" s="915"/>
      <c r="D535" s="915"/>
      <c r="E535" s="915"/>
      <c r="F535" s="915"/>
      <c r="G535" s="915"/>
      <c r="H535" s="915"/>
      <c r="I535" s="9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6" t="s">
        <v>2238</v>
      </c>
      <c r="B540" s="1137"/>
      <c r="C540" s="1137"/>
      <c r="D540" s="1137"/>
      <c r="E540" s="1137"/>
      <c r="F540" s="1137"/>
      <c r="G540" s="1137"/>
      <c r="H540" s="1137"/>
      <c r="I540" s="113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8" t="s">
        <v>2233</v>
      </c>
      <c r="B546" s="1148"/>
      <c r="C546" s="1148"/>
      <c r="D546" s="1148"/>
      <c r="E546" s="1148"/>
      <c r="F546" s="1148"/>
      <c r="G546" s="1148"/>
      <c r="H546" s="1148"/>
      <c r="I546" s="114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5" t="s">
        <v>2233</v>
      </c>
      <c r="B550" s="915"/>
      <c r="C550" s="915"/>
      <c r="D550" s="915"/>
      <c r="E550" s="915"/>
      <c r="F550" s="915"/>
      <c r="G550" s="915"/>
      <c r="H550" s="915"/>
      <c r="I550" s="9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8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8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8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8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8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8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8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8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8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8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8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5" t="s">
        <v>2233</v>
      </c>
      <c r="B565" s="915"/>
      <c r="C565" s="915"/>
      <c r="D565" s="915"/>
      <c r="E565" s="915"/>
      <c r="F565" s="915"/>
      <c r="G565" s="915"/>
      <c r="H565" s="915"/>
      <c r="I565" s="9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9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8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3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3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3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3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3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3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3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5" t="s">
        <v>1458</v>
      </c>
      <c r="B582" s="915"/>
      <c r="C582" s="915"/>
      <c r="D582" s="915"/>
      <c r="E582" s="915"/>
      <c r="F582" s="915"/>
      <c r="G582" s="915"/>
      <c r="H582" s="915"/>
      <c r="I582" s="9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3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3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5" t="s">
        <v>2393</v>
      </c>
      <c r="B588" s="915"/>
      <c r="C588" s="915"/>
      <c r="D588" s="915"/>
      <c r="E588" s="915"/>
      <c r="F588" s="915"/>
      <c r="G588" s="915"/>
      <c r="H588" s="915"/>
      <c r="I588" s="9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38" t="s">
        <v>2406</v>
      </c>
      <c r="B592" s="938"/>
      <c r="C592" s="938"/>
      <c r="D592" s="938"/>
      <c r="E592" s="938"/>
      <c r="F592" s="938"/>
      <c r="G592" s="938"/>
      <c r="H592" s="938"/>
      <c r="I592" s="93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3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3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3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3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3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3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38" t="s">
        <v>2406</v>
      </c>
      <c r="B601" s="938"/>
      <c r="C601" s="938"/>
      <c r="D601" s="938"/>
      <c r="E601" s="938"/>
      <c r="F601" s="938"/>
      <c r="G601" s="938"/>
      <c r="H601" s="938"/>
      <c r="I601" s="93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5" t="s">
        <v>2437</v>
      </c>
      <c r="B606" s="915"/>
      <c r="C606" s="915"/>
      <c r="D606" s="915"/>
      <c r="E606" s="915"/>
      <c r="F606" s="915"/>
      <c r="G606" s="915"/>
      <c r="H606" s="915"/>
      <c r="I606" s="9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3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3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3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5" t="s">
        <v>2406</v>
      </c>
      <c r="B613" s="915"/>
      <c r="C613" s="915"/>
      <c r="D613" s="915"/>
      <c r="E613" s="915"/>
      <c r="F613" s="915"/>
      <c r="G613" s="915"/>
      <c r="H613" s="915"/>
      <c r="I613" s="9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8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8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8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8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8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8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8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8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8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8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5" t="s">
        <v>2406</v>
      </c>
      <c r="B627" s="915"/>
      <c r="C627" s="915"/>
      <c r="D627" s="915"/>
      <c r="E627" s="915"/>
      <c r="F627" s="915"/>
      <c r="G627" s="915"/>
      <c r="H627" s="915"/>
      <c r="I627" s="9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9" t="s">
        <v>1646</v>
      </c>
      <c r="B655" s="1129"/>
      <c r="C655" s="1129"/>
      <c r="D655" s="1129"/>
      <c r="E655" s="1129"/>
      <c r="F655" s="1129"/>
      <c r="G655" s="1129"/>
      <c r="H655" s="1129"/>
      <c r="I655" s="112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9" t="s">
        <v>1646</v>
      </c>
      <c r="B674" s="1129"/>
      <c r="C674" s="1129"/>
      <c r="D674" s="1129"/>
      <c r="E674" s="1129"/>
      <c r="F674" s="1129"/>
      <c r="G674" s="1129"/>
      <c r="H674" s="1129"/>
      <c r="I674" s="112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9" t="s">
        <v>1646</v>
      </c>
      <c r="B681" s="1129"/>
      <c r="C681" s="1129"/>
      <c r="D681" s="1129"/>
      <c r="E681" s="1129"/>
      <c r="F681" s="1129"/>
      <c r="G681" s="1129"/>
      <c r="H681" s="1129"/>
      <c r="I681" s="112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2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2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24" t="s">
        <v>1646</v>
      </c>
      <c r="B688" s="1124"/>
      <c r="C688" s="1124"/>
      <c r="D688" s="1124"/>
      <c r="E688" s="1124"/>
      <c r="F688" s="1124"/>
      <c r="G688" s="1124"/>
      <c r="H688" s="1124"/>
      <c r="I688" s="112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24" t="s">
        <v>1646</v>
      </c>
      <c r="B699" s="1124"/>
      <c r="C699" s="1124"/>
      <c r="D699" s="1124"/>
      <c r="E699" s="1124"/>
      <c r="F699" s="1124"/>
      <c r="G699" s="1124"/>
      <c r="H699" s="1124"/>
      <c r="I699" s="1124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177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177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177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177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177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177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177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177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177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177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177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177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177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178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118" t="s">
        <v>1646</v>
      </c>
      <c r="B717" s="1118"/>
      <c r="C717" s="1118"/>
      <c r="D717" s="1118"/>
      <c r="E717" s="1118"/>
      <c r="F717" s="1118"/>
      <c r="G717" s="1118"/>
      <c r="H717" s="1118"/>
      <c r="I717" s="111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19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20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20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20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20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20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20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21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118" t="s">
        <v>1646</v>
      </c>
      <c r="B731" s="1118"/>
      <c r="C731" s="1118"/>
      <c r="D731" s="1118"/>
      <c r="E731" s="1118"/>
      <c r="F731" s="1118"/>
      <c r="G731" s="1118"/>
      <c r="H731" s="1118"/>
      <c r="I731" s="111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22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22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22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22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22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22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22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22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22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22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22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22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22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118" t="s">
        <v>1646</v>
      </c>
      <c r="B749" s="1118"/>
      <c r="C749" s="1118"/>
      <c r="D749" s="1118"/>
      <c r="E749" s="1118"/>
      <c r="F749" s="1118"/>
      <c r="G749" s="1118"/>
      <c r="H749" s="1118"/>
      <c r="I749" s="111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13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14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14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14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14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14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14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14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2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08" t="s">
        <v>1646</v>
      </c>
      <c r="B762" s="1108"/>
      <c r="C762" s="1108"/>
      <c r="D762" s="1108"/>
      <c r="E762" s="1108"/>
      <c r="F762" s="1108"/>
      <c r="G762" s="1108"/>
      <c r="H762" s="1108"/>
      <c r="I762" s="1108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09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>
      <c r="A766" s="1110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>
      <c r="A767" s="1110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>
      <c r="A768" s="1110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>
      <c r="A769" s="1111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>
      <c r="A770" s="1108" t="s">
        <v>1646</v>
      </c>
      <c r="B770" s="1108"/>
      <c r="C770" s="1108"/>
      <c r="D770" s="1108"/>
      <c r="E770" s="1108"/>
      <c r="F770" s="1108"/>
      <c r="G770" s="1108"/>
      <c r="H770" s="1108"/>
      <c r="I770" s="1108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17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17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17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17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17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08" t="s">
        <v>1646</v>
      </c>
      <c r="B778" s="1108"/>
      <c r="C778" s="1108"/>
      <c r="D778" s="1108"/>
      <c r="E778" s="1108"/>
      <c r="F778" s="1108"/>
      <c r="G778" s="1108"/>
      <c r="H778" s="1108"/>
      <c r="I778" s="1108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17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17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17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17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17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17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17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17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08" t="s">
        <v>1646</v>
      </c>
      <c r="B790" s="1108"/>
      <c r="C790" s="1108"/>
      <c r="D790" s="1108"/>
      <c r="E790" s="1108"/>
      <c r="F790" s="1108"/>
      <c r="G790" s="1108"/>
      <c r="H790" s="1108"/>
      <c r="I790" s="1108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13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>
      <c r="A795" s="1114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>
      <c r="A796" s="1114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>
      <c r="A797" s="1114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>
      <c r="A798" s="1114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>
      <c r="A799" s="1114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>
      <c r="A800" s="1114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>
      <c r="A801" s="1114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>
      <c r="A802" s="1108" t="s">
        <v>1646</v>
      </c>
      <c r="B802" s="1108"/>
      <c r="C802" s="1108"/>
      <c r="D802" s="1108"/>
      <c r="E802" s="1108"/>
      <c r="F802" s="1108"/>
      <c r="G802" s="1108"/>
      <c r="H802" s="1108"/>
      <c r="I802" s="1108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15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>
      <c r="A807" s="1116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16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16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>
      <c r="A810" s="1116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16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08" t="s">
        <v>1646</v>
      </c>
      <c r="B812" s="1108"/>
      <c r="C812" s="1108"/>
      <c r="D812" s="1108"/>
      <c r="E812" s="1108"/>
      <c r="F812" s="1108"/>
      <c r="G812" s="1108"/>
      <c r="H812" s="1108"/>
      <c r="I812" s="1108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38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>
      <c r="A818" s="938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>
      <c r="A819" s="1108" t="s">
        <v>1646</v>
      </c>
      <c r="B819" s="1108"/>
      <c r="C819" s="1108"/>
      <c r="D819" s="1108"/>
      <c r="E819" s="1108"/>
      <c r="F819" s="1108"/>
      <c r="G819" s="1108"/>
      <c r="H819" s="1108"/>
      <c r="I819" s="1108"/>
      <c r="J819" s="631">
        <f>SUM(J813:J818)</f>
        <v>4</v>
      </c>
      <c r="K819" s="672"/>
    </row>
    <row r="823" spans="1:12" s="743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>
      <c r="A824" s="1109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>
      <c r="A825" s="1110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>
      <c r="A826" s="1110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>
      <c r="A827" s="1110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>
      <c r="A828" s="1110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>
      <c r="A829" s="1110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>
      <c r="A830" s="1110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>
      <c r="A831" s="1110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>
      <c r="A832" s="1110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>
      <c r="A833" s="1111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>
      <c r="A834" s="1108" t="s">
        <v>1646</v>
      </c>
      <c r="B834" s="1108"/>
      <c r="C834" s="1108"/>
      <c r="D834" s="1108"/>
      <c r="E834" s="1108"/>
      <c r="F834" s="1108"/>
      <c r="G834" s="1108"/>
      <c r="H834" s="1108"/>
      <c r="I834" s="1108"/>
      <c r="J834" s="631">
        <f>SUM(J824:J833)</f>
        <v>21</v>
      </c>
      <c r="K834" s="672"/>
      <c r="L834" s="742"/>
    </row>
    <row r="835" spans="1:12" s="743" customFormat="1" ht="11.25">
      <c r="L835" s="742"/>
    </row>
    <row r="836" spans="1:12" s="743" customFormat="1" ht="11.25">
      <c r="L836" s="742"/>
    </row>
    <row r="837" spans="1:12" s="743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>
      <c r="A838" s="1109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>
      <c r="A839" s="1110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>
      <c r="A840" s="1111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>
      <c r="A841" s="1108" t="s">
        <v>1646</v>
      </c>
      <c r="B841" s="1108"/>
      <c r="C841" s="1108"/>
      <c r="D841" s="1108"/>
      <c r="E841" s="1108"/>
      <c r="F841" s="1108"/>
      <c r="G841" s="1108"/>
      <c r="H841" s="1108"/>
      <c r="I841" s="1108"/>
      <c r="J841" s="631">
        <f>SUM(J838:J840)</f>
        <v>3</v>
      </c>
      <c r="K841" s="672"/>
      <c r="L841" s="742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13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>
      <c r="A846" s="1114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>
      <c r="A847" s="1114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>
      <c r="A848" s="1114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>
      <c r="A849" s="1114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>
      <c r="A850" s="1114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>
      <c r="A851" s="1114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>
      <c r="A852" s="1114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>
      <c r="A853" s="1108" t="s">
        <v>1646</v>
      </c>
      <c r="B853" s="1108"/>
      <c r="C853" s="1108"/>
      <c r="D853" s="1108"/>
      <c r="E853" s="1108"/>
      <c r="F853" s="1108"/>
      <c r="G853" s="1108"/>
      <c r="H853" s="1108"/>
      <c r="I853" s="1108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09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>
      <c r="A857" s="1110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>
      <c r="A858" s="1110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>
      <c r="A859" s="1110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>
      <c r="A860" s="1110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>
      <c r="A861" s="1110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>
      <c r="A862" s="1110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>
      <c r="A863" s="1110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>
      <c r="A864" s="1110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>
      <c r="A865" s="1110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>
      <c r="A866" s="1110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>
      <c r="A867" s="1110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>
      <c r="A868" s="1110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>
      <c r="A869" s="1110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>
      <c r="A870" s="1110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10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>
      <c r="A872" s="1110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>
      <c r="A873" s="1110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>
      <c r="A874" s="1110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>
      <c r="A875" s="1111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>
      <c r="A876" s="1108" t="s">
        <v>1646</v>
      </c>
      <c r="B876" s="1108"/>
      <c r="C876" s="1108"/>
      <c r="D876" s="1108"/>
      <c r="E876" s="1108"/>
      <c r="F876" s="1108"/>
      <c r="G876" s="1108"/>
      <c r="H876" s="1108"/>
      <c r="I876" s="1108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10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>
      <c r="A881" s="1110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>
      <c r="A882" s="1110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>
      <c r="A883" s="1110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>
      <c r="A884" s="1110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>
      <c r="A885" s="1110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>
      <c r="A886" s="1110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08" t="s">
        <v>1646</v>
      </c>
      <c r="B887" s="1108"/>
      <c r="C887" s="1108"/>
      <c r="D887" s="1108"/>
      <c r="E887" s="1108"/>
      <c r="F887" s="1108"/>
      <c r="G887" s="1108"/>
      <c r="H887" s="1108"/>
      <c r="I887" s="1108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06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>
      <c r="A894" s="1107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>
      <c r="A895" s="1107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07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>
      <c r="A897" s="1107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>
      <c r="A898" s="1107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>
      <c r="A899" s="1107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>
      <c r="A900" s="1107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>
      <c r="A901" s="1107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>
      <c r="A902" s="1107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>
      <c r="A903" s="1107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>
      <c r="A904" s="1108" t="s">
        <v>1646</v>
      </c>
      <c r="B904" s="1108"/>
      <c r="C904" s="1108"/>
      <c r="D904" s="1108"/>
      <c r="E904" s="1108"/>
      <c r="F904" s="1108"/>
      <c r="G904" s="1108"/>
      <c r="H904" s="1108"/>
      <c r="I904" s="1108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06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>
      <c r="A909" s="1107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>
      <c r="A910" s="1107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>
      <c r="A911" s="1107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07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07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07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>
      <c r="A915" s="1107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>
      <c r="A916" s="1107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>
      <c r="A917" s="1107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>
      <c r="A918" s="1107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>
      <c r="A919" s="1108" t="s">
        <v>1646</v>
      </c>
      <c r="B919" s="1108"/>
      <c r="C919" s="1108"/>
      <c r="D919" s="1108"/>
      <c r="E919" s="1108"/>
      <c r="F919" s="1108"/>
      <c r="G919" s="1108"/>
      <c r="H919" s="1108"/>
      <c r="I919" s="1108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09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10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10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10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11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>
      <c r="A930" s="1108" t="s">
        <v>1646</v>
      </c>
      <c r="B930" s="1108"/>
      <c r="C930" s="1108"/>
      <c r="D930" s="1108"/>
      <c r="E930" s="1108"/>
      <c r="F930" s="1108"/>
      <c r="G930" s="1108"/>
      <c r="H930" s="1108"/>
      <c r="I930" s="1108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12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>
      <c r="A934" s="1112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>
      <c r="A935" s="1112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>
      <c r="A936" s="1112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>
      <c r="A937" s="1112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>
      <c r="A938" s="1112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>
      <c r="A939" s="1112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>
      <c r="A940" s="1112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>
      <c r="A941" s="1112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>
      <c r="A942" s="1112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>
      <c r="A943" s="1112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>
      <c r="A944" s="1108" t="s">
        <v>1646</v>
      </c>
      <c r="B944" s="1108"/>
      <c r="C944" s="1108"/>
      <c r="D944" s="1108"/>
      <c r="E944" s="1108"/>
      <c r="F944" s="1108"/>
      <c r="G944" s="1108"/>
      <c r="H944" s="1108"/>
      <c r="I944" s="1108"/>
      <c r="J944" s="631">
        <f>SUM(J933:J943)</f>
        <v>11</v>
      </c>
      <c r="K944" s="672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38" t="s">
        <v>5385</v>
      </c>
      <c r="I12" s="938"/>
      <c r="J12" s="938"/>
      <c r="K12" s="93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38" t="s">
        <v>5386</v>
      </c>
      <c r="I20" s="938"/>
      <c r="J20" s="938"/>
      <c r="K20" s="93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3" t="s">
        <v>2</v>
      </c>
      <c r="B23" s="763" t="s">
        <v>6124</v>
      </c>
      <c r="C23" s="763" t="s">
        <v>6125</v>
      </c>
    </row>
    <row r="24" spans="1:13">
      <c r="A24" s="763" t="s">
        <v>6126</v>
      </c>
      <c r="B24" s="762">
        <v>10500000</v>
      </c>
      <c r="C24" s="763" t="s">
        <v>6127</v>
      </c>
    </row>
    <row r="25" spans="1:13">
      <c r="A25" s="763" t="s">
        <v>6128</v>
      </c>
      <c r="B25" s="762">
        <v>4500000</v>
      </c>
      <c r="C25" s="763" t="s">
        <v>6129</v>
      </c>
    </row>
    <row r="26" spans="1:1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2026-07-27T00:59:55Z</dcterms:modified>
</cp:coreProperties>
</file>