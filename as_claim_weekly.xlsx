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(12)'!$A$1:$M$43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C12" i="130"/>
  <c r="L14" i="129"/>
  <c r="B19" i="130"/>
  <c r="C19" i="130"/>
  <c r="D18" i="130"/>
  <c r="D19" i="130" s="1"/>
  <c r="D17" i="130"/>
  <c r="L9" i="129"/>
  <c r="C13" i="130"/>
  <c r="B13" i="130"/>
  <c r="L15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3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03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03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03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9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0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0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<sst xmlns="http://schemas.openxmlformats.org/spreadsheetml/2006/main" count="18290" uniqueCount="5100">
  <si>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</si>
  <si>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</si>
  <si>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</si>
  <si>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</si>
  <si>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</si>
  <si>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</si>
  <si>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</si>
  <si>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</si>
  <si>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</si>
  <si>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</si>
  <si>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</si>
  <si>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</si>
  <si>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</si>
  <si>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</si>
  <si>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</si>
  <si>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</si>
  <si>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</si>
  <si>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</si>
  <si>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</si>
  <si>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</si>
  <si>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</si>
  <si>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</si>
  <si>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</si>
  <si>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</si>
  <si>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</si>
  <si>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</si>
  <si>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</si>
  <si>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</si>
  <si>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</si>
  <si>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</si>
  <si>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</si>
  <si>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</si>
  <si>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</si>
  <si>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</si>
  <si>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</si>
  <si>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</si>
  <si>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</si>
  <si>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</si>
  <si>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</si>
  <si>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</si>
  <si>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</si>
  <si>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</si>
  <si>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</si>
  <si>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</si>
  <si>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</si>
  <si>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</si>
  <si>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</si>
  <si>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</si>
  <si>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</si>
  <si>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</si>
  <si>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</si>
  <si>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</si>
  <si>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</si>
  <si>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</si>
  <si>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</si>
  <si>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</si>
  <si>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</si>
  <si>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</si>
  <si>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</si>
  <si>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</si>
  <si>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</si>
  <si>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</si>
  <si>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</si>
  <si>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</si>
  <si>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</si>
  <si>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</si>
  <si>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</si>
  <si>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</si>
  <si>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</si>
  <si>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</si>
  <si>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</si>
  <si>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</si>
  <si>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</si>
  <si>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</si>
  <si>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</si>
  <si>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</si>
  <si>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</si>
  <si>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</si>
  <si>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</si>
  <si>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</si>
  <si>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</si>
  <si>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</si>
  <si>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</si>
  <si>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</si>
  <si>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</si>
  <si>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</si>
  <si>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</si>
  <si>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</si>
  <si>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</si>
  <si>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</si>
  <si>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</si>
  <si>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</si>
  <si>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</si>
  <si>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</si>
  <si>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</si>
  <si>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</si>
  <si>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</si>
  <si>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</si>
  <si>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</si>
  <si>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</si>
  <si>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</si>
  <si>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</si>
  <si>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</si>
  <si>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</si>
  <si>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</si>
  <si>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</si>
  <si>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</si>
  <si>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</si>
  <si>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</si>
  <si>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</si>
  <si>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</si>
  <si>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</si>
  <si>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</si>
  <si>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</si>
  <si>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</si>
  <si>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</si>
  <si>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</si>
  <si>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</si>
  <si>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</si>
  <si>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</si>
  <si>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</si>
  <si>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</si>
  <si>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</si>
  <si>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</si>
  <si>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</si>
  <si>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</si>
  <si>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</si>
  <si>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</si>
  <si>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</si>
  <si>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</si>
  <si>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</si>
  <si>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</si>
  <si>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</si>
  <si>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</si>
  <si>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</si>
  <si>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</si>
  <si>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</si>
  <si>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</si>
  <si>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</si>
  <si>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</si>
  <si>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</si>
  <si>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</si>
  <si>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</si>
  <si>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</si>
  <si>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</si>
  <si>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</si>
  <si>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</si>
  <si>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</si>
  <si>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</si>
  <si>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</si>
  <si>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</si>
  <si>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</si>
  <si>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</si>
  <si>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</si>
  <si>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</si>
  <si>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</si>
  <si>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</si>
  <si>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</si>
  <si>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</si>
  <si>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</si>
  <si>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</si>
  <si>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</si>
  <si>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</si>
  <si>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</si>
  <si>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</si>
  <si>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</si>
  <si>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</si>
  <si>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</si>
  <si>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</si>
  <si>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</si>
  <si>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</si>
  <si>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</si>
  <si>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</si>
  <si>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</si>
  <si>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</si>
  <si>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</si>
  <si>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</si>
  <si>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</si>
  <si>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</si>
  <si>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</si>
  <si>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</si>
  <si>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</si>
  <si>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</si>
  <si>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</si>
  <si>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</si>
  <si>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</si>
  <si>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</si>
  <si>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</si>
  <si>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</si>
  <si>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</si>
  <si>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</si>
  <si>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</si>
  <si>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</si>
  <si>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</si>
  <si>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</si>
  <si>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</si>
  <si>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</si>
  <si>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</si>
  <si>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</si>
  <si>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</si>
  <si>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</si>
  <si>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</si>
  <si>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</si>
  <si>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</si>
  <si>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</si>
  <si>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</si>
  <si>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</si>
  <si>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</si>
  <si>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</si>
  <si>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</si>
  <si>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</si>
  <si>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</si>
  <si>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</si>
  <si>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</si>
  <si>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</si>
  <si>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</si>
  <si>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</si>
  <si>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</si>
  <si>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</si>
  <si>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</si>
  <si>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</si>
  <si>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</si>
  <si>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</si>
  <si>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</si>
  <si>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</si>
  <si>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</si>
  <si>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</si>
  <si>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</si>
  <si>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</si>
  <si>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</si>
  <si>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</si>
  <si>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</si>
  <si>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</si>
  <si>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</si>
  <si>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</si>
  <si>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</si>
  <si>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</si>
  <si>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</si>
  <si>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</si>
  <si>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</si>
  <si>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</si>
  <si>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</si>
  <si>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</si>
  <si>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</si>
  <si>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</si>
  <si>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</si>
  <si>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</si>
  <si>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</si>
  <si>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</si>
  <si>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</si>
  <si>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</si>
  <si>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</si>
  <si>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</si>
  <si>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</si>
  <si>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</si>
  <si>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</si>
  <si>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</si>
  <si>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</si>
  <si>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</si>
  <si>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</si>
  <si>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</si>
  <si>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</si>
  <si>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</si>
  <si>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</si>
  <si>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</si>
  <si>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</si>
  <si>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</si>
  <si>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</si>
  <si>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</si>
  <si>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</si>
  <si>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</si>
  <si>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</si>
  <si>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</si>
  <si>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</si>
  <si>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</si>
  <si>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</si>
  <si>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</si>
  <si>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</si>
  <si>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</si>
  <si>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</si>
  <si>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</si>
  <si>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</si>
  <si>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</si>
  <si>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</si>
  <si>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</si>
  <si>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</si>
  <si>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</si>
  <si>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</si>
  <si>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</si>
  <si>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</si>
  <si>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</si>
  <si>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</si>
  <si>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</si>
  <si>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</si>
  <si>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</si>
  <si>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</si>
  <si>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</si>
  <si>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</si>
  <si>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</si>
  <si>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</si>
  <si>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</si>
  <si>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</si>
  <si>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</si>
  <si>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</si>
  <si>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</si>
  <si>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</si>
  <si>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</si>
  <si>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</si>
  <si>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</si>
  <si>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</si>
  <si>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</si>
  <si>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</si>
  <si>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</si>
  <si>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</si>
  <si>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</si>
  <si>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</si>
  <si>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</si>
  <si>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</si>
  <si>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</si>
  <si>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</si>
  <si>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</si>
  <si>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</si>
  <si>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</si>
  <si>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</si>
  <si>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</si>
  <si>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</si>
  <si>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</si>
  <si>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</si>
  <si>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</si>
  <si>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</si>
  <si>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</si>
  <si>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</si>
  <si>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</si>
  <si>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</si>
  <si>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</si>
  <si>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</si>
  <si>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</si>
  <si>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</si>
  <si>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</si>
  <si>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</si>
  <si>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</si>
  <si>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</si>
  <si>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</si>
  <si>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</si>
  <si>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</si>
  <si>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</si>
  <si>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</si>
  <si>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</si>
  <si>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</si>
  <si>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</si>
  <si>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</si>
  <si>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</si>
  <si>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</si>
  <si>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</si>
  <si>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</si>
  <si>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</si>
  <si>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</si>
  <si>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</si>
  <si>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</si>
  <si>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</si>
  <si>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</si>
  <si>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</si>
  <si>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</si>
  <si>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</si>
  <si>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</si>
  <si>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</si>
  <si>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</si>
  <si>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</si>
  <si>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</si>
  <si>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</si>
  <si>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</si>
  <si>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</si>
  <si>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</si>
  <si>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</si>
  <si>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</si>
  <si>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</si>
  <si>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</si>
  <si>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</si>
  <si>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</si>
  <si>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</si>
  <si>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</si>
  <si>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</si>
  <si>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</si>
  <si>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</si>
  <si>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</si>
  <si>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</si>
  <si>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</si>
  <si>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</si>
  <si>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</si>
  <si>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</si>
  <si>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</si>
  <si>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</si>
  <si>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</si>
  <si>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</si>
  <si>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</si>
  <si>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</si>
  <si>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</si>
  <si>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</si>
  <si>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</si>
  <si>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</si>
  <si>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</si>
  <si>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</si>
  <si>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</si>
  <si>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</si>
  <si>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</si>
  <si>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</si>
  <si>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</si>
  <si>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</si>
  <si>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</si>
  <si>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</si>
  <si>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</si>
  <si>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</si>
  <si>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</si>
  <si>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</si>
  <si>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</si>
  <si>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</si>
  <si>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</si>
  <si>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</si>
  <si>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</si>
  <si>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</si>
  <si>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</si>
  <si>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</si>
  <si>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</si>
  <si>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</si>
  <si>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</si>
  <si>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</si>
  <si>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</si>
  <si>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</si>
  <si>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</si>
  <si>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</si>
  <si>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</si>
  <si>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</si>
  <si>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</si>
  <si>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</si>
  <si>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</si>
  <si>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</si>
  <si>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</si>
  <si>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</si>
  <si>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</si>
  <si>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</si>
  <si>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</si>
  <si>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</si>
  <si>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</si>
  <si>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</si>
  <si>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</si>
  <si>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</si>
  <si>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</si>
  <si>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</si>
  <si>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</si>
  <si>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</si>
  <si>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</si>
  <si>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</si>
  <si>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</si>
  <si>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</si>
  <si>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</si>
  <si>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</si>
  <si>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</si>
  <si>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</si>
  <si>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</si>
  <si>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</si>
  <si>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</si>
  <si>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</si>
  <si>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</si>
  <si>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</si>
  <si>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</si>
  <si>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</si>
  <si>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</si>
  <si>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</si>
  <si>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</si>
  <si>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</si>
  <si>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</si>
  <si>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</si>
  <si>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</si>
  <si>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</si>
  <si>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</si>
  <si>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</si>
  <si>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</si>
  <si>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</si>
  <si>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</si>
  <si>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</si>
  <si>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</si>
  <si>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</si>
  <si>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</si>
  <si>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</si>
  <si>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</si>
  <si>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</si>
  <si>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</si>
  <si>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</si>
  <si>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</si>
  <si>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</si>
  <si>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</si>
  <si>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</si>
  <si>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</si>
  <si>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</si>
  <si>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</si>
  <si>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</si>
  <si>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</si>
  <si>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</si>
  <si>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</si>
  <si>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</si>
  <si>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</si>
  <si>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</si>
  <si>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</si>
  <si>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</si>
  <si>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</si>
  <si>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</si>
  <si>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</si>
  <si>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</si>
  <si>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</si>
  <si>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</si>
  <si>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</si>
  <si>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</si>
  <si>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</si>
  <si>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</si>
  <si>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</si>
  <si>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</si>
  <si>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</si>
  <si>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</si>
  <si>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</si>
  <si>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</si>
  <si>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</si>
  <si>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</si>
  <si>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</si>
  <si>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</si>
  <si>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</si>
  <si>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</si>
  <si>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</si>
  <si>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</si>
  <si>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</si>
  <si>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</si>
  <si>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</si>
  <si>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</si>
  <si>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</si>
  <si>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</si>
  <si>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</si>
  <si>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</si>
  <si>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</si>
  <si>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</si>
  <si>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</si>
  <si>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</si>
  <si>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</si>
  <si>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</si>
  <si>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</si>
  <si>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</si>
  <si>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</si>
  <si>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</si>
  <si>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</si>
  <si>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</si>
  <si>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</si>
  <si>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</si>
  <si>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</si>
  <si>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</si>
  <si>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</si>
  <si>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</si>
  <si>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</si>
  <si>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</si>
  <si>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</si>
  <si>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</si>
  <si>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</si>
  <si>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</si>
  <si>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</si>
  <si>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</si>
  <si>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</si>
  <si>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</si>
  <si>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</si>
  <si>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</si>
  <si>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</si>
  <si>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</si>
  <si>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</si>
  <si>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</si>
  <si>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</si>
  <si>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</si>
  <si>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</si>
  <si>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</si>
  <si>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</si>
  <si>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</si>
  <si>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</si>
  <si>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</si>
  <si>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</si>
  <si>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</si>
  <si>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</si>
  <si>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</si>
  <si>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</si>
  <si>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</si>
  <si>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</si>
  <si>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</si>
  <si>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</si>
  <si>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</si>
  <si>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</si>
  <si>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</si>
  <si>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</si>
  <si>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</si>
  <si>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</si>
  <si>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</si>
  <si>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</si>
  <si>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</si>
  <si>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</si>
  <si>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</si>
  <si>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</si>
  <si>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</si>
  <si>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</si>
  <si>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</si>
  <si>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</si>
  <si>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</si>
  <si>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</si>
  <si>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</si>
  <si>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</si>
  <si>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</si>
  <si>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</si>
  <si>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</si>
  <si>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</si>
  <si>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</si>
  <si>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</si>
  <si>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</si>
  <si>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</si>
  <si>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</si>
  <si>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</si>
  <si>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</si>
  <si>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</si>
  <si>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</si>
  <si>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</si>
  <si>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</si>
  <si>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</si>
  <si>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</si>
  <si>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</si>
  <si>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</si>
  <si>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</si>
  <si>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</si>
  <si>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</si>
  <si>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</si>
  <si>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</si>
  <si>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</si>
  <si>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</si>
  <si>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</si>
  <si>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</si>
  <si>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</si>
  <si>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</si>
  <si>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</si>
  <si>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</si>
  <si>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</si>
  <si>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</si>
  <si>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</si>
  <si>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</si>
  <si>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</si>
  <si>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</si>
  <si>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</si>
  <si>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</si>
  <si>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</si>
  <si>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</si>
  <si>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</si>
  <si>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</si>
  <si>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</si>
  <si>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</si>
  <si>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</si>
  <si>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</si>
  <si>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</si>
  <si>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</si>
  <si>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</si>
  <si>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</si>
  <si>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</si>
  <si>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</si>
  <si>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</si>
  <si>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</si>
  <si>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</si>
  <si>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</si>
  <si>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</si>
  <si>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</si>
  <si>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</si>
  <si>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</si>
  <si>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</si>
  <si>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</si>
  <si>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</si>
  <si>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</si>
  <si>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</si>
  <si>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</si>
  <si>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</si>
  <si>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</si>
  <si>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</si>
  <si>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</si>
  <si>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</si>
  <si>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</si>
  <si>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</si>
  <si>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</si>
  <si>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</si>
  <si>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</si>
  <si>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</si>
  <si>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</si>
  <si>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</si>
  <si>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</si>
  <si>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</si>
  <si>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</si>
  <si>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</si>
  <si>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</si>
  <si>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</si>
  <si>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</si>
  <si>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</si>
  <si>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</si>
  <si>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</si>
  <si>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</si>
  <si>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</si>
  <si>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</si>
  <si>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</si>
  <si>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</si>
  <si>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</si>
  <si>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</si>
  <si>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</si>
  <si>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</si>
  <si>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</si>
  <si>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</si>
  <si>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</si>
  <si>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</si>
  <si>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</si>
  <si>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</si>
  <si>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</si>
  <si>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</si>
  <si>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</si>
  <si>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</si>
  <si>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</si>
  <si>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</si>
  <si>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</si>
  <si>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</si>
  <si>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</si>
  <si>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</si>
  <si>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</si>
  <si>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</si>
  <si>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</si>
  <si>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</si>
  <si>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</si>
  <si>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</si>
  <si>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</si>
  <si>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</si>
  <si>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</si>
  <si>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</si>
  <si>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</si>
  <si>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</si>
  <si>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</si>
  <si>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</si>
  <si>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</si>
  <si>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</si>
  <si>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</si>
  <si>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</si>
  <si>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</si>
  <si>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</si>
  <si>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</si>
  <si>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</si>
  <si>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</si>
  <si>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</si>
  <si>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</si>
  <si>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</si>
  <si>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</si>
  <si>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</si>
  <si>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</si>
  <si>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</si>
  <si>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</si>
  <si>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</si>
  <si>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</si>
  <si>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</si>
  <si>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</si>
  <si>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</si>
  <si>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</si>
  <si>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</si>
  <si>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</si>
  <si>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</si>
  <si>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</si>
  <si>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</si>
  <si>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</si>
  <si>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</si>
  <si>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</si>
  <si>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</si>
  <si>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</si>
  <si>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</si>
  <si>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</si>
  <si>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</si>
  <si>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</si>
  <si>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</si>
  <si>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</si>
  <si>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</si>
  <si>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</si>
  <si>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</si>
  <si>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</si>
  <si>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</si>
  <si>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</si>
  <si>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</si>
  <si>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</si>
  <si>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</si>
  <si>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</si>
  <si>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</si>
  <si>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</si>
  <si>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</si>
  <si>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</si>
  <si>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</si>
  <si>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</si>
  <si>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</si>
  <si>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</si>
  <si>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</si>
  <si>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</si>
  <si>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</si>
  <si>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</si>
  <si>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</si>
  <si>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</si>
  <si>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</si>
  <si>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</si>
  <si>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</si>
  <si>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</si>
  <si>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</si>
  <si>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</si>
  <si>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</si>
  <si>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</si>
  <si>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</si>
  <si>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</si>
  <si>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</si>
  <si>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</si>
  <si>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</si>
  <si>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</si>
  <si>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</si>
  <si>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</si>
  <si>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</si>
  <si>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</si>
  <si>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</si>
  <si>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</si>
  <si>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</si>
  <si>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</si>
  <si>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</si>
  <si>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</si>
  <si>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</si>
  <si>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</si>
  <si>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</si>
  <si>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</si>
  <si>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</si>
  <si>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</si>
  <si>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</si>
  <si>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</si>
  <si>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</si>
  <si>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</si>
  <si>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</si>
  <si>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</si>
  <si>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</si>
  <si>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</si>
  <si>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</si>
  <si>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</si>
  <si>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</si>
  <si>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</si>
  <si>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</si>
  <si>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</si>
  <si>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</si>
  <si>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</si>
  <si>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</si>
  <si>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</si>
  <si>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</si>
  <si>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</si>
  <si>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</si>
  <si>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</si>
  <si>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</si>
  <si>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</si>
  <si>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</si>
  <si>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</si>
  <si>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</si>
  <si>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</si>
  <si>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</si>
  <si>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</si>
  <si>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</si>
  <si>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</si>
  <si>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</si>
  <si>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</si>
  <si>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</si>
  <si>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</si>
  <si>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</si>
  <si>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</si>
  <si>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</si>
  <si>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</si>
  <si>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</si>
  <si>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</si>
  <si>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</si>
  <si>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</si>
  <si>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</si>
  <si>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</si>
  <si>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</si>
  <si>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</si>
  <si>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</si>
  <si>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</si>
  <si>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</si>
  <si>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</si>
  <si>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</si>
  <si>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</si>
  <si>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</si>
  <si>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</si>
  <si>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</si>
  <si>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</si>
  <si>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</si>
  <si>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</si>
  <si>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</si>
  <si>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</si>
  <si>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</si>
  <si>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</si>
  <si>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</si>
  <si>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</si>
  <si>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</si>
  <si>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</si>
  <si>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</si>
  <si>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</si>
  <si>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</si>
  <si>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</si>
  <si>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</si>
  <si>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</si>
  <si>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</si>
  <si>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</si>
  <si>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</si>
  <si>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</si>
  <si>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</si>
  <si>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</si>
  <si>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</si>
  <si>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</si>
  <si>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</si>
  <si>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</si>
  <si>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</si>
  <si>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</si>
  <si>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</si>
  <si>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</si>
  <si>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</si>
  <si>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</si>
  <si>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</si>
  <si>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</si>
  <si>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</si>
  <si>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</si>
  <si>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</si>
  <si>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</si>
  <si>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</si>
  <si>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</si>
  <si>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</si>
  <si>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</si>
  <si>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</si>
  <si>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</si>
  <si>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</si>
  <si>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</si>
  <si>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</si>
  <si>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</si>
  <si>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</si>
  <si>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</si>
  <si>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</si>
  <si>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</si>
  <si>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</si>
  <si>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</si>
  <si>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</si>
  <si>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</si>
  <si>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</si>
  <si>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</si>
  <si>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</si>
  <si>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</si>
  <si>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</si>
  <si>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</si>
  <si>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</si>
  <si>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</si>
  <si>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</si>
  <si>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</si>
  <si>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</si>
  <si>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</si>
  <si>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</si>
  <si>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</si>
  <si>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</si>
  <si>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</si>
  <si>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</si>
  <si>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</si>
  <si>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</si>
  <si>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</si>
  <si>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</si>
  <si>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</si>
  <si>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</si>
  <si>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</si>
  <si>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</si>
  <si>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</si>
  <si>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</si>
  <si>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</si>
  <si>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</si>
  <si>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</si>
  <si>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</si>
  <si>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</si>
  <si>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</si>
  <si>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</si>
  <si>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</si>
  <si>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</si>
  <si>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</si>
  <si>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</si>
  <si>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</si>
  <si>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</si>
  <si>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</si>
  <si>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</si>
  <si>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</si>
  <si>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</si>
  <si>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</si>
  <si>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</si>
  <si>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</si>
  <si>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</si>
  <si>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</si>
  <si>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</si>
  <si>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</si>
  <si>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</si>
  <si>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</si>
  <si>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</si>
  <si>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</si>
  <si>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</si>
  <si>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</si>
  <si>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</si>
  <si>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</si>
  <si>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</si>
  <si>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</si>
  <si>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</si>
  <si>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</si>
  <si>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</si>
  <si>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</si>
  <si>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</si>
  <si>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</si>
  <si>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</si>
  <si>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</si>
  <si>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</si>
  <si>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</si>
  <si>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</si>
  <si>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</si>
  <si>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</si>
  <si>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</si>
  <si>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</si>
  <si>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</si>
  <si>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</si>
  <si>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</si>
  <si>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</si>
  <si>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</si>
  <si>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</si>
  <si>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</si>
  <si>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</si>
  <si>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</si>
  <si>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</si>
  <si>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</si>
  <si>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</si>
  <si>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</si>
  <si>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</si>
  <si>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</si>
  <si>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</si>
  <si>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</si>
  <si>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</si>
  <si>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</si>
  <si>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</si>
  <si>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</si>
  <si>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</si>
  <si>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</si>
  <si>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</si>
  <si>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</si>
  <si>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</si>
  <si>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</si>
  <si>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</si>
  <si>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</si>
  <si>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</si>
  <si>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</si>
  <si>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</si>
  <si>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</si>
  <si>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</si>
  <si>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</si>
  <si>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</si>
  <si>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</si>
  <si>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</si>
  <si>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</si>
  <si>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</si>
  <si>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</si>
  <si>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</si>
  <si>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</si>
  <si>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</si>
  <si>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</si>
  <si>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</si>
  <si>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</si>
  <si>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</si>
  <si>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</si>
  <si>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</si>
  <si>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</si>
  <si>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</si>
  <si>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</si>
  <si>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</si>
  <si>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</si>
  <si>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</si>
  <si>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</si>
  <si>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</si>
  <si>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</si>
  <si>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</si>
  <si>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</si>
  <si>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</si>
  <si>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</si>
  <si>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</si>
  <si>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</si>
  <si>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</si>
  <si>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</si>
  <si>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</si>
  <si>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</si>
  <si>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</si>
  <si>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</si>
  <si>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</si>
  <si>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</si>
  <si>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</si>
  <si>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</si>
  <si>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</si>
  <si>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</si>
  <si>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</si>
  <si>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</si>
  <si>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</si>
  <si>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</si>
  <si>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</si>
  <si>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</si>
  <si>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</si>
  <si>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</si>
  <si>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</si>
  <si>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</si>
  <si>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</si>
  <si>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</si>
  <si>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</si>
  <si>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</si>
  <si>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</si>
  <si>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</si>
  <si>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</si>
  <si>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</si>
  <si>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</si>
  <si>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</si>
  <si>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</si>
  <si>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</si>
  <si>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</si>
  <si>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</si>
  <si>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</si>
  <si>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</si>
  <si>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</si>
  <si>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</si>
  <si>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</si>
  <si>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</si>
  <si>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</si>
  <si>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</si>
  <si>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</si>
  <si>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</si>
  <si>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</si>
  <si>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</si>
  <si>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</si>
  <si>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</si>
  <si>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</si>
  <si>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</si>
  <si>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</si>
  <si>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</si>
  <si>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</si>
  <si>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</si>
  <si>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</si>
  <si>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</si>
  <si>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</si>
  <si>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</si>
  <si>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</si>
  <si>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</si>
  <si>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</si>
  <si>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</si>
  <si>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</si>
  <si>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</si>
  <si>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</si>
  <si>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</si>
  <si>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</si>
  <si>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</si>
  <si>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</si>
  <si>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</si>
  <si>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</si>
  <si>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</si>
  <si>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</si>
  <si>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</si>
  <si>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</si>
  <si>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</si>
  <si>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</si>
  <si>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</si>
  <si>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</si>
  <si>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</si>
  <si>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</si>
  <si>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</si>
  <si>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</si>
  <si>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</si>
  <si>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</si>
  <si>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</si>
  <si>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</si>
  <si>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</si>
  <si>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</si>
  <si>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</si>
  <si>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</si>
  <si>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</si>
  <si>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</si>
  <si>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</si>
  <si>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</si>
  <si>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</si>
  <si>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</si>
  <si>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</si>
  <si>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</si>
  <si>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</si>
  <si>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</si>
  <si>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</si>
  <si>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</si>
  <si>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</si>
  <si>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</si>
  <si>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</si>
  <si>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</si>
  <si>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</si>
  <si>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</si>
  <si>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</si>
  <si>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</si>
  <si>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</si>
  <si>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</si>
  <si>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</si>
  <si>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</si>
  <si>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</si>
  <si>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</si>
  <si>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</si>
  <si>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</si>
  <si>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</si>
  <si>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</si>
  <si>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</si>
  <si>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</si>
  <si>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</si>
  <si>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</si>
  <si>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</si>
  <si>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</si>
  <si>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</si>
  <si>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</si>
  <si>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</si>
  <si>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</si>
  <si>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</si>
  <si>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</si>
  <si>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</si>
  <si>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</si>
  <si>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</si>
  <si>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</si>
  <si>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</si>
  <si>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</si>
  <si>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</si>
  <si>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</si>
  <si>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</si>
  <si>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</si>
  <si>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</si>
  <si>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</si>
  <si>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</si>
  <si>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</si>
  <si>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</si>
  <si>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</si>
  <si>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</si>
  <si>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</si>
  <si>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</si>
  <si>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</si>
  <si>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</si>
  <si>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</si>
  <si>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</si>
  <si>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</si>
  <si>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</si>
  <si>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</si>
  <si>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</si>
  <si>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</si>
  <si>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</si>
  <si>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</si>
  <si>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</si>
  <si>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</si>
  <si>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</si>
  <si>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</si>
  <si>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</si>
  <si>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</si>
  <si>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</si>
  <si>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</si>
  <si>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</si>
  <si>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</si>
  <si>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</si>
  <si>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</si>
  <si>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</si>
  <si>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</si>
  <si>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</si>
  <si>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</si>
  <si>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</si>
  <si>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</si>
  <si>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</si>
  <si>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</si>
  <si>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</si>
  <si>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</si>
  <si>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</si>
  <si>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</si>
  <si>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</si>
  <si>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</si>
  <si>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</si>
  <si>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</si>
  <si>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</si>
  <si>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</si>
  <si>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</si>
  <si>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</si>
  <si>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</si>
  <si>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</si>
  <si>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</si>
  <si>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</si>
  <si>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</si>
  <si>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</si>
  <si>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</si>
  <si>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</si>
  <si>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</si>
  <si>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</si>
  <si>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</si>
  <si>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</si>
  <si>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</si>
  <si>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</si>
  <si>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</si>
  <si>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</si>
  <si>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</si>
  <si>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</si>
  <si>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</si>
  <si>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</si>
  <si>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</si>
  <si>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</si>
  <si>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</si>
  <si>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</si>
  <si>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</si>
  <si>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</si>
  <si>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</si>
  <si>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</si>
  <si>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</si>
  <si>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</si>
  <si>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</si>
  <si>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</si>
  <si>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</si>
  <si>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</si>
  <si>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</si>
  <si>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</si>
  <si>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</si>
  <si>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</si>
  <si>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</si>
  <si>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</si>
  <si>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</si>
  <si>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</si>
  <si>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</si>
  <si>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</si>
  <si>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</si>
  <si>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</si>
  <si>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</si>
  <si>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</si>
  <si>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</si>
  <si>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</si>
  <si>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</si>
  <si>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</si>
  <si>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</si>
  <si>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</si>
  <si>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</si>
  <si>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</si>
  <si>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</si>
  <si>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</si>
  <si>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</si>
  <si>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</si>
  <si>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</si>
  <si>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</si>
  <si>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</si>
  <si>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</si>
  <si>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</si>
  <si>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</si>
  <si>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</si>
  <si>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</si>
  <si>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</si>
  <si>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</si>
  <si>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</si>
  <si>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</si>
  <si>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</si>
  <si>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</si>
  <si>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</si>
  <si>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</si>
  <si>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</si>
  <si>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</si>
  <si>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</si>
  <si>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</si>
  <si>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</si>
  <si>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</si>
  <si>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</si>
  <si>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</si>
  <si>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</si>
  <si>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</si>
  <si>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</si>
  <si>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</si>
  <si>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</si>
  <si>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</si>
  <si>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</si>
  <si>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</si>
  <si>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</si>
  <si>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</si>
  <si>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</si>
  <si>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</si>
  <si>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</si>
  <si>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</si>
  <si>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</si>
  <si>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</si>
  <si>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</si>
  <si>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</si>
  <si>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</si>
  <si>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</si>
  <si>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</si>
  <si>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</si>
  <si>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</si>
  <si>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</si>
  <si>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</si>
  <si>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</si>
  <si>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</si>
  <si>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</si>
  <si>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</si>
  <si>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</si>
  <si>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</si>
  <si>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</si>
  <si>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</si>
  <si>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</si>
  <si>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</si>
  <si>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</si>
  <si>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</si>
  <si>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</si>
  <si>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</si>
  <si>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</si>
  <si>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</si>
  <si>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</si>
  <si>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</si>
  <si>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</si>
  <si>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</si>
  <si>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</si>
  <si>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</si>
  <si>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</si>
  <si>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</si>
  <si>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</si>
  <si>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</si>
  <si>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</si>
  <si>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</si>
  <si>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</si>
  <si>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</si>
  <si>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</si>
  <si>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</si>
  <si>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</si>
  <si>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</si>
  <si>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</si>
  <si>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</si>
  <si>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</si>
  <si>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</si>
  <si>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</si>
  <si>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</si>
  <si>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</si>
  <si>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</si>
  <si>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</si>
  <si>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</si>
  <si>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</si>
  <si>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</si>
  <si>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</si>
  <si>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</si>
  <si>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</si>
  <si>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</si>
  <si>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</si>
  <si>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</si>
  <si>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</si>
  <si>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</si>
  <si>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</si>
  <si>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</si>
  <si>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</si>
  <si>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</si>
  <si>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</si>
  <si>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</si>
  <si>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</si>
  <si>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</si>
  <si>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</si>
  <si>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</si>
  <si>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</si>
  <si>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</si>
  <si>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</si>
  <si>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</si>
  <si>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</si>
  <si>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</si>
  <si>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</si>
  <si>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</si>
  <si>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</si>
  <si>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</si>
  <si>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</si>
  <si>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</si>
  <si>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</si>
  <si>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</si>
  <si>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</si>
  <si>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</si>
  <si>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</si>
  <si>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</si>
  <si>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</si>
  <si>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</si>
  <si>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</si>
  <si>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</si>
  <si>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</si>
  <si>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</si>
  <si>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</si>
  <si>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</si>
  <si>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</si>
  <si>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</si>
  <si>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</si>
  <si>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</si>
  <si>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</si>
  <si>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</si>
  <si>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</si>
  <si>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</si>
  <si>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</si>
  <si>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</si>
  <si>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</si>
  <si>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</si>
  <si>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</si>
  <si>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</si>
  <si>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</si>
  <si>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</si>
  <si>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</si>
  <si>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</si>
  <si>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</si>
  <si>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</si>
  <si>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</si>
  <si>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</si>
  <si>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</si>
  <si>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</si>
  <si>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</si>
  <si>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</si>
  <si>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</si>
  <si>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</si>
  <si>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</si>
  <si>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</si>
  <si>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</si>
  <si>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</si>
  <si>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</si>
  <si>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</si>
  <si>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</si>
  <si>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</si>
  <si>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</si>
  <si>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</si>
  <si>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</si>
  <si>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</si>
  <si>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</si>
  <si>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</si>
  <si>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</si>
  <si>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</si>
  <si>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</si>
  <si>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</si>
  <si>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</si>
  <si>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</si>
  <si>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</si>
  <si>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</si>
  <si>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</si>
  <si>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</si>
  <si>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</si>
  <si>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</si>
  <si>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</si>
  <si>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</si>
  <si>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</si>
  <si>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</si>
  <si>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</si>
  <si>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</si>
  <si>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</si>
  <si>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</si>
  <si>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</si>
  <si>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</si>
  <si>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</si>
  <si>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</si>
  <si>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</si>
  <si>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</si>
  <si>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</si>
  <si>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</si>
  <si>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</si>
  <si>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</si>
  <si>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</si>
  <si>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</si>
  <si>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</si>
  <si>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</si>
  <si>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</si>
  <si>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</si>
  <si>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</si>
  <si>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</si>
  <si>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</si>
  <si>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</si>
  <si>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</si>
  <si>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</si>
  <si>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</si>
  <si>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</si>
  <si>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</si>
  <si>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</si>
  <si>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</si>
  <si>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</si>
  <si>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</si>
  <si>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</si>
  <si>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</si>
  <si>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</si>
  <si>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</si>
  <si>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</si>
  <si>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</si>
  <si>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</si>
  <si>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</si>
  <si>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</si>
  <si>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</si>
  <si>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</si>
  <si>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</si>
  <si>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</si>
  <si>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</si>
  <si>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</si>
  <si>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</si>
  <si>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</si>
  <si>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</si>
  <si>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</si>
  <si>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</si>
  <si>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</si>
  <si>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</si>
  <si>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</si>
  <si>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</si>
  <si>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</si>
  <si>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</si>
  <si>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</si>
  <si>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</si>
  <si>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</si>
  <si>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</si>
  <si>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</si>
  <si>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</si>
  <si>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</si>
  <si>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</si>
  <si>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</si>
  <si>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</si>
  <si>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</si>
  <si>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</si>
  <si>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</si>
  <si>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</si>
  <si>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</si>
  <si>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</si>
  <si>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</si>
  <si>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</si>
  <si>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</si>
  <si>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</si>
  <si>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</si>
  <si>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</si>
  <si>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</si>
  <si>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</si>
  <si>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</si>
  <si>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</si>
  <si>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</si>
  <si>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</si>
  <si>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</si>
  <si>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</si>
  <si>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</si>
  <si>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</si>
  <si>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</si>
  <si>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</si>
  <si>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</si>
  <si>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</si>
  <si>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</si>
  <si>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</si>
  <si>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</si>
  <si>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</si>
  <si>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</si>
  <si>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</si>
  <si>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</si>
  <si>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</si>
  <si>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</si>
  <si>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</si>
  <si>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</si>
  <si>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</si>
  <si>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</si>
  <si>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</si>
  <si>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</si>
  <si>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</si>
  <si>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</si>
  <si>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</si>
  <si>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</si>
  <si>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</si>
  <si>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</si>
  <si>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</si>
  <si>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</si>
  <si>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</si>
  <si>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</si>
  <si>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</si>
  <si>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</si>
  <si>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</si>
  <si>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</si>
  <si>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</si>
  <si>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</si>
  <si>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</si>
  <si>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</si>
  <si>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</si>
  <si>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</si>
  <si>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</si>
  <si>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</si>
  <si>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</si>
  <si>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</si>
  <si>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</si>
  <si>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</si>
  <si>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</si>
  <si>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</si>
  <si>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</si>
  <si>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</si>
  <si>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</si>
  <si>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</si>
  <si>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</si>
  <si>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</si>
  <si>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</si>
  <si>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</si>
  <si>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</si>
  <si>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</si>
  <si>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</si>
  <si>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</si>
  <si>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</si>
  <si>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</si>
  <si>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</si>
  <si>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</si>
  <si>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</si>
  <si>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</si>
  <si>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</si>
  <si>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</si>
  <si>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</si>
  <si>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</si>
  <si>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</si>
  <si>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</si>
  <si>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</si>
  <si>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</si>
  <si>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</si>
  <si>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</si>
  <si>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</si>
  <si>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</si>
  <si>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</si>
  <si>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</si>
  <si>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</si>
  <si>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</si>
  <si>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</si>
  <si>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</si>
  <si>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</si>
  <si>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</si>
  <si>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</si>
  <si>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</si>
  <si>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</si>
  <si>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</si>
  <si>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</si>
  <si>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</si>
  <si>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</si>
  <si>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</si>
  <si>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</si>
  <si>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</si>
  <si>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</si>
  <si>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</si>
  <si>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</si>
  <si>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</si>
  <si>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</si>
  <si>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</si>
  <si>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</si>
  <si>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</si>
  <si>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</si>
  <si>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</si>
  <si>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</si>
  <si>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</si>
  <si>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</si>
  <si>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</si>
  <si>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</si>
  <si>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</si>
  <si>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</si>
  <si>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</si>
  <si>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</si>
  <si>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</si>
  <si>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</si>
  <si>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</si>
  <si>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</si>
  <si>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</si>
  <si>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</si>
  <si>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</si>
  <si>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</si>
  <si>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</si>
  <si>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</si>
  <si>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</si>
  <si>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</si>
  <si>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</si>
  <si>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</si>
  <si>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</si>
  <si>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</si>
  <si>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</si>
  <si>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</si>
  <si>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</si>
  <si>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</si>
  <si>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</si>
  <si>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</si>
  <si>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</si>
  <si>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</si>
  <si>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</si>
  <si>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</si>
  <si>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</si>
  <si>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</si>
  <si>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</si>
  <si>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</si>
  <si>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</si>
  <si>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</si>
  <si>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</si>
  <si>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</si>
  <si>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</si>
  <si>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</si>
  <si>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</si>
  <si>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</si>
  <si>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</si>
  <si>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</si>
  <si>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</si>
  <si>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</si>
  <si>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</si>
  <si>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</si>
  <si>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</si>
  <si>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</si>
  <si>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</si>
  <si>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</si>
  <si>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</si>
  <si>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</si>
  <si>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</si>
  <si>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</si>
  <si>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</si>
  <si>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</si>
  <si>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</si>
  <si>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</si>
  <si>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</si>
  <si>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</si>
  <si>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</si>
  <si>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</si>
  <si>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</si>
  <si>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</si>
  <si>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</si>
  <si>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</si>
  <si>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</si>
  <si>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</si>
  <si>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</si>
  <si>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</si>
  <si>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</si>
  <si>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</si>
  <si>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</si>
  <si>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</si>
  <si>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</si>
  <si>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</si>
  <si>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</si>
  <si>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</si>
  <si>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</si>
  <si>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</si>
  <si>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</si>
  <si>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</si>
  <si>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</si>
  <si>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</si>
  <si>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</si>
  <si>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</si>
  <si>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</si>
  <si>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</si>
  <si>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</si>
  <si>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</si>
  <si>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</si>
  <si>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</si>
  <si>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</si>
  <si>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</si>
  <si>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</si>
  <si>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</si>
  <si>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</si>
  <si>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</si>
  <si>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</si>
  <si>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</si>
  <si>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</si>
  <si>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</si>
  <si>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</si>
  <si>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</si>
  <si>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</si>
  <si>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</si>
  <si>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</si>
  <si>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</si>
  <si>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</si>
  <si>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</si>
  <si>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</si>
  <si>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</si>
  <si>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</si>
  <si>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</si>
  <si>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</si>
  <si>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</si>
  <si>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</si>
  <si>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</si>
  <si>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</si>
  <si>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</si>
  <si>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</si>
  <si>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</si>
  <si>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</si>
  <si>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</si>
  <si>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</si>
  <si>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</si>
  <si>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</si>
  <si>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</si>
  <si>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</si>
  <si>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</si>
  <si>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</si>
  <si>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</si>
  <si>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</si>
  <si>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</si>
  <si>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</si>
  <si>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</si>
  <si>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</si>
  <si>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</si>
  <si>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</si>
  <si>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</si>
  <si>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</si>
  <si>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</si>
  <si>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</si>
  <si>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</si>
  <si>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</si>
  <si>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</si>
  <si>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</si>
  <si>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</si>
  <si>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</si>
  <si>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</si>
  <si>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</si>
  <si>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</si>
  <si>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</si>
  <si>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</si>
  <si>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</si>
  <si>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</si>
  <si>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</si>
  <si>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</si>
  <si>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</si>
  <si>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</si>
  <si>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</si>
  <si>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</si>
  <si>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</si>
  <si>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</si>
  <si>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</si>
  <si>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</si>
  <si>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</si>
  <si>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</si>
  <si>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</si>
  <si>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</si>
  <si>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</si>
  <si>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</si>
  <si>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</si>
  <si>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</si>
  <si>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</si>
  <si>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</si>
  <si>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</si>
  <si>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</si>
  <si>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</si>
  <si>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</si>
  <si>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</si>
  <si>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</si>
  <si>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</si>
  <si>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</si>
  <si>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</si>
  <si>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</si>
  <si>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</si>
  <si>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</si>
  <si>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</si>
  <si>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</si>
  <si>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</si>
  <si>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</si>
  <si>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</si>
  <si>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</si>
  <si>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</si>
  <si>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</si>
  <si>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</si>
  <si>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</si>
  <si>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</si>
  <si>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</si>
  <si>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</si>
  <si>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</si>
  <si>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</si>
  <si>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</si>
  <si>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</si>
  <si>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</si>
  <si>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</si>
  <si>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</si>
  <si>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</si>
  <si>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</si>
  <si>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</si>
  <si>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</si>
  <si>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</si>
  <si>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</si>
  <si>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</si>
  <si>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</si>
  <si>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</si>
  <si>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</si>
  <si>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</si>
  <si>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</si>
  <si>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</si>
  <si>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</si>
  <si>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</si>
  <si>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</si>
  <si>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</si>
  <si>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</si>
  <si>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</si>
  <si>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</si>
  <si>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</si>
  <si>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</si>
  <si>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</si>
  <si>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</si>
  <si>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</si>
  <si>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</si>
  <si>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</si>
  <si>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</si>
  <si>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</si>
  <si>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</si>
  <si>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</si>
  <si>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</si>
  <si>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</si>
  <si>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</si>
  <si>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</si>
  <si>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</si>
  <si>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</si>
  <si>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</si>
  <si>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</si>
  <si>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</si>
  <si>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</si>
  <si>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</si>
  <si>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</si>
  <si>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</si>
  <si>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</si>
  <si>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</si>
  <si>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</si>
  <si>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</si>
  <si>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</si>
  <si>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</si>
  <si>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</si>
  <si>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</si>
  <si>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</si>
  <si>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</si>
  <si>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</si>
  <si>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</si>
  <si>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</si>
  <si>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</si>
  <si>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</si>
  <si>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</si>
  <si>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</si>
  <si>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</si>
  <si>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</si>
  <si>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</si>
  <si>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</si>
  <si>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</si>
  <si>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</si>
  <si>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</si>
  <si>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</si>
  <si>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</si>
  <si>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</si>
  <si>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</si>
  <si>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</si>
  <si>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</si>
  <si>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</si>
  <si>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</si>
  <si>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</si>
  <si>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</si>
  <si>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</si>
  <si>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</si>
  <si>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</si>
  <si>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</si>
  <si>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</si>
  <si>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</si>
  <si>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</si>
  <si>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</si>
  <si>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</si>
  <si>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</si>
  <si>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</si>
  <si>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</si>
  <si>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</si>
  <si>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</si>
  <si>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</si>
  <si>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</si>
  <si>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</si>
  <si>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</si>
  <si>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</si>
  <si>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</si>
  <si>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</si>
  <si>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</si>
  <si>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</si>
  <si>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</si>
  <si>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</si>
  <si>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</si>
  <si>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</si>
  <si>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</si>
  <si>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</si>
  <si>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</si>
  <si>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</si>
  <si>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</si>
  <si>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</si>
  <si>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</si>
  <si>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</si>
  <si>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</si>
  <si>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</si>
  <si>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</si>
  <si>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</si>
  <si>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</si>
  <si>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</si>
  <si>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</si>
  <si>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</si>
  <si>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</si>
  <si>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</si>
  <si>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</si>
  <si>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</si>
  <si>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</si>
  <si>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</si>
  <si>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</si>
  <si>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</si>
  <si>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</si>
  <si>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</si>
  <si>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</si>
  <si>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</si>
  <si>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</si>
  <si>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</si>
  <si>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</si>
  <si>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</si>
  <si>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</si>
  <si>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</si>
  <si>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</si>
  <si>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</si>
  <si>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</si>
  <si>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</si>
  <si>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</si>
  <si>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</si>
  <si>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</si>
  <si>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</si>
  <si>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</si>
  <si>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</si>
  <si>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</si>
  <si>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</si>
  <si>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</si>
  <si>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</si>
  <si>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</si>
  <si>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</si>
  <si>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</si>
  <si>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</si>
  <si>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</si>
  <si>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</si>
  <si>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</si>
  <si>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</si>
  <si>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</si>
  <si>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</si>
  <si>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</si>
  <si>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</si>
  <si>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</si>
  <si>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</si>
  <si>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</si>
  <si>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</si>
  <si>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</si>
  <si>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</si>
  <si>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</si>
  <si>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</si>
  <si>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</si>
  <si>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</si>
  <si>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</si>
  <si>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</si>
  <si>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</si>
  <si>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</si>
  <si>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</si>
  <si>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</si>
  <si>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</si>
  <si>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</si>
  <si>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</si>
  <si>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</si>
  <si>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</si>
  <si>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</si>
  <si>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</si>
  <si>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</si>
  <si>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</si>
  <si>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</si>
  <si>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</si>
  <si>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</si>
  <si>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</si>
  <si>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</si>
  <si>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</si>
  <si>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</si>
  <si>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</si>
  <si>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</si>
  <si>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</si>
  <si>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</si>
  <si>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</si>
  <si>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</si>
  <si>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</si>
  <si>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</si>
  <si>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</si>
  <si>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</si>
  <si>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</si>
  <si>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</si>
  <si>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</si>
  <si>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</si>
  <si>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</si>
  <si>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</si>
  <si>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</si>
  <si>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</si>
  <si>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</si>
  <si>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</si>
  <si>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</si>
  <si>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</si>
  <si>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</si>
  <si>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</si>
  <si>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</si>
  <si>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</si>
  <si>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</si>
  <si>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</si>
  <si>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</si>
  <si>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</si>
  <si>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</si>
  <si>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</si>
  <si>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</si>
  <si>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</si>
  <si>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</si>
  <si>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</si>
  <si>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</si>
  <si>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</si>
  <si>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</si>
  <si>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</si>
  <si>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</si>
  <si>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</si>
  <si>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</si>
  <si>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</si>
  <si>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</si>
  <si>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</si>
  <si>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</si>
  <si>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</si>
  <si>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</si>
  <si>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</si>
  <si>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</si>
  <si>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</si>
  <si>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</si>
  <si>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</si>
  <si>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</si>
  <si>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</si>
  <si>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</si>
  <si>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</si>
  <si>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</si>
  <si>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</si>
  <si>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</si>
  <si>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</si>
  <si>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</si>
  <si>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</si>
  <si>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</si>
  <si>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</si>
  <si>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</si>
  <si>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</si>
  <si>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</si>
  <si>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</si>
  <si>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</si>
  <si>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</si>
  <si>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</si>
  <si>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</si>
  <si>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</si>
  <si>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</si>
  <si>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</si>
  <si>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</si>
  <si>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</si>
  <si>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</si>
  <si>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</si>
  <si>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</si>
  <si>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</si>
  <si>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</si>
  <si>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</si>
  <si>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</si>
  <si>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</si>
  <si>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</si>
  <si>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</si>
  <si>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</si>
  <si>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</si>
  <si>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</si>
  <si>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</si>
  <si>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</si>
  <si>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</si>
  <si>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</si>
  <si>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</si>
  <si>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</si>
  <si>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</si>
  <si>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</si>
  <si>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</si>
  <si>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</si>
  <si>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</si>
  <si>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</si>
  <si>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</si>
  <si>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</si>
  <si>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</si>
  <si>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</si>
  <si>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</si>
  <si>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</si>
  <si>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</si>
  <si>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</si>
  <si>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</si>
  <si>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</si>
  <si>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</si>
  <si>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</si>
  <si>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</si>
  <si>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</si>
  <si>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</si>
  <si>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</si>
  <si>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</si>
  <si>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</si>
  <si>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</si>
  <si>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</si>
  <si>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</si>
  <si>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</si>
  <si>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</si>
  <si>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</si>
  <si>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</si>
  <si>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</si>
  <si>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</si>
  <si>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</si>
  <si>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</si>
  <si>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</si>
  <si>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</si>
  <si>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</si>
  <si>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</si>
  <si>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</si>
  <si>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</si>
  <si>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</si>
  <si>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</si>
  <si>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</si>
  <si>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</si>
  <si>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</si>
  <si>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</si>
  <si>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</si>
  <si>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</si>
  <si>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</si>
  <si>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</si>
  <si>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</si>
  <si>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</si>
  <si>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</si>
  <si>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</si>
  <si>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</si>
  <si>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</si>
  <si>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</si>
  <si>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</si>
  <si>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</si>
  <si>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</si>
  <si>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</si>
  <si>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</si>
  <si>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</si>
  <si>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</si>
  <si>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</si>
  <si>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</si>
  <si>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</si>
  <si>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</si>
  <si>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</si>
  <si>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</si>
  <si>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</si>
  <si>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</si>
  <si>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</si>
  <si>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</si>
  <si>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</si>
  <si>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</si>
  <si>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</si>
  <si>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</si>
  <si>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</si>
  <si>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</si>
  <si>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</si>
  <si>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</si>
  <si>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</si>
  <si>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</si>
  <si>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</si>
  <si>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</si>
  <si>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</si>
  <si>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</si>
  <si>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</si>
  <si>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</si>
  <si>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</si>
  <si>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</si>
  <si>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</si>
  <si>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</si>
  <si>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</si>
  <si>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</si>
  <si>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</si>
  <si>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</si>
  <si>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</si>
  <si>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</si>
  <si>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</si>
  <si>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</si>
  <si>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</si>
  <si>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</si>
  <si>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</si>
  <si>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</si>
  <si>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</si>
  <si>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</si>
  <si>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</si>
  <si>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</si>
  <si>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</si>
  <si>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</si>
  <si>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</si>
  <si>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</si>
  <si>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</si>
  <si>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</si>
  <si>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</si>
  <si>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</si>
  <si>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</si>
  <si>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</si>
  <si>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</si>
  <si>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</si>
  <si>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</si>
  <si>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</si>
  <si>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</si>
  <si>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</si>
  <si>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</si>
  <si>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</si>
  <si>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</si>
  <si>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</si>
  <si>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</si>
  <si>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</si>
  <si>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</si>
  <si>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</si>
  <si>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</si>
  <si>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</si>
  <si>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</si>
  <si>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</si>
  <si>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</si>
  <si>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</si>
  <si>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</si>
  <si>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</si>
  <si>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</si>
  <si>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</si>
  <si>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</si>
  <si>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</si>
  <si>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</si>
  <si>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</si>
  <si>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</si>
  <si>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</si>
  <si>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</si>
  <si>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</si>
  <si>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</si>
  <si>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</si>
  <si>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</si>
  <si>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</si>
  <si>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</si>
  <si>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</si>
  <si>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</si>
  <si>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</si>
  <si>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</si>
  <si>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</si>
  <si>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</si>
  <si>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</si>
  <si>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</si>
  <si>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</si>
  <si>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</si>
  <si>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</si>
  <si>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</si>
  <si>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</si>
  <si>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</si>
  <si>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</si>
  <si>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</si>
  <si>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</si>
  <si>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</si>
  <si>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</si>
  <si>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</si>
  <si>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</si>
  <si>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</si>
  <si>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</si>
  <si>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</si>
  <si>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</si>
  <si>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</si>
  <si>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</si>
  <si>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</si>
  <si>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</si>
  <si>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</si>
  <si>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</si>
  <si>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</si>
  <si>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</si>
  <si>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</si>
  <si>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</si>
  <si>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</si>
  <si>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</si>
  <si>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</si>
  <si>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</si>
  <si>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</si>
  <si>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</si>
  <si>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</si>
  <si>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</si>
  <si>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</si>
  <si>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</si>
  <si>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</si>
  <si>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</si>
  <si>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</si>
  <si>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</si>
  <si>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</si>
  <si>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</si>
  <si>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</si>
  <si>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</si>
  <si>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</si>
  <si>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</si>
  <si>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</si>
  <si>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</si>
  <si>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</si>
  <si>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</si>
  <si>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</si>
  <si>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</si>
  <si>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</si>
  <si>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</si>
  <si>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</si>
  <si>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</si>
  <si>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</si>
  <si>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</si>
  <si>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</si>
  <si>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</si>
  <si>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</si>
  <si>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</si>
  <si>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</si>
  <si>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</si>
  <si>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</si>
  <si>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</si>
  <si>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</si>
  <si>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</si>
  <si>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</si>
  <si>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</si>
  <si>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</si>
  <si>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</si>
  <si>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</si>
  <si>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</si>
  <si>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</si>
  <si>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</si>
  <si>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</si>
  <si>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</si>
  <si>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</si>
  <si>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</si>
  <si>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</si>
  <si>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</si>
  <si>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</si>
  <si>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</si>
  <si>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</si>
  <si>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</si>
  <si>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</si>
  <si>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</si>
  <si>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</si>
  <si>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</si>
  <si>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</si>
  <si>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</si>
  <si>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</si>
  <si>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</si>
  <si>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</si>
  <si>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</si>
  <si>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</si>
  <si>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</si>
  <si>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</si>
  <si>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</si>
  <si>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</si>
  <si>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</si>
  <si>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</si>
  <si>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</si>
  <si>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</si>
  <si>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</si>
  <si>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</si>
  <si>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</si>
  <si>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</si>
  <si>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</si>
  <si>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</si>
  <si>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</si>
  <si>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</si>
  <si>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</si>
  <si>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</si>
  <si>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</si>
  <si>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</si>
  <si>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</si>
  <si>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</si>
  <si>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</si>
  <si>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</si>
  <si>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</si>
  <si>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</si>
  <si>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</si>
  <si>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</si>
  <si>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</si>
  <si>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</si>
  <si>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</si>
  <si>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</si>
  <si>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</si>
  <si>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</si>
  <si>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</si>
  <si>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</si>
  <si>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</si>
  <si>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</si>
  <si>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</si>
  <si>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</si>
  <si>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</si>
  <si>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</si>
  <si>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</si>
  <si>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</si>
  <si>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</si>
  <si>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</si>
  <si>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</si>
  <si>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</si>
  <si>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</si>
  <si>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</si>
  <si>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</si>
  <si>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</si>
  <si>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</si>
  <si>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</si>
  <si>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</si>
  <si>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</si>
  <si>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</si>
  <si>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</si>
  <si>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</si>
  <si>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</si>
  <si>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</si>
  <si>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</si>
  <si>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</si>
  <si>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</si>
  <si>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</si>
  <si>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</si>
  <si>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</si>
  <si>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</si>
  <si>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</si>
  <si>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</si>
  <si>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</si>
  <si>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</si>
  <si>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</si>
  <si>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</si>
  <si>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</si>
  <si>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</si>
  <si>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</si>
  <si>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</si>
  <si>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</si>
  <si>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</si>
  <si>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</si>
  <si>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</si>
  <si>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</si>
  <si>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</si>
  <si>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</si>
  <si>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</si>
  <si>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</si>
  <si>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</si>
  <si>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</si>
  <si>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</si>
  <si>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</si>
  <si>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</si>
  <si>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</si>
  <si>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</si>
  <si>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</si>
  <si>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</si>
  <si>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</si>
  <si>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</si>
  <si>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</si>
  <si>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</si>
  <si>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</si>
  <si>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</si>
  <si>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</si>
  <si>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</si>
  <si>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</si>
  <si>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</si>
  <si>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</si>
  <si>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</si>
  <si>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</si>
  <si>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</si>
  <si>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</si>
  <si>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</si>
  <si>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</si>
  <si>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</si>
  <si>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</si>
  <si>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</si>
  <si>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</si>
  <si>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</si>
  <si>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</si>
  <si>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</si>
  <si>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</si>
  <si>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</si>
  <si>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</si>
  <si>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</si>
  <si>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</si>
  <si>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</si>
  <si>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</si>
  <si>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</si>
  <si>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</si>
  <si>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</si>
  <si>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</si>
  <si>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</si>
  <si>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</si>
  <si>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</si>
  <si>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</si>
  <si>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</si>
  <si>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</si>
  <si>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</si>
  <si>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</si>
  <si>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</si>
  <si>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</si>
  <si>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</si>
  <si>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</si>
  <si>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</si>
  <si>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</si>
  <si>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</si>
  <si>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</si>
  <si>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</si>
  <si>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</si>
  <si>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</si>
  <si>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</si>
  <si>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</si>
  <si>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</si>
  <si>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</si>
  <si>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</si>
  <si>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</si>
  <si>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</si>
  <si>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</si>
  <si>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</si>
  <si>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</si>
  <si>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</si>
  <si>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</si>
  <si>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</si>
  <si>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</si>
  <si>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</si>
  <si>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</si>
  <si>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</si>
  <si>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</si>
  <si>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</si>
  <si>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</si>
  <si>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</si>
  <si>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</si>
  <si>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</si>
  <si>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</si>
  <si>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</si>
  <si>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</si>
  <si>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</si>
  <si>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</si>
  <si>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</si>
  <si>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</si>
  <si>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</si>
  <si>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</si>
  <si>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</si>
  <si>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</si>
  <si>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</si>
  <si>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</si>
  <si>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</si>
  <si>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</si>
  <si>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</si>
  <si>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</si>
  <si>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</si>
  <si>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</si>
  <si>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</si>
  <si>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</si>
  <si>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</si>
  <si>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</si>
  <si>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</si>
  <si>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</si>
  <si>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</si>
  <si>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</si>
  <si>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</si>
  <si>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</si>
  <si>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</si>
  <si>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</si>
  <si>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</si>
  <si>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</si>
  <si>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</si>
  <si>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</si>
  <si>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</si>
  <si>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</si>
  <si>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</si>
  <si>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</si>
  <si>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</si>
  <si>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</si>
  <si>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</si>
  <si>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</si>
  <si>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</si>
  <si>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</si>
  <si>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</si>
  <si>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</si>
  <si>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</si>
  <si>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</si>
  <si>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</si>
  <si>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</si>
  <si>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</si>
  <si>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</si>
  <si>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</si>
  <si>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</si>
  <si>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</si>
  <si>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</si>
  <si>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</si>
  <si>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</si>
  <si>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</si>
  <si>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</si>
  <si>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</si>
  <si>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</si>
  <si>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</si>
  <si>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</si>
  <si>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</si>
  <si>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</si>
  <si>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</si>
  <si>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</si>
  <si>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</si>
  <si>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</si>
  <si>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</si>
  <si>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</si>
  <si>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</si>
  <si>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</si>
  <si>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</si>
  <si>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</si>
  <si>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</si>
  <si>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</si>
  <si>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</si>
  <si>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</si>
  <si>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</si>
  <si>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</si>
  <si>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</si>
  <si>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</si>
  <si>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</si>
  <si>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</si>
  <si>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</si>
  <si>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</si>
  <si>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</si>
  <si>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</si>
  <si>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</si>
  <si>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</si>
  <si>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</si>
  <si>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</si>
  <si>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</si>
  <si>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</si>
  <si>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</si>
  <si>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</si>
  <si>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</si>
  <si>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</si>
  <si>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</si>
  <si>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</si>
  <si>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</si>
  <si>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</si>
  <si>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</si>
  <si>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</si>
  <si>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</si>
  <si>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</si>
  <si>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</si>
  <si>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</si>
  <si>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</si>
  <si>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</si>
  <si>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</si>
  <si>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</si>
  <si>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</si>
  <si>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</si>
  <si>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</si>
  <si>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</si>
  <si>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</si>
  <si>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</si>
  <si>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</si>
  <si>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</si>
  <si>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</si>
  <si>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</si>
  <si>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</si>
  <si>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</si>
  <si>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</si>
  <si>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</si>
  <si>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</si>
  <si>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</si>
  <si>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</si>
  <si>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</si>
  <si>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</si>
  <si>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</si>
  <si>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</si>
  <si>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</si>
  <si>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</si>
  <si>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</si>
  <si>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</si>
  <si>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</si>
  <si>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</si>
  <si>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</si>
  <si>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</si>
  <si>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</si>
  <si>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</si>
  <si>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</si>
  <si>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</si>
  <si>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</si>
  <si>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</si>
  <si>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</si>
  <si>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</si>
  <si>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</si>
  <si>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</si>
  <si>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</si>
  <si>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</si>
  <si>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</si>
  <si>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</si>
  <si>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</si>
  <si>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</si>
  <si>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</si>
  <si>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</si>
  <si>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</si>
  <si>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</si>
  <si>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</si>
  <si>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</si>
  <si>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</si>
  <si>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</si>
  <si>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</si>
  <si>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</si>
  <si>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</si>
  <si>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</si>
  <si>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</si>
  <si>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</si>
  <si>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</si>
  <si>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</si>
  <si>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</si>
  <si>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</si>
  <si>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</si>
  <si>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</si>
  <si>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</si>
  <si>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</si>
  <si>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</si>
  <si>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</si>
  <si>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</si>
  <si>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</si>
  <si>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</si>
  <si>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</si>
  <si>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</si>
  <si>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</si>
  <si>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</si>
  <si>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</si>
  <si>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</si>
  <si>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</si>
  <si>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</si>
  <si>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</si>
  <si>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</si>
  <si>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</si>
  <si>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</si>
  <si>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</si>
  <si>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</si>
  <si>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</si>
  <si>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</si>
  <si>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</si>
  <si>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</si>
  <si>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</si>
  <si>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</si>
  <si>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</si>
  <si>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</si>
  <si>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</si>
  <si>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</si>
  <si>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</si>
  <si>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</si>
  <si>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</si>
  <si>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</si>
  <si>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</si>
  <si>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</si>
  <si>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</si>
  <si>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</si>
  <si>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</si>
  <si>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</si>
  <si>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</si>
  <si>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</si>
  <si>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</si>
  <si>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</si>
  <si>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</si>
  <si>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</si>
  <si>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</si>
  <si>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</si>
  <si>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</si>
  <si>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</si>
  <si>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</si>
  <si>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</si>
  <si>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</si>
  <si>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</si>
  <si>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</si>
  <si>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</si>
  <si>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</si>
  <si>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</si>
  <si>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</si>
  <si>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</si>
  <si>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</si>
  <si>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</si>
  <si>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</si>
  <si>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</si>
  <si>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</si>
  <si>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</si>
  <si>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</si>
  <si>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</si>
  <si>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</si>
  <si>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</si>
  <si>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</si>
  <si>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</si>
  <si>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</si>
  <si>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</si>
  <si>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</si>
  <si>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</si>
  <si>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</si>
  <si>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</si>
  <si>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</si>
  <si>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</si>
  <si>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</si>
  <si>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</si>
  <si>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</si>
  <si>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</si>
  <si>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</si>
  <si>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</si>
  <si>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</si>
  <si>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</si>
  <si>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</si>
  <si>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</si>
  <si>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</si>
  <si>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</si>
  <si>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</si>
  <si>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</si>
  <si>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</si>
  <si>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</si>
  <si>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</si>
  <si>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</si>
  <si>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</si>
  <si>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</si>
  <si>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</si>
  <si>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</si>
  <si>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</si>
  <si>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</si>
  <si>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</si>
  <si>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</si>
  <si>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</si>
  <si>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</si>
  <si>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</si>
  <si>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</si>
  <si>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</si>
  <si>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</si>
  <si>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</si>
  <si>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</si>
  <si>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</si>
  <si>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</si>
  <si>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</si>
  <si>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</si>
  <si>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</si>
  <si>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</si>
  <si>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</si>
  <si>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</si>
  <si>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</si>
  <si>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</si>
  <si>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</si>
  <si>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</si>
  <si>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</si>
  <si>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</si>
  <si>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</si>
  <si>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</si>
  <si>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</si>
  <si>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</si>
  <si>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</si>
  <si>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</si>
  <si>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</si>
  <si>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</si>
  <si>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</si>
  <si>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</si>
  <si>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</si>
  <si>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</si>
  <si>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</si>
  <si>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</si>
  <si>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</si>
  <si>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</si>
  <si>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</si>
  <si>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</si>
  <si>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</si>
  <si>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</si>
  <si>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</si>
  <si>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</si>
  <si>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</si>
  <si>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</si>
  <si>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</si>
  <si>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</si>
  <si>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</si>
  <si>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</si>
  <si>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</si>
  <si>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</si>
  <si>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</si>
  <si>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</si>
  <si>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</si>
  <si>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</si>
  <si>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</si>
  <si>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</si>
  <si>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</si>
  <si>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</si>
  <si>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</si>
  <si>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</si>
  <si>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</si>
  <si>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</si>
  <si>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</si>
  <si>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</si>
  <si>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</si>
  <si>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</si>
  <si>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</si>
  <si>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</si>
  <si>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</si>
  <si>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</si>
  <si>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</si>
  <si>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</si>
  <si>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</si>
  <si>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</si>
  <si>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</si>
  <si>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</si>
  <si>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</si>
  <si>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</si>
  <si>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</si>
  <si>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</si>
  <si>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</si>
  <si>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</si>
  <si>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</si>
  <si>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</si>
  <si>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</si>
  <si>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</si>
  <si>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</si>
  <si>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</si>
  <si>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</si>
  <si>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</si>
  <si>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</si>
  <si>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</si>
  <si>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</si>
  <si>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</si>
  <si>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</si>
  <si>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</si>
  <si>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</si>
  <si>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</si>
  <si>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</si>
  <si>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</si>
  <si>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</si>
  <si>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</si>
  <si>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</si>
  <si>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</si>
  <si>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</si>
  <si>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</si>
  <si>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</si>
  <si>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</si>
  <si>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</si>
  <si>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</si>
  <si>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</si>
  <si>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</si>
  <si>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</si>
  <si>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</si>
  <si>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</si>
  <si>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</si>
  <si>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</si>
  <si>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</si>
  <si>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</si>
  <si>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</si>
  <si>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</si>
  <si>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</si>
  <si>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</si>
  <si>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</si>
  <si>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</si>
  <si>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</si>
  <si>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</si>
  <si>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</si>
  <si>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</si>
  <si>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</si>
  <si>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</si>
  <si>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</si>
  <si>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</si>
  <si>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</si>
  <si>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</si>
  <si>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</si>
  <si>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</si>
  <si>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</si>
  <si>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</si>
  <si>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</si>
  <si>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</si>
  <si>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</si>
  <si>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</si>
  <si>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</si>
  <si>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</si>
  <si>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</si>
  <si>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</si>
  <si>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</si>
  <si>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</si>
  <si>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</si>
  <si>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</si>
  <si>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</si>
  <si>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</si>
  <si>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</si>
  <si>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</si>
  <si>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</si>
  <si>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</si>
  <si>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</si>
  <si>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</si>
  <si>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</si>
  <si>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</si>
  <si>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</si>
  <si>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</si>
  <si>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</si>
  <si>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</si>
  <si>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</si>
  <si>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</si>
  <si>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</si>
  <si>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</si>
  <si>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</si>
  <si>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</si>
  <si>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</si>
  <si>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</si>
  <si>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</si>
  <si>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</si>
  <si>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</si>
  <si>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</si>
  <si>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</si>
  <si>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</si>
  <si>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</si>
  <si>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</si>
  <si>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</si>
  <si>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</si>
  <si>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</si>
  <si>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</si>
  <si>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</si>
  <si>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</si>
  <si>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</si>
  <si>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</si>
  <si>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</si>
  <si>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</si>
  <si>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</si>
  <si>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</si>
  <si>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</si>
  <si>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</si>
  <si>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</si>
  <si>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</si>
  <si>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</si>
  <si>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</si>
  <si>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</si>
  <si>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</si>
  <si>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</si>
  <si>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</si>
  <si>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</si>
  <si>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</si>
  <si>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</si>
  <si>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</si>
  <si>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</si>
  <si>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</si>
  <si>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</si>
  <si>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</si>
  <si>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</si>
  <si>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</si>
  <si>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</si>
  <si>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</si>
  <si>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</si>
  <si>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</si>
  <si>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</si>
  <si>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</si>
  <si>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</si>
  <si>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</si>
  <si>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</si>
  <si>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</si>
  <si>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</si>
  <si>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</si>
  <si>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</si>
  <si>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</si>
  <si>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</si>
  <si>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</si>
  <si>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</si>
  <si>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</si>
  <si>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</si>
  <si>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</si>
  <si>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</si>
  <si>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</si>
  <si>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</si>
  <si>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</si>
  <si>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</si>
  <si>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</si>
  <si>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</si>
  <si>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</si>
  <si>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</si>
  <si>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</si>
  <si>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</si>
  <si>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</si>
  <si>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</si>
  <si>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</si>
  <si>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</si>
  <si>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</si>
  <si>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</si>
  <si>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</si>
  <si>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</si>
  <si>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</si>
  <si>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</si>
  <si>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</si>
  <si>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</si>
  <si>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</si>
  <si>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</si>
  <si>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</si>
  <si>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</si>
  <si>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</si>
  <si>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</si>
  <si>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</si>
  <si>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</si>
  <si>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</si>
  <si>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</si>
  <si>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</si>
  <si>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</si>
  <si>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</si>
  <si>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</si>
  <si>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</si>
  <si>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</si>
  <si>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</si>
  <si>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</si>
  <si>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</si>
  <si>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</si>
  <si>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</si>
  <si>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</si>
  <si>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</si>
  <si>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</si>
  <si>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</si>
  <si>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</si>
  <si>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</si>
  <si>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</si>
  <si>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</si>
  <si>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</si>
  <si>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</si>
  <si>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</si>
  <si>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</si>
  <si>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</si>
  <si>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</si>
  <si>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</si>
  <si>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</si>
  <si>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</si>
  <si>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</si>
  <si>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</si>
  <si>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</si>
  <si>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</si>
  <si>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</si>
  <si>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</si>
  <si>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</si>
  <si>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</si>
  <si>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</si>
  <si>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</si>
  <si>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</si>
  <si>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</si>
  <si>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</si>
  <si>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</si>
  <si>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</si>
  <si>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</si>
  <si>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</si>
  <si>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</si>
  <si>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</si>
  <si>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</si>
  <si>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</si>
  <si>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</si>
  <si>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</si>
  <si>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</si>
  <si>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</si>
  <si>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</si>
  <si>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</si>
  <si>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</si>
  <si>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</si>
  <si>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</si>
  <si>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</si>
  <si>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</si>
  <si>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</si>
  <si>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</si>
  <si>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</si>
  <si>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</si>
  <si>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</si>
  <si>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</si>
  <si>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</si>
  <si>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</si>
  <si>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</si>
  <si>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</si>
  <si>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</si>
  <si>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</si>
  <si>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</si>
  <si>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</si>
  <si>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</si>
  <si>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</si>
  <si>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</si>
  <si>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</si>
  <si>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</si>
  <si>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</si>
  <si>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</si>
  <si>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</si>
  <si>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</si>
  <si>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</si>
  <si>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</si>
  <si>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</si>
  <si>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</si>
  <si>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</si>
  <si>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</si>
  <si>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</si>
  <si>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</si>
  <si>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</si>
  <si>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</si>
  <si>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</si>
  <si>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</si>
  <si>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</si>
  <si>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</si>
  <si>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</si>
  <si>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</si>
  <si>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</si>
  <si>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</si>
  <si>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</si>
  <si>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</si>
  <si>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</si>
  <si>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</si>
  <si>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</si>
  <si>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</si>
  <si>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</si>
  <si>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</si>
  <si>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</si>
  <si>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</si>
  <si>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</si>
  <si>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</si>
  <si>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</si>
  <si>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</si>
  <si>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</si>
  <si>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</si>
  <si>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</si>
  <si>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</si>
  <si>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</si>
  <si>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</si>
  <si>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</si>
  <si>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</si>
  <si>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</si>
  <si>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</si>
  <si>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</si>
  <si>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</si>
  <si>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</si>
  <si>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</si>
  <si>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</si>
  <si>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</si>
  <si>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</si>
  <si>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</si>
  <si>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</si>
  <si>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</si>
  <si>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</si>
  <si>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</si>
  <si>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</si>
  <si>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</si>
  <si>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</si>
  <si>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</si>
  <si>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</si>
  <si>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</si>
  <si>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</si>
  <si>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</si>
  <si>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</si>
  <si>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</si>
  <si>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</si>
  <si>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</si>
  <si>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</si>
  <si>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</si>
  <si>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</si>
  <si>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</si>
  <si>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</si>
  <si>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</si>
  <si>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</si>
  <si>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</si>
  <si>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</si>
  <si>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</si>
  <si>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</si>
  <si>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</si>
  <si>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</si>
  <si>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</si>
  <si>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</si>
  <si>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</si>
  <si>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</si>
  <si>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</si>
  <si>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</si>
  <si>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</si>
  <si>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</si>
  <si>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</si>
  <si>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</si>
  <si>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</si>
  <si>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</si>
  <si>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</si>
  <si>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</si>
  <si>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</si>
  <si>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</si>
  <si>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</si>
  <si>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</si>
  <si>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</si>
  <si>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</si>
  <si>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</si>
  <si>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</si>
  <si>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</si>
  <si>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</si>
  <si>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</si>
  <si>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</si>
  <si>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</si>
  <si>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</si>
  <si>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</si>
  <si>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</si>
  <si>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</si>
  <si>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</si>
  <si>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</si>
  <si>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</si>
  <si>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</si>
  <si>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</si>
  <si>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</si>
  <si>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</si>
  <si>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</si>
  <si>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</si>
  <si>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</si>
  <si>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</si>
  <si>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</si>
  <si>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</si>
  <si>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</si>
  <si>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</si>
  <si>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</si>
  <si>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</si>
  <si>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</si>
  <si>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</si>
  <si>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</si>
  <si>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</si>
  <si>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</si>
  <si>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</si>
  <si>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</si>
  <si>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</si>
  <si>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</si>
  <si>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</si>
  <si>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</si>
  <si>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</si>
  <si>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</si>
  <si>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</si>
  <si>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</si>
  <si>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</si>
  <si>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</si>
  <si>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</si>
  <si>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</si>
  <si>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</si>
  <si>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</si>
  <si>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</si>
  <si>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</si>
  <si>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</si>
  <si>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</si>
  <si>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</si>
  <si>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</si>
  <si>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</si>
  <si>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</si>
  <si>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</si>
  <si>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</si>
  <si>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</si>
  <si>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</si>
  <si>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</si>
  <si>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</si>
  <si>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</si>
  <si>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</si>
  <si>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</si>
  <si>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</si>
  <si>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</si>
  <si>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</si>
  <si>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</si>
  <si>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</si>
  <si>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</si>
  <si>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</si>
  <si>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</si>
  <si>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</si>
  <si>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</si>
  <si>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</si>
  <si>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</si>
  <si>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</si>
  <si>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</si>
  <si>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</si>
  <si>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</si>
  <si>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</si>
  <si>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</si>
  <si>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</si>
  <si>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</si>
  <si>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</si>
  <si>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</si>
  <si>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</si>
  <si>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</si>
  <si>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</si>
  <si>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</si>
  <si>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</si>
  <si>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</si>
  <si>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</si>
  <si>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</si>
  <si>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</si>
  <si>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</si>
  <si>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</si>
  <si>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</si>
  <si>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</si>
  <si>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</si>
  <si>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</si>
  <si>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</si>
  <si>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</si>
  <si>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</si>
  <si>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</si>
  <si>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</si>
  <si>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</si>
  <si>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</si>
  <si>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</si>
  <si>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</si>
  <si>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</si>
  <si>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</si>
  <si>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</si>
  <si>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</si>
  <si>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</si>
  <si>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</si>
  <si>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</si>
  <si>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</si>
  <si>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</si>
  <si>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</si>
  <si>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</si>
  <si>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</si>
  <si>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</si>
  <si>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</si>
  <si>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</si>
  <si>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</si>
  <si>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</si>
  <si>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</si>
  <si>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</si>
  <si>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</si>
  <si>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</si>
  <si>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</si>
  <si>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</si>
  <si>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</si>
  <si>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</si>
  <si>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</si>
  <si>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</si>
  <si>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</si>
  <si>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</si>
  <si>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</si>
  <si>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</si>
  <si>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</si>
  <si>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</si>
  <si>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</si>
  <si>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</si>
  <si>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</si>
  <si>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</si>
  <si>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</si>
  <si>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</si>
  <si>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</si>
  <si>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</si>
  <si>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</si>
  <si>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</si>
  <si>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</si>
  <si>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</si>
  <si>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</si>
  <si>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</si>
  <si>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</si>
  <si>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</si>
  <si>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</si>
  <si>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</si>
  <si>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</si>
  <si>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</si>
  <si>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</si>
  <si>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</si>
  <si>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</si>
  <si>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</si>
  <si>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</si>
  <si>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</si>
  <si>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</si>
  <si>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</si>
  <si>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</si>
  <si>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</si>
  <si>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</si>
  <si>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</si>
  <si>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</si>
  <si>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</si>
  <si>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</si>
  <si>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</si>
  <si>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</si>
  <si>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</si>
  <si>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</si>
  <si>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</si>
  <si>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</si>
  <si>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</si>
  <si>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</si>
  <si>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</si>
  <si>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</si>
  <si>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</si>
  <si>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</si>
  <si>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</si>
  <si>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</si>
  <si>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</si>
  <si>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</si>
  <si>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</si>
  <si>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</si>
  <si>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</si>
  <si>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</si>
  <si>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</si>
  <si>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</si>
  <si>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</si>
  <si>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</si>
  <si>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</si>
  <si>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</si>
  <si>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</si>
  <si>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</si>
  <si>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</si>
  <si>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</si>
  <si>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</si>
  <si>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</si>
  <si>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</si>
  <si>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</si>
  <si>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</si>
  <si>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</si>
  <si>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</si>
  <si>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</si>
  <si>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</si>
  <si>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</si>
  <si>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</si>
  <si>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</si>
  <si>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</si>
  <si>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</si>
  <si>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</si>
  <si>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</si>
  <si>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</si>
  <si>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</si>
  <si>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</si>
  <si>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</si>
  <si>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</si>
  <si>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</si>
  <si>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</si>
  <si>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</si>
  <si>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</si>
  <si>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</si>
  <si>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</si>
  <si>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</si>
  <si>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</si>
  <si>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</si>
  <si>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</si>
  <si>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</si>
  <si>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</si>
  <si>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</si>
  <si>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</si>
  <si>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</si>
  <si>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</si>
  <si>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</si>
  <si>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</si>
  <si>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</si>
  <si>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</si>
  <si>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</si>
  <si>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</si>
  <si>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</si>
  <si>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</si>
  <si>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</si>
  <si>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</si>
  <si>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</si>
  <si>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</si>
  <si>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</si>
  <si>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</si>
  <si>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</si>
  <si>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</si>
  <si>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</si>
  <si>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</si>
  <si>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</si>
  <si>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</si>
  <si>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</si>
  <si>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</si>
  <si>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</si>
  <si>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</si>
  <si>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</si>
  <si>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</si>
  <si>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</si>
  <si>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</si>
  <si>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</si>
  <si>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</si>
  <si>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</si>
  <si>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</si>
  <si>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</si>
  <si>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</si>
  <si>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</si>
  <si>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</si>
  <si>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</si>
  <si>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</si>
  <si>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</si>
  <si>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</si>
  <si>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</si>
  <si>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</si>
  <si>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</si>
  <si>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</si>
  <si>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</si>
  <si>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</si>
  <si>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</si>
  <si>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</si>
  <si>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</si>
  <si>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</si>
  <si>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</si>
  <si>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</si>
  <si>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</si>
  <si>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</si>
  <si>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</si>
  <si>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</si>
  <si>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</si>
  <si>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</si>
  <si>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</si>
  <si>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</si>
  <si>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</si>
  <si>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</si>
  <si>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</si>
  <si>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</si>
  <si>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</si>
  <si>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</si>
  <si>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</si>
  <si>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</si>
  <si>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</si>
  <si>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</si>
  <si>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</si>
  <si>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</si>
  <si>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</si>
  <si>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</si>
  <si>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</si>
  <si>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</si>
  <si>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</si>
  <si>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</si>
  <si>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</si>
  <si>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</si>
  <si>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</si>
  <si>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</si>
  <si>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</si>
  <si>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</si>
  <si>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</si>
  <si>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</si>
  <si>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</si>
  <si>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</si>
  <si>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</si>
  <si>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</si>
  <si>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</si>
  <si>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</si>
  <si>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</si>
  <si>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</si>
  <si>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</si>
  <si>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</si>
  <si>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</si>
  <si>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</si>
  <si>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</si>
  <si>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</si>
  <si>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</si>
  <si>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</si>
  <si>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</si>
  <si>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</si>
  <si>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</si>
  <si>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</si>
  <si>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</si>
  <si>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</si>
  <si>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</si>
  <si>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</si>
  <si>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</si>
  <si>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</si>
  <si>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</si>
  <si>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</si>
  <si>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</si>
  <si>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</si>
  <si>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</si>
  <si>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</si>
  <si>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</si>
  <si>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</si>
  <si>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</si>
  <si>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</si>
  <si>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</si>
  <si>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</si>
  <si>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</si>
  <si>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</si>
  <si>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</si>
  <si>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</si>
  <si>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</si>
  <si>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</si>
  <si>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</si>
  <si>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</si>
  <si>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</si>
  <si>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</si>
  <si>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</si>
  <si>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</si>
  <si>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</si>
  <si>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</si>
  <si>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</si>
  <si>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</si>
  <si>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</si>
  <si>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</si>
  <si>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</si>
  <si>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</si>
  <si>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</si>
  <si>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</si>
  <si>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</si>
  <si>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</si>
  <si>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</si>
  <si>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</si>
  <si>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</si>
  <si>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</si>
  <si>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</si>
  <si>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</si>
  <si>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</si>
  <si>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</si>
  <si>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</si>
  <si>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</si>
  <si>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</si>
  <si>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</si>
  <si>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</si>
  <si>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</si>
  <si>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</si>
  <si>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</si>
  <si>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</si>
  <si>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</si>
  <si>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</si>
  <si>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</si>
  <si>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</si>
  <si>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</si>
  <si>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</si>
  <si>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</si>
  <si>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</si>
  <si>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</si>
  <si>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</si>
  <si>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</si>
  <si>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</si>
  <si>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</si>
  <si>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</si>
  <si>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</si>
  <si>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</si>
  <si>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</si>
  <si>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</si>
  <si>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</si>
  <si>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</si>
  <si>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</si>
  <si>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</si>
  <si>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</si>
  <si>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</si>
  <si>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</si>
  <si>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</si>
  <si>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</si>
  <si>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</si>
  <si>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</si>
  <si>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</si>
  <si>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</si>
  <si>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</si>
  <si>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</si>
  <si>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</si>
  <si>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</si>
  <si>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</si>
  <si>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</si>
  <si>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</si>
  <si>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</si>
  <si>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</si>
  <si>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</si>
  <si>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</si>
  <si>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</si>
  <si>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</si>
  <si>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</si>
  <si>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</si>
  <si>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</si>
  <si>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</si>
  <si>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</si>
  <si>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</si>
  <si>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</si>
  <si>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</si>
  <si>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</si>
  <si>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</si>
  <si>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</si>
  <si>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</si>
  <si>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</si>
  <si>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</si>
  <si>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</si>
  <si>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</si>
  <si>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</si>
  <si>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</si>
  <si>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</si>
  <si>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</si>
  <si>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</si>
  <si>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</si>
  <si>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</si>
  <si>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</si>
  <si>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</si>
  <si>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</si>
  <si>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</si>
  <si>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</si>
  <si>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</si>
  <si>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</si>
  <si>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</si>
  <si>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</si>
  <si>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</si>
  <si>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</si>
  <si>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</si>
  <si>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</si>
  <si>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</si>
  <si>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</si>
  <si>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</si>
  <si>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</si>
  <si>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</si>
  <si>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</si>
  <si>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</si>
  <si>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</si>
  <si>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</si>
  <si>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</si>
  <si>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</si>
  <si>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</si>
  <si>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</si>
  <si>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</si>
  <si>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</si>
  <si>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</si>
  <si>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</si>
  <si>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</si>
  <si>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</si>
  <si>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</si>
  <si>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</si>
  <si>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</si>
  <si>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</si>
  <si>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</si>
  <si>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</si>
  <si>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</si>
  <si>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</si>
  <si>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</si>
  <si>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</si>
  <si>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</si>
  <si>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</si>
  <si>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</si>
  <si>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</si>
  <si>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</si>
  <si>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</si>
  <si>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</si>
  <si>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</si>
  <si>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</si>
  <si>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</si>
  <si>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</si>
  <si>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</si>
  <si>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</si>
  <si>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</si>
  <si>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</si>
  <si>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</si>
  <si>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</si>
  <si>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</si>
  <si>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</si>
  <si>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</si>
  <si>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</si>
  <si>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</si>
  <si>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</si>
  <si>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</si>
  <si>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</si>
  <si>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</si>
  <si>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</si>
  <si>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</si>
  <si>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</si>
  <si>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</si>
  <si>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</si>
  <si>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</si>
  <si>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</si>
  <si>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</si>
  <si>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</si>
  <si>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</si>
  <si>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</si>
  <si>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</si>
  <si>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</si>
  <si>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</si>
  <si>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</si>
  <si>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</si>
  <si>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</si>
  <si>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</si>
  <si>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</si>
  <si>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</si>
  <si>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</si>
  <si>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</si>
  <si>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</si>
  <si>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</si>
  <si>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</si>
  <si>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</si>
  <si>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</si>
  <si>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</si>
  <si>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</si>
  <si>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</si>
  <si>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</si>
  <si>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</si>
  <si>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</si>
  <si>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</si>
  <si>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</si>
  <si>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</si>
  <si>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</si>
  <si>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</si>
  <si>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</si>
  <si>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</si>
  <si>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</si>
  <si>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</si>
  <si>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</si>
  <si>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</si>
  <si>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</si>
  <si>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</si>
  <si>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</si>
  <si>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</si>
  <si>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</si>
  <si>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</si>
  <si>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</si>
  <si>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</si>
  <si>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</si>
  <si>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</si>
  <si>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</si>
  <si>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</si>
  <si>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</si>
  <si>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</si>
  <si>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</si>
  <si>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</si>
  <si>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</si>
  <si>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</si>
  <si>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</si>
  <si>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</si>
  <si>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</si>
  <si>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</si>
  <si>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</si>
  <si>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</si>
  <si>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</si>
  <si>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</si>
  <si>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</si>
  <si>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</si>
  <si>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</si>
  <si>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</si>
  <si>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</si>
  <si>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</si>
  <si>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</si>
  <si>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</si>
  <si>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</si>
  <si>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</si>
  <si>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</si>
  <si>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</si>
  <si>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</si>
  <si>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</si>
  <si>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</si>
  <si>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</si>
  <si>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</si>
  <si>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</si>
  <si>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</si>
  <si>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</si>
  <si>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</si>
  <si>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</si>
  <si>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</si>
  <si>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</si>
  <si>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</si>
  <si>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</si>
  <si>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</si>
  <si>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</si>
  <si>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</si>
  <si>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</si>
  <si>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</si>
  <si>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</si>
  <si>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</si>
  <si>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</si>
  <si>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</si>
  <si>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</si>
  <si>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</si>
  <si>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</si>
  <si>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</si>
  <si>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</si>
  <si>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</si>
  <si>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</si>
  <si>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</si>
  <si>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</si>
  <si>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</si>
  <si>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</si>
  <si>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</si>
  <si>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</si>
  <si>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</si>
  <si>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</si>
  <si>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</si>
  <si>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</si>
  <si>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</si>
  <si>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</si>
  <si>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</si>
  <si>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</si>
  <si>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</si>
  <si>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</si>
  <si>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</si>
  <si>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</si>
  <si>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</si>
  <si>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</si>
  <si>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</si>
  <si>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</si>
  <si>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</si>
  <si>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</si>
  <si>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</si>
  <si>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</si>
  <si>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</si>
  <si>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</si>
  <si>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</si>
  <si>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</si>
  <si>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</si>
  <si>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</si>
  <si>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</si>
  <si>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</si>
  <si>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</si>
  <si>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</si>
  <si>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</si>
  <si>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</si>
  <si>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</si>
  <si>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</si>
  <si>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</si>
  <si>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</si>
  <si>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</si>
  <si>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</si>
  <si>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</si>
  <si>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</si>
  <si>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</si>
  <si>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</si>
  <si>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</si>
  <si>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</si>
  <si>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</si>
  <si>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</si>
  <si>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</si>
  <si>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</si>
  <si>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</si>
  <si>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</si>
  <si>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</si>
  <si>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</si>
  <si>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</si>
  <si>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</si>
  <si>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</si>
  <si>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</si>
  <si>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</si>
  <si>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</si>
  <si>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</si>
  <si>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</si>
  <si>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</si>
  <si>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</si>
  <si>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</si>
  <si>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</si>
  <si>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</si>
  <si>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</si>
  <si>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</si>
  <si>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</si>
  <si>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</si>
  <si>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</si>
  <si>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</si>
  <si>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</si>
  <si>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</si>
  <si>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</si>
  <si>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</si>
  <si>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</si>
  <si>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</si>
  <si>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</si>
  <si>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</si>
  <si>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</si>
  <si>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</si>
  <si>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</si>
  <si>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</si>
  <si>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</si>
  <si>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</si>
  <si>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</si>
  <si>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</si>
  <si>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</si>
  <si>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</si>
  <si>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</si>
  <si>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</si>
  <si>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</si>
  <si>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</si>
  <si>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</si>
  <si>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</si>
  <si>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</si>
  <si>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</si>
  <si>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</si>
  <si>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</si>
  <si>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</si>
  <si>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</si>
  <si>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</si>
  <si>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</si>
  <si>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</si>
  <si>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</si>
  <si>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</si>
  <si>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</si>
  <si>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</si>
  <si>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</si>
  <si>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</si>
  <si>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</si>
  <si>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</si>
  <si>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</si>
  <si>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</si>
  <si>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</si>
  <si>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</si>
  <si>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</si>
  <si>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</si>
  <si>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</si>
  <si>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</si>
  <si>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</si>
  <si>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</si>
  <si>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</si>
  <si>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</si>
  <si>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</si>
  <si>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</si>
  <si>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</si>
  <si>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</si>
  <si>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</si>
  <si>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</si>
  <si>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</si>
  <si>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</si>
  <si>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</si>
  <si>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</si>
  <si>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</si>
  <si>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</si>
  <si>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</si>
  <si>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</si>
  <si>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</si>
  <si>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</si>
  <si>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</si>
  <si>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</si>
  <si>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</si>
  <si>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</si>
  <si>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</si>
  <si>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</si>
  <si>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</si>
  <si>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</si>
  <si>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</si>
  <si>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</si>
  <si>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</si>
  <si>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</si>
  <si>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</si>
  <si>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</si>
  <si>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</si>
  <si>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</si>
  <si>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</si>
  <si>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</si>
  <si>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</si>
  <si>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</si>
  <si>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</si>
  <si>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</si>
  <si>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</si>
  <si>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</si>
  <si>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</si>
  <si>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</si>
  <si>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</si>
  <si>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</si>
  <si>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</si>
  <si>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</si>
  <si>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</si>
  <si>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</si>
  <si>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</si>
  <si>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</si>
  <si>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</si>
  <si>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</si>
  <si>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</si>
  <si>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</si>
  <si>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</si>
  <si>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</si>
  <si>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</si>
  <si>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</si>
  <si>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</si>
  <si>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</si>
  <si>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</si>
  <si>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</si>
  <si>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</si>
  <si>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</si>
  <si>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</si>
  <si>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</si>
  <si>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</si>
  <si>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</si>
  <si>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</si>
  <si>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</si>
  <si>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</si>
  <si>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</si>
  <si>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</si>
  <si>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</si>
  <si>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</si>
  <si>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</si>
  <si>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</si>
  <si>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</si>
  <si>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</si>
  <si>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</si>
  <si>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</si>
  <si>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</si>
  <si>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</si>
  <si>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</si>
  <si>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</si>
  <si>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</si>
  <si>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</si>
  <si>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</si>
  <si>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</si>
  <si>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</si>
  <si>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</si>
  <si>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</si>
  <si>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</si>
  <si>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</si>
  <si>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</si>
  <si>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</si>
  <si>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</si>
  <si>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</si>
  <si>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</si>
  <si>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</si>
  <si>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</si>
  <si>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</si>
  <si>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</si>
  <si>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</si>
  <si>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</si>
  <si>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</si>
  <si>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</si>
  <si>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</si>
  <si>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</si>
  <si>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</si>
  <si>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</si>
  <si>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</si>
  <si>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</si>
  <si>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</si>
  <si>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</si>
  <si>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</si>
  <si>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</si>
  <si>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</si>
  <si>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</si>
  <si>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</si>
  <si>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</si>
  <si>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</si>
  <si>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</si>
  <si>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</si>
  <si>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</si>
  <si>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</si>
  <si>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</si>
  <si>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</si>
  <si>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</si>
  <si>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</si>
  <si>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</si>
  <si>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</si>
  <si>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</si>
  <si>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</si>
  <si>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</si>
  <si>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</si>
  <si>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</si>
  <si>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</si>
  <si>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</si>
  <si>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</si>
  <si>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</si>
  <si>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</si>
  <si>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</si>
  <si>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</si>
  <si>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</si>
  <si>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</si>
  <si>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</si>
  <si>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</si>
  <si>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</si>
  <si>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</si>
  <si>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</si>
  <si>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</si>
  <si>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</si>
  <si>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</si>
  <si>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</si>
  <si>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</si>
  <si>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</si>
  <si>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</si>
  <si>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</si>
  <si>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</si>
  <si>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</si>
  <si>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</si>
  <si>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</si>
  <si>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</si>
  <si>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</si>
  <si>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</si>
  <si>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</si>
  <si>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</si>
  <si>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</si>
  <si>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</si>
  <si>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</si>
  <si>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</si>
  <si>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</si>
  <si>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</si>
  <si>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</si>
  <si>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</si>
  <si>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</si>
  <si>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</si>
  <si>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</si>
  <si>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</si>
  <si>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</si>
  <si>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</si>
  <si>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</si>
  <si>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</si>
  <si>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</si>
  <si>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</si>
  <si>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</si>
  <si>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</si>
  <si>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</si>
  <si>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</si>
  <si>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</si>
  <si>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</si>
  <si>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</si>
  <si>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</si>
  <si>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</si>
  <si>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</si>
  <si>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</si>
  <si>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</si>
  <si>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</si>
  <si>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</si>
  <si>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</si>
  <si>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</si>
  <si>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</si>
  <si>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</si>
  <si>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</si>
  <si>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</si>
  <si>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</si>
  <si>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</si>
  <si>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</si>
  <si>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</si>
  <si>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</si>
  <si>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</si>
  <si>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</si>
  <si>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</si>
  <si>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</si>
  <si>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</si>
  <si>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</si>
  <si>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</si>
  <si>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</si>
  <si>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</si>
  <si>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</si>
  <si>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</si>
  <si>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</si>
  <si>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</si>
  <si>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</si>
  <si>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</si>
  <si>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</si>
  <si>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</si>
  <si>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</si>
  <si>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</si>
  <si>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</si>
  <si>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</si>
  <si>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</si>
  <si>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</si>
  <si>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</si>
  <si>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</si>
  <si>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</si>
  <si>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</si>
  <si>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</si>
  <si>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</si>
  <si>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</si>
  <si>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</si>
  <si>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</si>
  <si>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</si>
  <si>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</si>
  <si>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</si>
  <si>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</si>
  <si>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</si>
  <si>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</si>
  <si>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</si>
  <si>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</si>
  <si>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</si>
  <si>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</si>
  <si>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</si>
  <si>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</si>
  <si>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</si>
  <si>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</si>
  <si>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</si>
  <si>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</si>
  <si>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</si>
  <si>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</si>
  <si>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</si>
  <si>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</si>
  <si>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</si>
  <si>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</si>
  <si>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</si>
  <si>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</si>
  <si>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</si>
  <si>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</si>
  <si>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</si>
  <si>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</si>
  <si>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</si>
  <si>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</si>
  <si>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</si>
  <si>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</si>
  <si>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</si>
  <si>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</si>
  <si>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</si>
  <si>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</si>
  <si>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</si>
  <si>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</si>
  <si>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</si>
  <si>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</si>
  <si>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</si>
  <si>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</si>
  <si>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</si>
  <si>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</si>
  <si>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</si>
  <si>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</si>
  <si>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</si>
  <si>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</si>
  <si>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</si>
  <si>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</si>
  <si>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</si>
  <si>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</si>
  <si>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</si>
  <si>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</si>
  <si>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</si>
  <si>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</si>
  <si>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</si>
  <si>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</si>
  <si>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</si>
  <si>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</si>
  <si>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</si>
  <si>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</si>
  <si>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</si>
  <si>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</si>
  <si>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</si>
  <si>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</si>
  <si>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</si>
  <si>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</si>
  <si>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</si>
  <si>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</si>
  <si>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</si>
  <si>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</si>
  <si>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</si>
  <si>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</si>
  <si>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</si>
  <si>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</si>
  <si>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</si>
  <si>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</si>
  <si>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</si>
  <si>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</si>
  <si>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</si>
  <si>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</si>
  <si>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</si>
  <si>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</si>
  <si>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</si>
  <si>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</si>
  <si>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</si>
  <si>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</si>
  <si>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</si>
  <si>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</si>
  <si>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</si>
  <si>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</si>
  <si>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</si>
  <si>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</si>
  <si>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</si>
  <si>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</si>
  <si>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</si>
  <si>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</si>
  <si>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</si>
  <si>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</si>
  <si>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</si>
  <si>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</si>
  <si>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</si>
  <si>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</si>
  <si>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</si>
  <si>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</si>
  <si>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</si>
  <si>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</si>
  <si>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</si>
  <si>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</si>
  <si>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</si>
  <si>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</si>
  <si>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</si>
  <si>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</si>
  <si>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</si>
  <si>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</si>
  <si>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</si>
  <si>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</si>
  <si>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</si>
  <si>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</si>
  <si>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</si>
  <si>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</si>
  <si>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</si>
  <si>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</si>
  <si>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</si>
  <si>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</si>
  <si>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</si>
  <si>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</si>
  <si>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</si>
  <si>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</si>
  <si>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</si>
  <si>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</si>
  <si>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</si>
  <si>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</si>
  <si>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</si>
  <si>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</si>
  <si>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</si>
  <si>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</si>
  <si>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</si>
  <si>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</si>
  <si>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</si>
  <si>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</si>
  <si>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</si>
  <si>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</si>
  <si>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</si>
  <si>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</si>
  <si>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</si>
  <si>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</si>
  <si>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</si>
  <si>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</si>
  <si>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</si>
  <si>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</si>
  <si>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</si>
  <si>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</si>
  <si>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</si>
  <si>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</si>
  <si>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</si>
  <si>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</si>
  <si>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</si>
  <si>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</si>
  <si>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</si>
  <si>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</si>
  <si>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</si>
  <si>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</si>
  <si>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</si>
  <si>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</si>
  <si>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</si>
  <si>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</si>
  <si>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</si>
  <si>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</si>
  <si>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</si>
  <si>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</si>
  <si>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</si>
  <si>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</si>
  <si>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</si>
  <si>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</si>
  <si>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</si>
  <si>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</si>
  <si>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</si>
  <si>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</si>
  <si>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</si>
  <si>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</si>
  <si>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</si>
  <si>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</si>
  <si>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</si>
  <si>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</si>
  <si>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</si>
  <si>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</si>
  <si>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</si>
  <si>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</si>
  <si>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</si>
  <si>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</si>
  <si>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</si>
  <si>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</si>
  <si>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</si>
  <si>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</si>
  <si>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</si>
  <si>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</si>
  <si>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</si>
  <si>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</si>
  <si>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</si>
  <si>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</si>
  <si>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</si>
  <si>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</si>
  <si>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</si>
  <si>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</si>
  <si>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</si>
  <si>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</si>
  <si>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</si>
  <si>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</si>
  <si>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</si>
  <si>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</si>
  <si>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</si>
  <si>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</si>
  <si>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</si>
  <si>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</si>
  <si>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</si>
  <si>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</si>
  <si>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</si>
  <si>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</si>
  <si>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</si>
  <si>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</si>
  <si>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</si>
  <si>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</si>
  <si>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</si>
  <si>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</si>
  <si>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</si>
  <si>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</si>
  <si>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</si>
  <si>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</si>
  <si>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</si>
  <si>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</si>
  <si>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</si>
  <si>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</si>
  <si>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</si>
  <si>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</si>
  <si>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</si>
  <si>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</si>
  <si>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</si>
  <si>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</si>
  <si>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</si>
  <si>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</si>
  <si>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</si>
  <si>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</si>
  <si>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</si>
  <si>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</si>
  <si>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</si>
  <si>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</si>
  <si>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</si>
  <si>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</si>
  <si>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</si>
  <si>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</si>
  <si>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</si>
  <si>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</si>
  <si>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</si>
  <si>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</si>
  <si>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</si>
  <si>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</si>
  <si>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</si>
  <si>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</si>
  <si>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</si>
  <si>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</si>
  <si>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</si>
  <si>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</si>
  <si>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</si>
  <si>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</si>
  <si>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</si>
  <si>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</si>
  <si>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</si>
  <si>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</si>
  <si>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</si>
  <si>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</si>
  <si>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</si>
  <si>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</si>
  <si>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</si>
  <si>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</si>
  <si>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</si>
  <si>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</si>
  <si>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</si>
  <si>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</si>
  <si>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</si>
  <si>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</si>
  <si>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</si>
  <si>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</si>
  <si>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</si>
  <si>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</si>
  <si>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</si>
  <si>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</si>
  <si>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</si>
  <si>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</si>
  <si>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</si>
  <si>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</si>
  <si>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</si>
  <si>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</si>
  <si>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</si>
  <si>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</si>
  <si>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</si>
  <si>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</si>
  <si>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</si>
  <si>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</si>
  <si>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</si>
  <si>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</si>
  <si>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</si>
  <si>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</si>
  <si>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</si>
  <si>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</si>
  <si>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</si>
  <si>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</si>
  <si>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</si>
  <si>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</si>
  <si>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</si>
  <si>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</si>
  <si>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</si>
  <si>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</si>
  <si>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</si>
  <si>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</si>
  <si>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</si>
  <si>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</si>
  <si>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</si>
  <si>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</si>
  <si>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</si>
  <si>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</si>
  <si>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</si>
  <si>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</si>
  <si>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</si>
  <si>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</si>
  <si>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</si>
  <si>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</si>
  <si>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</si>
  <si>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</si>
  <si>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</si>
  <si>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</si>
  <si>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</si>
  <si>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</si>
  <si>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</si>
  <si>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</si>
  <si>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</si>
  <si>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</si>
  <si>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</si>
  <si>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</si>
  <si>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</si>
  <si>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</si>
  <si>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</si>
  <si>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</si>
  <si>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</si>
  <si>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</si>
  <si>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</si>
  <si>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</si>
  <si>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</si>
  <si>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</si>
  <si>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</si>
  <si>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</si>
  <si>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</si>
  <si>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</si>
  <si>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</si>
  <si>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</si>
  <si>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</si>
  <si>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</si>
  <si>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</si>
  <si>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</si>
  <si>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</si>
  <si>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</si>
  <si>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</si>
  <si>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</si>
  <si>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</si>
  <si>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</si>
  <si>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</si>
  <si>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</si>
  <si>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</si>
  <si>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</si>
  <si>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</si>
  <si>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</si>
  <si>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</si>
  <si>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</si>
  <si>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</si>
  <si>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</si>
  <si>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</si>
  <si>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</si>
  <si>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</si>
  <si>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</si>
  <si>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</si>
  <si>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</si>
  <si>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</si>
  <si>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</si>
  <si>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</si>
  <si>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</si>
  <si>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</si>
  <si>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</si>
  <si>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</si>
  <si>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</si>
  <si>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</si>
  <si>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</si>
  <si>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</si>
  <si>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</si>
  <si>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</si>
  <si>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</si>
  <si>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</si>
  <si>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</si>
  <si>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</si>
  <si>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</si>
  <si>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</si>
  <si>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</si>
  <si>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</si>
  <si>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</si>
  <si>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</si>
  <si>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</si>
  <si>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</si>
  <si>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</si>
  <si>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</si>
  <si>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</si>
  <si>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</si>
  <si>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</si>
  <si>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</si>
  <si>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</si>
  <si>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</si>
  <si>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</si>
  <si>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</si>
  <si>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</si>
  <si>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</si>
  <si>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</si>
  <si>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</si>
  <si>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</si>
  <si>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</si>
  <si>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</si>
  <si>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</si>
  <si>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</si>
  <si>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</si>
  <si>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</si>
  <si>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</si>
  <si>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</si>
  <si>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</si>
  <si>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</si>
  <si>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</si>
  <si>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</si>
  <si>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</si>
  <si>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</si>
  <si>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</si>
  <si>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</si>
  <si>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</si>
  <si>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</si>
  <si>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</si>
  <si>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</si>
  <si>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</si>
  <si>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</si>
  <si>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</si>
  <si>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</si>
  <si>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</si>
  <si>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</si>
  <si>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</si>
  <si>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</si>
  <si>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</si>
  <si>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</si>
  <si>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</si>
  <si>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</si>
  <si>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</si>
  <si>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</si>
  <si>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</si>
  <si>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</si>
  <si>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</si>
  <si>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</si>
  <si>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</si>
  <si>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</si>
  <si>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</si>
  <si>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</si>
  <si>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</si>
  <si>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</si>
  <si>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</si>
  <si>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</si>
  <si>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</si>
  <si>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</si>
  <si>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</si>
  <si>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</si>
  <si>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</si>
  <si>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</si>
  <si>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</si>
  <si>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</si>
  <si>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</si>
  <si>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</si>
  <si>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</si>
  <si>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</si>
  <si>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</si>
  <si>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</si>
  <si>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</si>
  <si>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</si>
  <si>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</si>
  <si>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</si>
  <si>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</si>
  <si>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</si>
  <si>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</si>
  <si>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</si>
  <si>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</si>
  <si>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</si>
  <si>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</si>
  <si>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</si>
  <si>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</si>
  <si>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</si>
  <si>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</si>
  <si>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</si>
  <si>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</si>
  <si>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</si>
  <si>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</si>
  <si>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</si>
  <si>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</si>
  <si>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</si>
  <si>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</si>
  <si>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</si>
  <si>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</si>
  <si>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</si>
  <si>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</si>
  <si>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</si>
  <si>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</si>
  <si>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</si>
  <si>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</si>
  <si>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</si>
  <si>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</si>
  <si>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</si>
  <si>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</si>
  <si>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</si>
  <si>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</si>
  <si>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</si>
  <si>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</si>
  <si>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</si>
  <si>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</si>
  <si>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</si>
  <si>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</si>
  <si>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</si>
  <si>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</si>
  <si>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</si>
  <si>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</si>
  <si>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</si>
  <si>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</si>
  <si>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</si>
  <si>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</si>
  <si>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</si>
  <si>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</si>
  <si>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</si>
  <si>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</si>
  <si>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</si>
  <si>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</si>
  <si>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</si>
  <si>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</si>
  <si>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</si>
  <si>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</si>
  <si>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</si>
  <si>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</si>
  <si>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</si>
  <si>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</si>
  <si>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</si>
  <si>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</si>
  <si>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</si>
  <si>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</si>
  <si>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</si>
  <si>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</si>
  <si>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</si>
  <si>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</si>
  <si>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</si>
  <si>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</si>
  <si>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</si>
  <si>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</si>
  <si>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</si>
  <si>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</si>
  <si>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</si>
  <si>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</si>
  <si>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</si>
  <si>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</si>
  <si>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</si>
  <si>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</si>
  <si>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</si>
  <si>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</si>
  <si>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</si>
  <si>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</si>
  <si>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</si>
  <si>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</si>
  <si>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</si>
  <si>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</si>
  <si>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</si>
  <si>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</si>
  <si>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</si>
  <si>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</si>
  <si>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</si>
  <si>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</si>
  <si>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</si>
  <si>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</si>
  <si>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</si>
  <si>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</si>
  <si>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</si>
  <si>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</si>
  <si>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</si>
  <si>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</si>
  <si>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</si>
  <si>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</si>
  <si>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</si>
  <si>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</si>
  <si>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</si>
  <si>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</si>
  <si>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</si>
  <si>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</si>
  <si>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</si>
  <si>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</si>
  <si>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</si>
  <si>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</si>
  <si>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</si>
  <si>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</si>
  <si>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</si>
  <si>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</si>
  <si>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</si>
  <si>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</si>
  <si>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</si>
  <si>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</si>
  <si>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</si>
  <si>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</si>
  <si>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</si>
  <si>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</si>
  <si>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</si>
  <si>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</si>
  <si>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</si>
  <si>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</si>
  <si>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</si>
  <si>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</si>
  <si>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</si>
  <si>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</si>
  <si>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</si>
  <si>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</si>
  <si>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</si>
  <si>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</si>
  <si>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</si>
  <si>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</si>
  <si>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</si>
  <si>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</si>
  <si>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</si>
  <si>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</si>
  <si>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</si>
  <si>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</si>
  <si>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</si>
  <si>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</si>
  <si>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</si>
  <si>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</si>
  <si>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</si>
  <si>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</si>
  <si>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3/16~20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</si>
  <si>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</si>
  <si>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</si>
  <si>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</si>
  <si>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</si>
  <si>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</si>
  <si>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SR24002</t>
    <phoneticPr fontId="2" type="noConversion"/>
  </si>
  <si>
    <t>S206</t>
    <phoneticPr fontId="2" type="noConversion"/>
  </si>
  <si>
    <t>CS</t>
    <phoneticPr fontId="2" type="noConversion"/>
  </si>
  <si>
    <t>박성용(사무실)
박해식(반차)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</si>
</sst>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8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73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quotePrefix="1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1" applyFont="1" applyBorder="1" applyAlignment="1">
      <alignment horizontal="center"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11" fillId="9" borderId="5" xfId="0" applyFont="1" applyFill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175" zoomScaleNormal="100" workbookViewId="0">
      <selection activeCell="H195" sqref="H19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30" t="s">
        <v>3302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1"/>
    </row>
    <row r="2" spans="1:17" s="17" customFormat="1" ht="27" customHeight="1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4567</v>
      </c>
    </row>
    <row r="5" spans="1:17" s="17" customFormat="1" ht="33" customHeight="1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4826</v>
      </c>
      <c r="Q10" s="442"/>
    </row>
    <row r="11" spans="1:17" s="17" customFormat="1" ht="33" customHeight="1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4617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24"/>
      <c r="Q22" s="525"/>
      <c r="R22" s="525"/>
      <c r="S22" s="525"/>
    </row>
    <row r="23" spans="1:19" s="17" customFormat="1" ht="33" customHeight="1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4618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24"/>
      <c r="Q27" s="525"/>
      <c r="R27" s="525"/>
      <c r="S27" s="525"/>
    </row>
    <row r="28" spans="1:19" s="17" customFormat="1" ht="33" customHeight="1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4632</v>
      </c>
      <c r="P36" s="524"/>
      <c r="Q36" s="525"/>
      <c r="R36" s="525"/>
      <c r="S36" s="525"/>
    </row>
    <row r="37" spans="1:19" s="17" customFormat="1" ht="33" customHeight="1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24"/>
      <c r="Q37" s="525"/>
      <c r="R37" s="525"/>
      <c r="S37" s="525"/>
    </row>
    <row r="38" spans="1:19" s="17" customFormat="1" ht="33" customHeight="1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24"/>
      <c r="Q40" s="525"/>
      <c r="R40" s="525"/>
      <c r="S40" s="525"/>
    </row>
    <row r="41" spans="1:19" s="17" customFormat="1" ht="27" customHeight="1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24"/>
      <c r="Q41" s="525"/>
      <c r="R41" s="525"/>
      <c r="S41" s="525"/>
    </row>
    <row r="42" spans="1:19" s="17" customFormat="1" ht="33" customHeight="1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4884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4889</v>
      </c>
      <c r="P42" s="428" t="s">
        <v>4358</v>
      </c>
    </row>
    <row r="43" spans="1:19" s="17" customFormat="1" ht="33" customHeight="1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24" t="s">
        <v>4439</v>
      </c>
      <c r="Q43" s="525"/>
      <c r="R43" s="525"/>
      <c r="S43" s="525"/>
    </row>
    <row r="44" spans="1:19" s="17" customFormat="1" ht="33" customHeight="1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>
      <c r="A46" s="472"/>
      <c r="B46" s="424">
        <v>46035</v>
      </c>
      <c r="C46" s="4" t="s">
        <v>21</v>
      </c>
      <c r="D46" s="4" t="s">
        <v>77</v>
      </c>
      <c r="E46" s="203" t="s">
        <v>4610</v>
      </c>
      <c r="F46" s="31" t="s">
        <v>4401</v>
      </c>
      <c r="G46" s="16" t="s">
        <v>4611</v>
      </c>
      <c r="H46" s="203" t="s">
        <v>4619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4704</v>
      </c>
      <c r="P46" s="458"/>
      <c r="Q46"/>
    </row>
    <row r="47" spans="1:19" s="17" customFormat="1" ht="33" customHeight="1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4845</v>
      </c>
      <c r="P54" s="435"/>
    </row>
    <row r="55" spans="1:19" s="17" customFormat="1" ht="33" customHeight="1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4602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4583</v>
      </c>
      <c r="P56" s="435"/>
    </row>
    <row r="57" spans="1:19" s="17" customFormat="1" ht="33" customHeight="1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4866</v>
      </c>
      <c r="P61" s="524"/>
      <c r="Q61" s="525"/>
      <c r="R61" s="525"/>
      <c r="S61" s="525"/>
    </row>
    <row r="62" spans="1:19" s="17" customFormat="1" ht="33" customHeight="1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24"/>
      <c r="Q64" s="525"/>
      <c r="R64" s="525"/>
      <c r="S64" s="525"/>
    </row>
    <row r="65" spans="1:19" s="17" customFormat="1" ht="33" customHeight="1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4603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4745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4648</v>
      </c>
      <c r="P67" s="524"/>
      <c r="Q67" s="525"/>
      <c r="R67" s="525"/>
      <c r="S67" s="525"/>
    </row>
    <row r="68" spans="1:19" s="17" customFormat="1" ht="33" customHeight="1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4621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4620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4584</v>
      </c>
      <c r="G72" s="291" t="s">
        <v>4585</v>
      </c>
      <c r="H72" s="129" t="s">
        <v>4586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24"/>
      <c r="Q74" s="525"/>
      <c r="R74" s="525"/>
      <c r="S74" s="525"/>
    </row>
    <row r="75" spans="1:19" s="17" customFormat="1" ht="33" customHeight="1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4590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>
      <c r="A78" s="472"/>
      <c r="B78" s="424">
        <v>46048</v>
      </c>
      <c r="C78" s="4" t="s">
        <v>4509</v>
      </c>
      <c r="D78" s="4" t="s">
        <v>4505</v>
      </c>
      <c r="E78" s="203" t="s">
        <v>4595</v>
      </c>
      <c r="F78" s="31" t="s">
        <v>4506</v>
      </c>
      <c r="G78" s="16" t="s">
        <v>4510</v>
      </c>
      <c r="H78" s="203" t="s">
        <v>4593</v>
      </c>
      <c r="I78" s="31" t="s">
        <v>4507</v>
      </c>
      <c r="J78" s="31"/>
      <c r="K78" s="129" t="s">
        <v>15</v>
      </c>
      <c r="L78" s="16" t="s">
        <v>4587</v>
      </c>
      <c r="M78" s="8">
        <v>2</v>
      </c>
      <c r="N78" s="31"/>
      <c r="O78" s="479" t="s">
        <v>4594</v>
      </c>
    </row>
    <row r="79" spans="1:19" s="17" customFormat="1" ht="33" customHeight="1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4597</v>
      </c>
      <c r="O80" s="479" t="s">
        <v>4492</v>
      </c>
      <c r="P80" s="461"/>
    </row>
    <row r="81" spans="1:19" s="17" customFormat="1" ht="33" customHeight="1">
      <c r="A81" s="472"/>
      <c r="B81" s="424">
        <v>46049</v>
      </c>
      <c r="C81" s="4" t="s">
        <v>24</v>
      </c>
      <c r="D81" s="4" t="s">
        <v>4688</v>
      </c>
      <c r="E81" s="203" t="s">
        <v>4490</v>
      </c>
      <c r="F81" s="31">
        <v>222003</v>
      </c>
      <c r="G81" s="16" t="s">
        <v>4528</v>
      </c>
      <c r="H81" s="328" t="s">
        <v>4851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4592</v>
      </c>
      <c r="P81" s="461"/>
    </row>
    <row r="82" spans="1:19" s="17" customFormat="1" ht="33" customHeight="1">
      <c r="A82" s="472"/>
      <c r="B82" s="424">
        <v>46049</v>
      </c>
      <c r="C82" s="4" t="s">
        <v>21</v>
      </c>
      <c r="D82" s="4" t="s">
        <v>14</v>
      </c>
      <c r="E82" s="203" t="s">
        <v>4581</v>
      </c>
      <c r="F82" s="31" t="s">
        <v>109</v>
      </c>
      <c r="G82" s="16" t="s">
        <v>4580</v>
      </c>
      <c r="H82" s="328" t="s">
        <v>4850</v>
      </c>
      <c r="I82" s="31" t="s">
        <v>4582</v>
      </c>
      <c r="J82" s="31" t="s">
        <v>4588</v>
      </c>
      <c r="K82" s="129" t="s">
        <v>15</v>
      </c>
      <c r="L82" s="16">
        <v>9080</v>
      </c>
      <c r="M82" s="8">
        <v>2</v>
      </c>
      <c r="N82" s="31"/>
      <c r="O82" s="479" t="s">
        <v>4589</v>
      </c>
      <c r="P82" s="461"/>
    </row>
    <row r="83" spans="1:19" s="17" customFormat="1" ht="33" customHeight="1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4598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4599</v>
      </c>
      <c r="P83" s="524"/>
      <c r="Q83" s="525"/>
      <c r="R83" s="525"/>
      <c r="S83" s="525"/>
    </row>
    <row r="84" spans="1:19" s="17" customFormat="1" ht="33" customHeight="1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4852</v>
      </c>
      <c r="I84" s="31" t="s">
        <v>4566</v>
      </c>
      <c r="J84" s="31" t="s">
        <v>4565</v>
      </c>
      <c r="K84" s="129" t="s">
        <v>15</v>
      </c>
      <c r="L84" s="16">
        <v>8585</v>
      </c>
      <c r="M84" s="8">
        <v>2</v>
      </c>
      <c r="N84" s="31"/>
      <c r="O84" s="476" t="s">
        <v>4607</v>
      </c>
      <c r="P84" s="461"/>
    </row>
    <row r="85" spans="1:19" s="17" customFormat="1" ht="33" customHeight="1">
      <c r="A85" s="472"/>
      <c r="B85" s="424">
        <v>46050</v>
      </c>
      <c r="C85" s="4" t="s">
        <v>21</v>
      </c>
      <c r="D85" s="4" t="s">
        <v>17</v>
      </c>
      <c r="E85" s="203" t="s">
        <v>4606</v>
      </c>
      <c r="F85" s="305" t="s">
        <v>4446</v>
      </c>
      <c r="G85" s="16" t="s">
        <v>23</v>
      </c>
      <c r="H85" s="203" t="s">
        <v>4608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4600</v>
      </c>
      <c r="P85" s="524"/>
      <c r="Q85" s="525"/>
      <c r="R85" s="525"/>
      <c r="S85" s="525"/>
    </row>
    <row r="86" spans="1:19" s="17" customFormat="1" ht="33" customHeight="1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4616</v>
      </c>
      <c r="I86" s="31" t="s">
        <v>4540</v>
      </c>
      <c r="J86" s="31"/>
      <c r="K86" s="129" t="s">
        <v>15</v>
      </c>
      <c r="L86" s="16" t="s">
        <v>4612</v>
      </c>
      <c r="M86" s="8">
        <v>1</v>
      </c>
      <c r="N86" s="469" t="s">
        <v>4495</v>
      </c>
      <c r="O86" s="476" t="s">
        <v>4591</v>
      </c>
    </row>
    <row r="87" spans="1:19" s="17" customFormat="1" ht="33" customHeight="1">
      <c r="A87" s="472"/>
      <c r="B87" s="424">
        <v>46051</v>
      </c>
      <c r="C87" s="4" t="s">
        <v>21</v>
      </c>
      <c r="D87" s="4" t="s">
        <v>4573</v>
      </c>
      <c r="E87" s="31" t="s">
        <v>1900</v>
      </c>
      <c r="F87" s="31" t="s">
        <v>4575</v>
      </c>
      <c r="G87" s="16"/>
      <c r="H87" s="203" t="s">
        <v>4862</v>
      </c>
      <c r="I87" s="31"/>
      <c r="J87" s="31" t="s">
        <v>4596</v>
      </c>
      <c r="K87" s="129" t="s">
        <v>4572</v>
      </c>
      <c r="L87" s="16">
        <v>9080</v>
      </c>
      <c r="M87" s="8">
        <v>2</v>
      </c>
      <c r="N87" s="31"/>
      <c r="O87" s="476" t="s">
        <v>4601</v>
      </c>
      <c r="P87" s="17" t="s">
        <v>4863</v>
      </c>
    </row>
    <row r="88" spans="1:19" s="17" customFormat="1" ht="33" customHeight="1">
      <c r="A88" s="472"/>
      <c r="B88" s="424">
        <v>46052</v>
      </c>
      <c r="C88" s="4" t="s">
        <v>21</v>
      </c>
      <c r="D88" s="4" t="s">
        <v>14</v>
      </c>
      <c r="E88" s="31" t="s">
        <v>4609</v>
      </c>
      <c r="F88" s="31" t="s">
        <v>4517</v>
      </c>
      <c r="G88" s="16" t="s">
        <v>4524</v>
      </c>
      <c r="H88" s="305" t="s">
        <v>4650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4604</v>
      </c>
    </row>
    <row r="89" spans="1:19" s="17" customFormat="1" ht="33" customHeight="1">
      <c r="A89" s="472"/>
      <c r="B89" s="424">
        <v>46052</v>
      </c>
      <c r="C89" s="4" t="s">
        <v>21</v>
      </c>
      <c r="D89" s="4" t="s">
        <v>4573</v>
      </c>
      <c r="E89" s="31" t="s">
        <v>4574</v>
      </c>
      <c r="F89" s="31" t="s">
        <v>4575</v>
      </c>
      <c r="G89" s="16"/>
      <c r="H89" s="203" t="s">
        <v>4633</v>
      </c>
      <c r="I89" s="31"/>
      <c r="J89" s="31" t="s">
        <v>4596</v>
      </c>
      <c r="K89" s="129" t="s">
        <v>4572</v>
      </c>
      <c r="L89" s="16">
        <v>9080</v>
      </c>
      <c r="M89" s="8">
        <v>2</v>
      </c>
      <c r="N89" s="31"/>
      <c r="O89" s="476" t="s">
        <v>4623</v>
      </c>
      <c r="P89" s="17" t="s">
        <v>4863</v>
      </c>
    </row>
    <row r="90" spans="1:19" s="17" customFormat="1" ht="33" customHeight="1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4853</v>
      </c>
      <c r="I93" s="203"/>
      <c r="J93" s="203" t="s">
        <v>4634</v>
      </c>
      <c r="K93" s="129" t="s">
        <v>15</v>
      </c>
      <c r="L93" s="16">
        <v>8585</v>
      </c>
      <c r="M93" s="8">
        <v>1</v>
      </c>
      <c r="N93" s="31" t="s">
        <v>4579</v>
      </c>
      <c r="O93" s="478" t="s">
        <v>4373</v>
      </c>
      <c r="P93" s="524" t="s">
        <v>4439</v>
      </c>
      <c r="Q93" s="525"/>
      <c r="R93" s="525"/>
      <c r="S93" s="525"/>
    </row>
    <row r="94" spans="1:19" s="17" customFormat="1" ht="33" customHeight="1">
      <c r="A94" s="472"/>
      <c r="B94" s="424">
        <v>46055</v>
      </c>
      <c r="C94" s="4" t="s">
        <v>21</v>
      </c>
      <c r="D94" s="4" t="s">
        <v>14</v>
      </c>
      <c r="E94" s="328" t="s">
        <v>4627</v>
      </c>
      <c r="F94" s="203" t="s">
        <v>4614</v>
      </c>
      <c r="G94" s="16" t="s">
        <v>4615</v>
      </c>
      <c r="H94" s="203" t="s">
        <v>4655</v>
      </c>
      <c r="I94" s="31" t="s">
        <v>4613</v>
      </c>
      <c r="J94" s="31"/>
      <c r="K94" s="129" t="s">
        <v>15</v>
      </c>
      <c r="L94" s="16"/>
      <c r="M94" s="8">
        <v>1</v>
      </c>
      <c r="N94" s="31" t="s">
        <v>4646</v>
      </c>
      <c r="O94" s="479" t="s">
        <v>4626</v>
      </c>
    </row>
    <row r="95" spans="1:19" s="17" customFormat="1" ht="33" customHeight="1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4854</v>
      </c>
      <c r="I95" s="203"/>
      <c r="J95" s="203" t="s">
        <v>4634</v>
      </c>
      <c r="K95" s="129" t="s">
        <v>15</v>
      </c>
      <c r="L95" s="16">
        <v>8585</v>
      </c>
      <c r="M95" s="8">
        <v>1</v>
      </c>
      <c r="N95" s="31" t="s">
        <v>4668</v>
      </c>
      <c r="O95" s="478" t="s">
        <v>4625</v>
      </c>
    </row>
    <row r="96" spans="1:19" s="17" customFormat="1" ht="33" customHeight="1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4672</v>
      </c>
      <c r="I96" s="203" t="s">
        <v>4622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4624</v>
      </c>
    </row>
    <row r="97" spans="1:16" s="17" customFormat="1" ht="33" customHeight="1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4629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4599</v>
      </c>
    </row>
    <row r="98" spans="1:16" s="17" customFormat="1" ht="33" customHeight="1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4673</v>
      </c>
      <c r="I98" s="203"/>
      <c r="J98" s="31" t="s">
        <v>4669</v>
      </c>
      <c r="K98" s="129" t="s">
        <v>15</v>
      </c>
      <c r="L98" s="16"/>
      <c r="M98" s="8">
        <v>2</v>
      </c>
      <c r="N98" s="31"/>
      <c r="O98" s="479" t="s">
        <v>4656</v>
      </c>
    </row>
    <row r="99" spans="1:16" s="17" customFormat="1" ht="33" customHeight="1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4659</v>
      </c>
      <c r="G99" s="16" t="s">
        <v>4653</v>
      </c>
      <c r="H99" s="328" t="s">
        <v>4675</v>
      </c>
      <c r="I99" s="203" t="s">
        <v>90</v>
      </c>
      <c r="J99" s="31" t="s">
        <v>4671</v>
      </c>
      <c r="K99" s="129" t="s">
        <v>15</v>
      </c>
      <c r="L99" s="16"/>
      <c r="M99" s="8">
        <v>2</v>
      </c>
      <c r="N99" s="31"/>
      <c r="O99" s="479" t="s">
        <v>4660</v>
      </c>
      <c r="P99" s="443" t="s">
        <v>4654</v>
      </c>
    </row>
    <row r="100" spans="1:16" s="17" customFormat="1" ht="33" customHeight="1">
      <c r="A100" s="472"/>
      <c r="B100" s="424">
        <v>46056</v>
      </c>
      <c r="C100" s="4" t="s">
        <v>21</v>
      </c>
      <c r="D100" s="4" t="s">
        <v>14</v>
      </c>
      <c r="E100" s="203" t="s">
        <v>4667</v>
      </c>
      <c r="F100" s="203" t="s">
        <v>4670</v>
      </c>
      <c r="G100" s="16" t="s">
        <v>151</v>
      </c>
      <c r="H100" s="328" t="s">
        <v>4674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4658</v>
      </c>
    </row>
    <row r="101" spans="1:16" s="17" customFormat="1" ht="33" customHeight="1">
      <c r="A101" s="472"/>
      <c r="B101" s="424">
        <v>46057</v>
      </c>
      <c r="C101" s="4" t="s">
        <v>21</v>
      </c>
      <c r="D101" s="4" t="s">
        <v>14</v>
      </c>
      <c r="E101" s="31" t="s">
        <v>4666</v>
      </c>
      <c r="F101" s="31" t="s">
        <v>2833</v>
      </c>
      <c r="G101" s="16" t="s">
        <v>4664</v>
      </c>
      <c r="H101" s="203" t="s">
        <v>4681</v>
      </c>
      <c r="I101" s="31" t="s">
        <v>4679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4628</v>
      </c>
    </row>
    <row r="102" spans="1:16" s="17" customFormat="1" ht="33" customHeight="1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4635</v>
      </c>
      <c r="I102" s="31"/>
      <c r="J102" s="31" t="s">
        <v>4636</v>
      </c>
      <c r="K102" s="129" t="s">
        <v>15</v>
      </c>
      <c r="L102" s="16"/>
      <c r="M102" s="8">
        <v>2</v>
      </c>
      <c r="N102" s="31"/>
      <c r="O102" s="479" t="s">
        <v>4642</v>
      </c>
    </row>
    <row r="103" spans="1:16" s="17" customFormat="1" ht="33" customHeight="1">
      <c r="A103" s="472"/>
      <c r="B103" s="424">
        <v>46057</v>
      </c>
      <c r="C103" s="4" t="s">
        <v>21</v>
      </c>
      <c r="D103" s="4" t="s">
        <v>14</v>
      </c>
      <c r="E103" s="31" t="s">
        <v>4682</v>
      </c>
      <c r="F103" s="203">
        <v>222003</v>
      </c>
      <c r="G103" s="16" t="s">
        <v>4683</v>
      </c>
      <c r="H103" s="328" t="s">
        <v>4855</v>
      </c>
      <c r="I103" s="31"/>
      <c r="J103" s="31" t="s">
        <v>4684</v>
      </c>
      <c r="K103" s="129" t="s">
        <v>15</v>
      </c>
      <c r="L103" s="16"/>
      <c r="M103" s="8">
        <v>1</v>
      </c>
      <c r="N103" s="31"/>
      <c r="O103" s="479" t="s">
        <v>4685</v>
      </c>
    </row>
    <row r="104" spans="1:16" s="17" customFormat="1" ht="33" customHeight="1">
      <c r="A104" s="472"/>
      <c r="B104" s="424">
        <v>46058</v>
      </c>
      <c r="C104" s="4" t="s">
        <v>21</v>
      </c>
      <c r="D104" s="4" t="s">
        <v>14</v>
      </c>
      <c r="E104" s="31" t="s">
        <v>4609</v>
      </c>
      <c r="F104" s="31" t="s">
        <v>2833</v>
      </c>
      <c r="G104" s="16" t="s">
        <v>4663</v>
      </c>
      <c r="H104" s="328" t="s">
        <v>4690</v>
      </c>
      <c r="I104" s="31"/>
      <c r="J104" s="31" t="s">
        <v>4605</v>
      </c>
      <c r="K104" s="129" t="s">
        <v>32</v>
      </c>
      <c r="L104" s="16"/>
      <c r="M104" s="8">
        <v>2</v>
      </c>
      <c r="N104" s="31" t="s">
        <v>4692</v>
      </c>
      <c r="O104" s="478" t="s">
        <v>4657</v>
      </c>
    </row>
    <row r="105" spans="1:16" s="17" customFormat="1" ht="33" customHeight="1">
      <c r="A105" s="472"/>
      <c r="B105" s="424">
        <v>46058</v>
      </c>
      <c r="C105" s="4" t="s">
        <v>21</v>
      </c>
      <c r="D105" s="4" t="s">
        <v>14</v>
      </c>
      <c r="E105" s="31" t="s">
        <v>4609</v>
      </c>
      <c r="F105" s="31" t="s">
        <v>2833</v>
      </c>
      <c r="G105" s="16" t="s">
        <v>4663</v>
      </c>
      <c r="H105" s="203" t="s">
        <v>4691</v>
      </c>
      <c r="I105" s="31"/>
      <c r="J105" s="31" t="s">
        <v>4686</v>
      </c>
      <c r="K105" s="129" t="s">
        <v>32</v>
      </c>
      <c r="L105" s="16">
        <v>9080</v>
      </c>
      <c r="M105" s="8">
        <v>2</v>
      </c>
      <c r="N105" s="31"/>
      <c r="O105" s="477" t="s">
        <v>4687</v>
      </c>
    </row>
    <row r="106" spans="1:16" s="17" customFormat="1" ht="33" customHeight="1">
      <c r="A106" s="472"/>
      <c r="B106" s="424">
        <v>46058</v>
      </c>
      <c r="C106" s="4" t="s">
        <v>21</v>
      </c>
      <c r="D106" s="4" t="s">
        <v>14</v>
      </c>
      <c r="E106" s="31" t="s">
        <v>4678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>
      <c r="A107" s="472"/>
      <c r="B107" s="424">
        <v>46059</v>
      </c>
      <c r="C107" s="4" t="s">
        <v>21</v>
      </c>
      <c r="D107" s="4" t="s">
        <v>14</v>
      </c>
      <c r="E107" s="31" t="s">
        <v>4609</v>
      </c>
      <c r="F107" s="31" t="s">
        <v>2833</v>
      </c>
      <c r="G107" s="16" t="s">
        <v>1393</v>
      </c>
      <c r="H107" s="328" t="s">
        <v>4698</v>
      </c>
      <c r="I107" s="31"/>
      <c r="J107" s="31" t="s">
        <v>4696</v>
      </c>
      <c r="K107" s="129" t="s">
        <v>32</v>
      </c>
      <c r="L107" s="16"/>
      <c r="M107" s="8">
        <v>1</v>
      </c>
      <c r="N107" s="203" t="s">
        <v>4699</v>
      </c>
      <c r="O107" s="478" t="s">
        <v>4697</v>
      </c>
    </row>
    <row r="108" spans="1:16" s="17" customFormat="1" ht="33" customHeight="1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4652</v>
      </c>
      <c r="G109" s="16" t="s">
        <v>4662</v>
      </c>
      <c r="H109" s="203" t="s">
        <v>4661</v>
      </c>
      <c r="I109" s="31"/>
      <c r="J109" s="31" t="s">
        <v>4651</v>
      </c>
      <c r="K109" s="129" t="s">
        <v>15</v>
      </c>
      <c r="L109" s="16"/>
      <c r="M109" s="8">
        <v>3</v>
      </c>
      <c r="N109" s="31"/>
      <c r="O109" s="479" t="s">
        <v>4649</v>
      </c>
    </row>
    <row r="110" spans="1:16" s="17" customFormat="1" ht="33" customHeight="1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4639</v>
      </c>
      <c r="G112" s="16" t="s">
        <v>4641</v>
      </c>
      <c r="H112" s="203" t="s">
        <v>4640</v>
      </c>
      <c r="I112" s="31" t="s">
        <v>4647</v>
      </c>
      <c r="J112" s="203" t="s">
        <v>4709</v>
      </c>
      <c r="K112" s="129" t="s">
        <v>4689</v>
      </c>
      <c r="L112" s="16">
        <v>9080</v>
      </c>
      <c r="M112" s="8">
        <v>6</v>
      </c>
      <c r="N112" s="31"/>
      <c r="O112" s="479" t="s">
        <v>4649</v>
      </c>
    </row>
    <row r="113" spans="1:16" s="17" customFormat="1" ht="33" customHeight="1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4856</v>
      </c>
      <c r="I114" s="31" t="s">
        <v>4694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4693</v>
      </c>
    </row>
    <row r="115" spans="1:16" s="17" customFormat="1" ht="33" customHeight="1">
      <c r="A115" s="472"/>
      <c r="B115" s="424">
        <v>46063</v>
      </c>
      <c r="C115" s="59" t="s">
        <v>21</v>
      </c>
      <c r="D115" s="59" t="s">
        <v>4714</v>
      </c>
      <c r="E115" s="467" t="s">
        <v>4713</v>
      </c>
      <c r="F115" s="324">
        <v>222003</v>
      </c>
      <c r="G115" s="207" t="s">
        <v>4712</v>
      </c>
      <c r="H115" s="324" t="s">
        <v>4711</v>
      </c>
      <c r="I115" s="325"/>
      <c r="J115" s="325" t="s">
        <v>4715</v>
      </c>
      <c r="K115" s="323" t="s">
        <v>66</v>
      </c>
      <c r="L115" s="207"/>
      <c r="M115" s="192">
        <v>1</v>
      </c>
      <c r="N115" s="31" t="s">
        <v>4717</v>
      </c>
      <c r="O115" s="484" t="s">
        <v>4716</v>
      </c>
    </row>
    <row r="116" spans="1:16" s="17" customFormat="1" ht="33" customHeight="1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4720</v>
      </c>
      <c r="G116" s="16" t="s">
        <v>4719</v>
      </c>
      <c r="H116" s="203" t="s">
        <v>4723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4649</v>
      </c>
    </row>
    <row r="117" spans="1:16" s="17" customFormat="1" ht="33" customHeight="1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4637</v>
      </c>
      <c r="I117" s="31" t="s">
        <v>203</v>
      </c>
      <c r="J117" s="203" t="s">
        <v>4638</v>
      </c>
      <c r="K117" s="129" t="s">
        <v>182</v>
      </c>
      <c r="L117" s="16">
        <v>9080</v>
      </c>
      <c r="M117" s="8">
        <v>6</v>
      </c>
      <c r="N117" s="31"/>
      <c r="O117" s="479" t="s">
        <v>4710</v>
      </c>
    </row>
    <row r="118" spans="1:16" s="17" customFormat="1" ht="33" customHeight="1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4695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4718</v>
      </c>
    </row>
    <row r="119" spans="1:16" s="17" customFormat="1" ht="33" customHeight="1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4637</v>
      </c>
      <c r="I119" s="31" t="s">
        <v>203</v>
      </c>
      <c r="J119" s="203" t="s">
        <v>4638</v>
      </c>
      <c r="K119" s="129" t="s">
        <v>182</v>
      </c>
      <c r="L119" s="16">
        <v>9080</v>
      </c>
      <c r="M119" s="8">
        <v>6</v>
      </c>
      <c r="N119" s="31" t="s">
        <v>4707</v>
      </c>
      <c r="O119" s="479" t="s">
        <v>4710</v>
      </c>
    </row>
    <row r="120" spans="1:16" s="17" customFormat="1" ht="33" customHeight="1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4744</v>
      </c>
      <c r="I121" s="31" t="s">
        <v>203</v>
      </c>
      <c r="J121" s="203" t="s">
        <v>4638</v>
      </c>
      <c r="K121" s="129" t="s">
        <v>182</v>
      </c>
      <c r="L121" s="16">
        <v>9080</v>
      </c>
      <c r="M121" s="8">
        <v>6</v>
      </c>
      <c r="N121" s="31" t="s">
        <v>4680</v>
      </c>
      <c r="O121" s="479" t="s">
        <v>4649</v>
      </c>
    </row>
    <row r="122" spans="1:16" s="17" customFormat="1" ht="33" customHeight="1">
      <c r="A122" s="472"/>
      <c r="B122" s="424">
        <v>46066</v>
      </c>
      <c r="C122" s="4" t="s">
        <v>21</v>
      </c>
      <c r="D122" s="4" t="s">
        <v>14</v>
      </c>
      <c r="E122" s="328" t="s">
        <v>4701</v>
      </c>
      <c r="F122" s="31" t="s">
        <v>4861</v>
      </c>
      <c r="G122" s="16" t="s">
        <v>1385</v>
      </c>
      <c r="H122" s="328" t="s">
        <v>4702</v>
      </c>
      <c r="I122" s="31" t="s">
        <v>4721</v>
      </c>
      <c r="J122" s="31" t="s">
        <v>2844</v>
      </c>
      <c r="K122" s="129" t="s">
        <v>32</v>
      </c>
      <c r="L122" s="466" t="s">
        <v>4703</v>
      </c>
      <c r="M122" s="8">
        <v>2</v>
      </c>
      <c r="N122" s="31"/>
      <c r="O122" s="476" t="s">
        <v>4706</v>
      </c>
      <c r="P122" s="443" t="s">
        <v>4729</v>
      </c>
    </row>
    <row r="123" spans="1:16" s="17" customFormat="1" ht="33" customHeight="1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4665</v>
      </c>
      <c r="O123" s="480"/>
    </row>
    <row r="124" spans="1:16" s="17" customFormat="1" ht="33" customHeight="1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4643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>
      <c r="A128" s="472"/>
      <c r="B128" s="424">
        <v>46070</v>
      </c>
      <c r="C128" s="4"/>
      <c r="D128" s="4"/>
      <c r="E128" s="31"/>
      <c r="F128" s="31"/>
      <c r="G128" s="16"/>
      <c r="H128" s="444" t="s">
        <v>4644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>
      <c r="A130" s="472"/>
      <c r="B130" s="424">
        <v>46071</v>
      </c>
      <c r="C130" s="4"/>
      <c r="D130" s="4"/>
      <c r="E130" s="31"/>
      <c r="F130" s="31"/>
      <c r="G130" s="16"/>
      <c r="H130" s="444" t="s">
        <v>4645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>
      <c r="A132" s="472"/>
      <c r="B132" s="424">
        <v>46072</v>
      </c>
      <c r="C132" s="4" t="s">
        <v>21</v>
      </c>
      <c r="D132" s="4" t="s">
        <v>17</v>
      </c>
      <c r="E132" s="305" t="s">
        <v>4726</v>
      </c>
      <c r="F132" s="31">
        <v>3307</v>
      </c>
      <c r="G132" s="16" t="s">
        <v>812</v>
      </c>
      <c r="H132" s="203" t="s">
        <v>4847</v>
      </c>
      <c r="I132" s="31" t="s">
        <v>4753</v>
      </c>
      <c r="J132" s="31" t="s">
        <v>4727</v>
      </c>
      <c r="K132" s="129"/>
      <c r="L132" s="16"/>
      <c r="M132" s="8">
        <v>2</v>
      </c>
      <c r="N132" s="305" t="s">
        <v>4756</v>
      </c>
      <c r="O132" s="480"/>
    </row>
    <row r="133" spans="1:16" s="17" customFormat="1" ht="33" customHeight="1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4754</v>
      </c>
      <c r="O133" s="480"/>
    </row>
    <row r="134" spans="1:16" s="17" customFormat="1" ht="33" customHeight="1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4857</v>
      </c>
      <c r="I134" s="31" t="s">
        <v>4737</v>
      </c>
      <c r="J134" s="203" t="s">
        <v>4736</v>
      </c>
      <c r="K134" s="129" t="s">
        <v>15</v>
      </c>
      <c r="L134" s="16"/>
      <c r="M134" s="8">
        <v>4</v>
      </c>
      <c r="N134" s="469" t="s">
        <v>4766</v>
      </c>
      <c r="O134" s="478" t="s">
        <v>4812</v>
      </c>
    </row>
    <row r="135" spans="1:16" s="17" customFormat="1" ht="33" customHeight="1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4735</v>
      </c>
      <c r="G135" s="16" t="s">
        <v>23</v>
      </c>
      <c r="H135" s="203" t="s">
        <v>4858</v>
      </c>
      <c r="I135" s="129" t="s">
        <v>4740</v>
      </c>
      <c r="J135" s="203" t="s">
        <v>642</v>
      </c>
      <c r="K135" s="129" t="s">
        <v>15</v>
      </c>
      <c r="L135" s="16"/>
      <c r="M135" s="8">
        <v>3</v>
      </c>
      <c r="N135" s="6" t="s">
        <v>4767</v>
      </c>
      <c r="O135" s="478" t="s">
        <v>4732</v>
      </c>
    </row>
    <row r="136" spans="1:16" s="17" customFormat="1" ht="33" customHeight="1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4738</v>
      </c>
      <c r="G136" s="16" t="s">
        <v>4733</v>
      </c>
      <c r="H136" s="203" t="s">
        <v>4819</v>
      </c>
      <c r="I136" s="31"/>
      <c r="J136" s="203" t="s">
        <v>4773</v>
      </c>
      <c r="K136" s="129" t="s">
        <v>15</v>
      </c>
      <c r="L136" s="16">
        <v>9080</v>
      </c>
      <c r="M136" s="8">
        <v>3</v>
      </c>
      <c r="N136" s="469"/>
      <c r="O136" s="478" t="s">
        <v>4739</v>
      </c>
    </row>
    <row r="137" spans="1:16" s="17" customFormat="1" ht="33" customHeight="1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4803</v>
      </c>
      <c r="G137" s="16" t="s">
        <v>4802</v>
      </c>
      <c r="H137" s="203" t="s">
        <v>4804</v>
      </c>
      <c r="I137" s="31"/>
      <c r="J137" s="203" t="s">
        <v>4773</v>
      </c>
      <c r="K137" s="129" t="s">
        <v>4805</v>
      </c>
      <c r="L137" s="16"/>
      <c r="M137" s="8">
        <v>3</v>
      </c>
      <c r="N137" s="469"/>
      <c r="O137" s="478" t="s">
        <v>4813</v>
      </c>
    </row>
    <row r="138" spans="1:16" s="17" customFormat="1" ht="33" customHeight="1">
      <c r="A138" s="473"/>
      <c r="B138" s="424">
        <v>46074</v>
      </c>
      <c r="C138" s="4" t="s">
        <v>21</v>
      </c>
      <c r="D138" s="4" t="s">
        <v>4746</v>
      </c>
      <c r="E138" s="31" t="s">
        <v>4747</v>
      </c>
      <c r="F138" s="31">
        <v>222003</v>
      </c>
      <c r="G138" s="16" t="s">
        <v>4748</v>
      </c>
      <c r="H138" s="203" t="s">
        <v>4750</v>
      </c>
      <c r="I138" s="203"/>
      <c r="J138" s="203" t="s">
        <v>4757</v>
      </c>
      <c r="K138" s="129" t="s">
        <v>4806</v>
      </c>
      <c r="L138" s="16"/>
      <c r="M138" s="8">
        <v>1</v>
      </c>
      <c r="N138" s="31"/>
      <c r="O138" s="476" t="s">
        <v>4749</v>
      </c>
    </row>
    <row r="139" spans="1:16" s="17" customFormat="1" ht="33" customHeight="1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4705</v>
      </c>
      <c r="H140" s="203" t="s">
        <v>214</v>
      </c>
      <c r="I140" s="31" t="s">
        <v>4741</v>
      </c>
      <c r="J140" s="203"/>
      <c r="K140" s="129" t="s">
        <v>3306</v>
      </c>
      <c r="L140" s="16"/>
      <c r="M140" s="8">
        <v>1</v>
      </c>
      <c r="N140" s="31" t="s">
        <v>4830</v>
      </c>
      <c r="O140" s="479" t="s">
        <v>3307</v>
      </c>
      <c r="P140" s="443"/>
    </row>
    <row r="141" spans="1:16" s="17" customFormat="1" ht="33" customHeight="1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4818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4752</v>
      </c>
      <c r="P141" s="443"/>
    </row>
    <row r="142" spans="1:16" s="17" customFormat="1" ht="33" customHeight="1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4743</v>
      </c>
      <c r="I142" s="31" t="s">
        <v>4741</v>
      </c>
      <c r="J142" s="203"/>
      <c r="K142" s="129" t="s">
        <v>3306</v>
      </c>
      <c r="L142" s="16"/>
      <c r="M142" s="8">
        <v>1</v>
      </c>
      <c r="N142" s="203" t="s">
        <v>4839</v>
      </c>
      <c r="O142" s="479" t="s">
        <v>3307</v>
      </c>
    </row>
    <row r="143" spans="1:16" s="17" customFormat="1" ht="33" customHeight="1">
      <c r="A143" s="472"/>
      <c r="B143" s="424">
        <v>46077</v>
      </c>
      <c r="C143" s="4" t="s">
        <v>21</v>
      </c>
      <c r="D143" s="4" t="s">
        <v>30</v>
      </c>
      <c r="E143" s="31" t="s">
        <v>4770</v>
      </c>
      <c r="F143" s="31" t="s">
        <v>2833</v>
      </c>
      <c r="G143" s="16" t="s">
        <v>206</v>
      </c>
      <c r="H143" s="203" t="s">
        <v>4461</v>
      </c>
      <c r="I143" s="31"/>
      <c r="J143" s="203" t="s">
        <v>4724</v>
      </c>
      <c r="K143" s="129" t="s">
        <v>32</v>
      </c>
      <c r="L143" s="16"/>
      <c r="M143" s="8">
        <v>1</v>
      </c>
      <c r="N143" s="469"/>
      <c r="O143" s="485" t="s">
        <v>4771</v>
      </c>
    </row>
    <row r="144" spans="1:16" s="17" customFormat="1" ht="33" customHeight="1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4734</v>
      </c>
      <c r="G144" s="450" t="s">
        <v>4630</v>
      </c>
      <c r="H144" s="203" t="s">
        <v>4700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4844</v>
      </c>
    </row>
    <row r="145" spans="1:19" s="17" customFormat="1" ht="33" customHeight="1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4742</v>
      </c>
      <c r="I145" s="31" t="s">
        <v>4741</v>
      </c>
      <c r="J145" s="203"/>
      <c r="K145" s="129" t="s">
        <v>3306</v>
      </c>
      <c r="L145" s="16"/>
      <c r="M145" s="8">
        <v>1</v>
      </c>
      <c r="N145" s="203" t="s">
        <v>4840</v>
      </c>
      <c r="O145" s="479" t="s">
        <v>3307</v>
      </c>
    </row>
    <row r="146" spans="1:19" s="17" customFormat="1" ht="33" customHeight="1">
      <c r="A146" s="472"/>
      <c r="B146" s="424">
        <v>46078</v>
      </c>
      <c r="C146" s="4" t="s">
        <v>4759</v>
      </c>
      <c r="D146" s="4" t="s">
        <v>4760</v>
      </c>
      <c r="E146" s="328" t="s">
        <v>4761</v>
      </c>
      <c r="F146" s="31" t="s">
        <v>4762</v>
      </c>
      <c r="G146" s="16" t="s">
        <v>4763</v>
      </c>
      <c r="H146" s="203" t="s">
        <v>4859</v>
      </c>
      <c r="I146" s="31"/>
      <c r="J146" s="31" t="s">
        <v>4764</v>
      </c>
      <c r="K146" s="129" t="s">
        <v>4765</v>
      </c>
      <c r="L146" s="16"/>
      <c r="M146" s="8">
        <v>1</v>
      </c>
      <c r="N146" s="31"/>
      <c r="O146" s="476" t="s">
        <v>4817</v>
      </c>
    </row>
    <row r="147" spans="1:19" s="17" customFormat="1" ht="33" customHeight="1">
      <c r="A147" s="472"/>
      <c r="B147" s="424">
        <v>46078</v>
      </c>
      <c r="C147" s="4" t="s">
        <v>4827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4828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4829</v>
      </c>
    </row>
    <row r="148" spans="1:19" s="17" customFormat="1" ht="33" customHeight="1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4708</v>
      </c>
      <c r="O148" s="480"/>
    </row>
    <row r="149" spans="1:19" s="17" customFormat="1" ht="33" customHeight="1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4874</v>
      </c>
      <c r="I150" s="325" t="s">
        <v>90</v>
      </c>
      <c r="J150" s="324" t="s">
        <v>4768</v>
      </c>
      <c r="K150" s="323" t="s">
        <v>15</v>
      </c>
      <c r="L150" s="207" t="s">
        <v>4824</v>
      </c>
      <c r="M150" s="192">
        <v>3</v>
      </c>
      <c r="N150" s="324"/>
      <c r="O150" s="484" t="s">
        <v>4769</v>
      </c>
    </row>
    <row r="151" spans="1:19" s="17" customFormat="1" ht="33" customHeight="1">
      <c r="A151" s="472"/>
      <c r="B151" s="424">
        <v>46080</v>
      </c>
      <c r="C151" s="4" t="s">
        <v>64</v>
      </c>
      <c r="D151" s="4" t="s">
        <v>77</v>
      </c>
      <c r="E151" s="31" t="s">
        <v>4868</v>
      </c>
      <c r="F151" s="31" t="s">
        <v>363</v>
      </c>
      <c r="G151" s="16" t="s">
        <v>3368</v>
      </c>
      <c r="H151" s="203" t="s">
        <v>4869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4867</v>
      </c>
    </row>
    <row r="152" spans="1:19" s="17" customFormat="1" ht="33" customHeight="1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4904</v>
      </c>
      <c r="I152" s="203"/>
      <c r="J152" s="203" t="s">
        <v>4820</v>
      </c>
      <c r="K152" s="129" t="s">
        <v>4821</v>
      </c>
      <c r="L152" s="16"/>
      <c r="M152" s="8">
        <v>2</v>
      </c>
      <c r="N152" s="203"/>
      <c r="O152" s="476" t="s">
        <v>4769</v>
      </c>
    </row>
    <row r="153" spans="1:19" s="17" customFormat="1" ht="33" customHeight="1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4891</v>
      </c>
    </row>
    <row r="154" spans="1:19" s="17" customFormat="1" ht="33" customHeight="1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4728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4834</v>
      </c>
      <c r="G157" s="16" t="s">
        <v>3368</v>
      </c>
      <c r="H157" s="203" t="s">
        <v>4905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4835</v>
      </c>
      <c r="O157" s="477" t="s">
        <v>4880</v>
      </c>
      <c r="P157" s="499"/>
    </row>
    <row r="158" spans="1:19" s="17" customFormat="1" ht="33" customHeight="1">
      <c r="A158" s="472"/>
      <c r="B158" s="424">
        <v>46084</v>
      </c>
      <c r="C158" s="4" t="s">
        <v>21</v>
      </c>
      <c r="D158" s="4" t="s">
        <v>14</v>
      </c>
      <c r="E158" s="31" t="s">
        <v>4888</v>
      </c>
      <c r="F158" s="203" t="s">
        <v>4883</v>
      </c>
      <c r="G158" s="16" t="s">
        <v>4885</v>
      </c>
      <c r="H158" s="203" t="s">
        <v>4887</v>
      </c>
      <c r="I158" s="31"/>
      <c r="J158" s="203" t="s">
        <v>4886</v>
      </c>
      <c r="K158" s="129" t="s">
        <v>15</v>
      </c>
      <c r="L158" s="16"/>
      <c r="M158" s="8">
        <v>1</v>
      </c>
      <c r="N158" s="31"/>
      <c r="O158" s="477" t="s">
        <v>4890</v>
      </c>
    </row>
    <row r="159" spans="1:19" s="17" customFormat="1" ht="33" customHeight="1">
      <c r="A159" s="472"/>
      <c r="B159" s="424">
        <v>46084</v>
      </c>
      <c r="C159" s="4" t="s">
        <v>21</v>
      </c>
      <c r="D159" s="4" t="s">
        <v>14</v>
      </c>
      <c r="E159" s="203" t="s">
        <v>4882</v>
      </c>
      <c r="F159" s="31" t="s">
        <v>109</v>
      </c>
      <c r="G159" s="16" t="s">
        <v>143</v>
      </c>
      <c r="H159" s="305" t="s">
        <v>4892</v>
      </c>
      <c r="I159" s="31"/>
      <c r="J159" s="31" t="s">
        <v>4901</v>
      </c>
      <c r="K159" s="129" t="s">
        <v>15</v>
      </c>
      <c r="L159" s="16">
        <v>9080</v>
      </c>
      <c r="M159" s="8">
        <v>1</v>
      </c>
      <c r="N159" s="31"/>
      <c r="O159" s="498" t="s">
        <v>4881</v>
      </c>
    </row>
    <row r="160" spans="1:19" s="17" customFormat="1" ht="33" customHeight="1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4946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4731</v>
      </c>
      <c r="O160" s="476" t="s">
        <v>4943</v>
      </c>
    </row>
    <row r="161" spans="1:19" s="17" customFormat="1" ht="33" customHeight="1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4945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4944</v>
      </c>
    </row>
    <row r="162" spans="1:19" s="17" customFormat="1" ht="33" customHeight="1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4950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4956</v>
      </c>
    </row>
    <row r="163" spans="1:19" s="17" customFormat="1" ht="33" customHeight="1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4878</v>
      </c>
      <c r="H163" s="328" t="s">
        <v>4965</v>
      </c>
      <c r="I163" s="31"/>
      <c r="J163" s="31" t="s">
        <v>4876</v>
      </c>
      <c r="K163" s="129" t="s">
        <v>15</v>
      </c>
      <c r="L163" s="16"/>
      <c r="M163" s="8">
        <v>1</v>
      </c>
      <c r="N163" s="31"/>
      <c r="O163" s="479" t="s">
        <v>4879</v>
      </c>
    </row>
    <row r="164" spans="1:19" s="17" customFormat="1" ht="33" customHeight="1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4961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4955</v>
      </c>
    </row>
    <row r="165" spans="1:19" s="17" customFormat="1" ht="33" customHeight="1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4864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4940</v>
      </c>
      <c r="O165" s="477" t="s">
        <v>4937</v>
      </c>
    </row>
    <row r="166" spans="1:19" s="17" customFormat="1" ht="33" customHeight="1">
      <c r="A166" s="472"/>
      <c r="B166" s="424">
        <v>46087</v>
      </c>
      <c r="C166" s="4" t="s">
        <v>21</v>
      </c>
      <c r="D166" s="4" t="s">
        <v>17</v>
      </c>
      <c r="E166" s="31" t="s">
        <v>4962</v>
      </c>
      <c r="F166" s="31">
        <v>7064</v>
      </c>
      <c r="G166" s="16" t="s">
        <v>83</v>
      </c>
      <c r="H166" s="203" t="s">
        <v>4963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4964</v>
      </c>
    </row>
    <row r="167" spans="1:19" s="17" customFormat="1" ht="33" customHeight="1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4966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4971</v>
      </c>
    </row>
    <row r="168" spans="1:19" s="17" customFormat="1" ht="33" customHeight="1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28"/>
      <c r="Q169" s="529"/>
      <c r="R169" s="529"/>
      <c r="S169" s="529"/>
    </row>
    <row r="170" spans="1:19" s="17" customFormat="1" ht="33" customHeight="1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4875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4731</v>
      </c>
      <c r="O170" s="479" t="s">
        <v>4969</v>
      </c>
    </row>
    <row r="171" spans="1:19" s="17" customFormat="1" ht="33" customHeight="1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5004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5005</v>
      </c>
      <c r="O172" s="503" t="s">
        <v>4954</v>
      </c>
    </row>
    <row r="173" spans="1:19" s="17" customFormat="1" ht="33" customHeight="1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4952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4953</v>
      </c>
    </row>
    <row r="174" spans="1:19" s="17" customFormat="1" ht="33" customHeight="1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4875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4969</v>
      </c>
    </row>
    <row r="175" spans="1:19" s="17" customFormat="1" ht="33" customHeight="1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4951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4975</v>
      </c>
    </row>
    <row r="176" spans="1:19" s="17" customFormat="1" ht="33" customHeight="1">
      <c r="A176" s="472"/>
      <c r="B176" s="424">
        <v>46092</v>
      </c>
      <c r="C176" s="4" t="s">
        <v>21</v>
      </c>
      <c r="D176" s="4" t="s">
        <v>17</v>
      </c>
      <c r="E176" s="203" t="s">
        <v>5007</v>
      </c>
      <c r="F176" s="31" t="s">
        <v>4949</v>
      </c>
      <c r="G176" s="16" t="s">
        <v>103</v>
      </c>
      <c r="H176" s="507" t="s">
        <v>4970</v>
      </c>
      <c r="I176" s="31" t="s">
        <v>90</v>
      </c>
      <c r="J176" s="203" t="s">
        <v>687</v>
      </c>
      <c r="K176" s="129" t="s">
        <v>5006</v>
      </c>
      <c r="L176" s="16"/>
      <c r="M176" s="8">
        <v>2</v>
      </c>
      <c r="N176" s="469" t="s">
        <v>4903</v>
      </c>
      <c r="O176" s="502" t="s">
        <v>4993</v>
      </c>
    </row>
    <row r="177" spans="1:19" s="17" customFormat="1" ht="33" customHeight="1">
      <c r="A177" s="472"/>
      <c r="B177" s="424">
        <v>46092</v>
      </c>
      <c r="C177" s="4"/>
      <c r="D177" s="4"/>
      <c r="E177" s="305"/>
      <c r="F177" s="31"/>
      <c r="G177" s="16"/>
      <c r="H177" s="203"/>
      <c r="I177" s="31"/>
      <c r="J177" s="31"/>
      <c r="K177" s="129"/>
      <c r="L177" s="16"/>
      <c r="M177" s="8"/>
      <c r="N177" s="31"/>
      <c r="O177" s="480"/>
    </row>
    <row r="178" spans="1:19" s="17" customFormat="1" ht="33" customHeight="1">
      <c r="A178" s="472"/>
      <c r="B178" s="424">
        <v>46093</v>
      </c>
      <c r="C178" s="203"/>
      <c r="D178" s="203"/>
      <c r="E178" s="203"/>
      <c r="F178" s="203"/>
      <c r="G178" s="203"/>
      <c r="H178" s="203"/>
      <c r="I178" s="31"/>
      <c r="J178" s="31"/>
      <c r="K178" s="129"/>
      <c r="L178" s="16"/>
      <c r="M178" s="8"/>
      <c r="N178" s="31"/>
      <c r="O178" s="480"/>
      <c r="P178" s="443"/>
    </row>
    <row r="179" spans="1:19" s="17" customFormat="1" ht="33" customHeight="1">
      <c r="A179" s="472"/>
      <c r="B179" s="424">
        <v>46093</v>
      </c>
      <c r="C179" s="203"/>
      <c r="D179" s="203"/>
      <c r="E179" s="203"/>
      <c r="F179" s="203"/>
      <c r="G179" s="203"/>
      <c r="H179" s="203"/>
      <c r="I179" s="31"/>
      <c r="J179" s="31"/>
      <c r="K179" s="129"/>
      <c r="L179" s="16"/>
      <c r="M179" s="8"/>
      <c r="N179" s="31"/>
      <c r="O179" s="480"/>
    </row>
    <row r="180" spans="1:19" s="17" customFormat="1" ht="33" customHeight="1">
      <c r="A180" s="472"/>
      <c r="B180" s="424">
        <v>46094</v>
      </c>
      <c r="C180" s="4" t="s">
        <v>21</v>
      </c>
      <c r="D180" s="4" t="s">
        <v>17</v>
      </c>
      <c r="E180" s="203" t="s">
        <v>4865</v>
      </c>
      <c r="F180" s="305" t="s">
        <v>4870</v>
      </c>
      <c r="G180" s="497" t="s">
        <v>23</v>
      </c>
      <c r="H180" s="203" t="s">
        <v>4871</v>
      </c>
      <c r="I180" s="31"/>
      <c r="J180" s="203" t="s">
        <v>642</v>
      </c>
      <c r="K180" s="129" t="s">
        <v>15</v>
      </c>
      <c r="L180" s="16"/>
      <c r="M180" s="8">
        <v>2</v>
      </c>
      <c r="N180" s="328" t="s">
        <v>5025</v>
      </c>
      <c r="O180" s="477" t="s">
        <v>4994</v>
      </c>
    </row>
    <row r="181" spans="1:19" s="17" customFormat="1" ht="33" customHeight="1">
      <c r="A181" s="472"/>
      <c r="B181" s="424">
        <v>46094</v>
      </c>
      <c r="C181" s="4" t="s">
        <v>5028</v>
      </c>
      <c r="D181" s="4" t="s">
        <v>5029</v>
      </c>
      <c r="E181" s="31" t="s">
        <v>5030</v>
      </c>
      <c r="F181" s="31" t="s">
        <v>5031</v>
      </c>
      <c r="G181" s="16" t="s">
        <v>5032</v>
      </c>
      <c r="H181" s="203" t="s">
        <v>5033</v>
      </c>
      <c r="I181" s="31" t="s">
        <v>5034</v>
      </c>
      <c r="J181" s="31" t="s">
        <v>5059</v>
      </c>
      <c r="K181" s="129" t="s">
        <v>15</v>
      </c>
      <c r="L181" s="16">
        <v>9080</v>
      </c>
      <c r="M181" s="8">
        <v>5</v>
      </c>
      <c r="N181" s="31" t="s">
        <v>5003</v>
      </c>
      <c r="O181" s="476"/>
    </row>
    <row r="182" spans="1:19" s="17" customFormat="1" ht="33" customHeight="1">
      <c r="A182" s="472"/>
      <c r="B182" s="424">
        <v>46095</v>
      </c>
      <c r="C182" s="4" t="s">
        <v>5028</v>
      </c>
      <c r="D182" s="4" t="s">
        <v>5029</v>
      </c>
      <c r="E182" s="31" t="s">
        <v>5030</v>
      </c>
      <c r="F182" s="31" t="s">
        <v>5031</v>
      </c>
      <c r="G182" s="16" t="s">
        <v>5032</v>
      </c>
      <c r="H182" s="203" t="s">
        <v>5033</v>
      </c>
      <c r="I182" s="31" t="s">
        <v>5034</v>
      </c>
      <c r="J182" s="31" t="s">
        <v>5059</v>
      </c>
      <c r="K182" s="129" t="s">
        <v>15</v>
      </c>
      <c r="L182" s="16">
        <v>9080</v>
      </c>
      <c r="M182" s="8">
        <v>5</v>
      </c>
      <c r="N182" s="31"/>
      <c r="O182" s="480"/>
    </row>
    <row r="183" spans="1:19" s="17" customFormat="1" ht="33" customHeight="1">
      <c r="A183" s="473"/>
      <c r="B183" s="386">
        <v>46095</v>
      </c>
      <c r="C183" s="4" t="s">
        <v>21</v>
      </c>
      <c r="D183" s="4" t="s">
        <v>14</v>
      </c>
      <c r="E183" s="31" t="s">
        <v>1900</v>
      </c>
      <c r="F183" s="31" t="s">
        <v>3638</v>
      </c>
      <c r="G183" s="16" t="s">
        <v>34</v>
      </c>
      <c r="H183" s="203" t="s">
        <v>4966</v>
      </c>
      <c r="I183" s="203" t="s">
        <v>127</v>
      </c>
      <c r="J183" s="203" t="s">
        <v>5036</v>
      </c>
      <c r="K183" s="129" t="s">
        <v>15</v>
      </c>
      <c r="L183" s="16" t="s">
        <v>33</v>
      </c>
      <c r="M183" s="8">
        <v>3</v>
      </c>
      <c r="N183" s="31"/>
      <c r="O183" s="479" t="s">
        <v>5037</v>
      </c>
    </row>
    <row r="184" spans="1:19" s="17" customFormat="1" ht="33" customHeight="1">
      <c r="A184" s="474" t="s">
        <v>0</v>
      </c>
      <c r="B184" s="339" t="s">
        <v>1</v>
      </c>
      <c r="C184" s="338" t="s">
        <v>2</v>
      </c>
      <c r="D184" s="338" t="s">
        <v>3</v>
      </c>
      <c r="E184" s="338" t="s">
        <v>4</v>
      </c>
      <c r="F184" s="338" t="s">
        <v>5</v>
      </c>
      <c r="G184" s="338" t="s">
        <v>6</v>
      </c>
      <c r="H184" s="340" t="s">
        <v>7</v>
      </c>
      <c r="I184" s="338" t="s">
        <v>8</v>
      </c>
      <c r="J184" s="338" t="s">
        <v>9</v>
      </c>
      <c r="K184" s="341" t="s">
        <v>10</v>
      </c>
      <c r="L184" s="342" t="s">
        <v>11</v>
      </c>
      <c r="M184" s="338" t="s">
        <v>12</v>
      </c>
      <c r="N184" s="343" t="s">
        <v>13</v>
      </c>
      <c r="O184" s="475" t="s">
        <v>63</v>
      </c>
      <c r="P184" s="526" t="s">
        <v>4755</v>
      </c>
      <c r="Q184" s="527"/>
      <c r="R184" s="527"/>
      <c r="S184" s="527"/>
    </row>
    <row r="185" spans="1:19" s="17" customFormat="1" ht="33" customHeight="1">
      <c r="A185" s="471" t="s">
        <v>4544</v>
      </c>
      <c r="B185" s="424">
        <v>46097</v>
      </c>
      <c r="C185" s="3" t="s">
        <v>21</v>
      </c>
      <c r="D185" s="3" t="s">
        <v>5009</v>
      </c>
      <c r="E185" s="513" t="s">
        <v>5026</v>
      </c>
      <c r="F185" s="508">
        <v>3306</v>
      </c>
      <c r="G185" s="514" t="s">
        <v>5027</v>
      </c>
      <c r="H185" s="513" t="s">
        <v>5035</v>
      </c>
      <c r="I185" s="508" t="s">
        <v>5043</v>
      </c>
      <c r="J185" s="507" t="s">
        <v>5042</v>
      </c>
      <c r="K185" s="140" t="s">
        <v>15</v>
      </c>
      <c r="L185" s="514"/>
      <c r="M185" s="8">
        <v>5</v>
      </c>
      <c r="N185" s="521" t="s">
        <v>5099</v>
      </c>
      <c r="O185" s="479"/>
      <c r="P185" s="462" t="s">
        <v>4947</v>
      </c>
    </row>
    <row r="186" spans="1:19" s="17" customFormat="1" ht="33" customHeight="1">
      <c r="A186" s="472"/>
      <c r="B186" s="424">
        <v>46097</v>
      </c>
      <c r="C186" s="4"/>
      <c r="D186" s="4"/>
      <c r="E186" s="305"/>
      <c r="F186" s="31"/>
      <c r="G186" s="16"/>
      <c r="H186" s="203"/>
      <c r="I186" s="31"/>
      <c r="J186" s="31"/>
      <c r="K186" s="129"/>
      <c r="L186" s="16"/>
      <c r="M186" s="8"/>
      <c r="N186" s="31"/>
      <c r="O186" s="479"/>
      <c r="P186" s="462" t="s">
        <v>4725</v>
      </c>
    </row>
    <row r="187" spans="1:19" s="17" customFormat="1" ht="33" customHeight="1">
      <c r="A187" s="472"/>
      <c r="B187" s="424">
        <v>46098</v>
      </c>
      <c r="C187" s="4" t="s">
        <v>5016</v>
      </c>
      <c r="D187" s="4" t="s">
        <v>5017</v>
      </c>
      <c r="E187" s="31" t="s">
        <v>5018</v>
      </c>
      <c r="F187" s="31" t="s">
        <v>5019</v>
      </c>
      <c r="G187" s="16" t="s">
        <v>5020</v>
      </c>
      <c r="H187" s="203" t="s">
        <v>5021</v>
      </c>
      <c r="I187" s="31" t="s">
        <v>5022</v>
      </c>
      <c r="J187" s="203" t="s">
        <v>5023</v>
      </c>
      <c r="K187" s="129" t="s">
        <v>5024</v>
      </c>
      <c r="L187" s="16">
        <v>9080</v>
      </c>
      <c r="M187" s="8">
        <v>4</v>
      </c>
      <c r="N187" s="469"/>
      <c r="O187" s="478"/>
      <c r="P187" s="433" t="s">
        <v>4843</v>
      </c>
    </row>
    <row r="188" spans="1:19" s="17" customFormat="1" ht="33" customHeight="1">
      <c r="A188" s="472"/>
      <c r="B188" s="424">
        <v>46098</v>
      </c>
      <c r="C188" s="3" t="s">
        <v>4995</v>
      </c>
      <c r="D188" s="3" t="s">
        <v>4996</v>
      </c>
      <c r="E188" s="508" t="s">
        <v>4997</v>
      </c>
      <c r="F188" s="508" t="s">
        <v>4998</v>
      </c>
      <c r="G188" s="514" t="s">
        <v>4999</v>
      </c>
      <c r="H188" s="513" t="s">
        <v>5053</v>
      </c>
      <c r="I188" s="508" t="s">
        <v>5001</v>
      </c>
      <c r="J188" s="507" t="s">
        <v>5054</v>
      </c>
      <c r="K188" s="140" t="s">
        <v>15</v>
      </c>
      <c r="L188" s="514" t="s">
        <v>5002</v>
      </c>
      <c r="M188" s="8">
        <v>2</v>
      </c>
      <c r="N188" s="469"/>
      <c r="O188" s="478" t="s">
        <v>5000</v>
      </c>
    </row>
    <row r="189" spans="1:19" s="17" customFormat="1" ht="33" customHeight="1">
      <c r="A189" s="472"/>
      <c r="B189" s="424">
        <v>46098</v>
      </c>
      <c r="C189" s="3" t="s">
        <v>21</v>
      </c>
      <c r="D189" s="3" t="s">
        <v>17</v>
      </c>
      <c r="E189" s="513" t="s">
        <v>5026</v>
      </c>
      <c r="F189" s="508">
        <v>3306</v>
      </c>
      <c r="G189" s="514" t="s">
        <v>5027</v>
      </c>
      <c r="H189" s="513" t="s">
        <v>5035</v>
      </c>
      <c r="I189" s="508" t="s">
        <v>5043</v>
      </c>
      <c r="J189" s="507" t="s">
        <v>5042</v>
      </c>
      <c r="K189" s="140" t="s">
        <v>15</v>
      </c>
      <c r="L189" s="514"/>
      <c r="M189" s="8">
        <v>5</v>
      </c>
      <c r="N189" s="31"/>
      <c r="O189" s="478"/>
    </row>
    <row r="190" spans="1:19" s="17" customFormat="1" ht="33" customHeight="1">
      <c r="A190" s="472"/>
      <c r="B190" s="424">
        <v>46099</v>
      </c>
      <c r="C190" s="4" t="s">
        <v>5008</v>
      </c>
      <c r="D190" s="4" t="s">
        <v>5009</v>
      </c>
      <c r="E190" s="328" t="s">
        <v>5010</v>
      </c>
      <c r="F190" s="31" t="s">
        <v>5011</v>
      </c>
      <c r="G190" s="16" t="s">
        <v>5012</v>
      </c>
      <c r="H190" s="203" t="s">
        <v>5013</v>
      </c>
      <c r="I190" s="31"/>
      <c r="J190" s="31" t="s">
        <v>5014</v>
      </c>
      <c r="K190" s="129" t="s">
        <v>5015</v>
      </c>
      <c r="L190" s="16">
        <v>9080</v>
      </c>
      <c r="M190" s="8">
        <v>4</v>
      </c>
      <c r="N190" s="31" t="s">
        <v>4731</v>
      </c>
      <c r="O190" s="480"/>
    </row>
    <row r="191" spans="1:19" s="17" customFormat="1" ht="33" customHeight="1">
      <c r="A191" s="472"/>
      <c r="B191" s="424">
        <v>46099</v>
      </c>
      <c r="C191" s="3" t="s">
        <v>21</v>
      </c>
      <c r="D191" s="3" t="s">
        <v>17</v>
      </c>
      <c r="E191" s="513" t="s">
        <v>5026</v>
      </c>
      <c r="F191" s="508">
        <v>3306</v>
      </c>
      <c r="G191" s="514" t="s">
        <v>5027</v>
      </c>
      <c r="H191" s="513" t="s">
        <v>5035</v>
      </c>
      <c r="I191" s="508" t="s">
        <v>5043</v>
      </c>
      <c r="J191" s="507" t="s">
        <v>5042</v>
      </c>
      <c r="K191" s="140" t="s">
        <v>15</v>
      </c>
      <c r="L191" s="514"/>
      <c r="M191" s="8">
        <v>5</v>
      </c>
      <c r="N191" s="31"/>
      <c r="O191" s="480"/>
    </row>
    <row r="192" spans="1:19" s="17" customFormat="1" ht="33" customHeight="1">
      <c r="A192" s="472"/>
      <c r="B192" s="424">
        <v>46100</v>
      </c>
      <c r="C192" s="3"/>
      <c r="D192" s="3"/>
      <c r="E192" s="508"/>
      <c r="F192" s="508"/>
      <c r="G192" s="514"/>
      <c r="H192" s="507"/>
      <c r="I192" s="508"/>
      <c r="J192" s="508"/>
      <c r="K192" s="140"/>
      <c r="L192" s="514"/>
      <c r="M192" s="509"/>
      <c r="N192" s="508"/>
      <c r="O192" s="518"/>
      <c r="P192" s="516"/>
    </row>
    <row r="193" spans="1:17" s="17" customFormat="1" ht="33" customHeight="1">
      <c r="A193" s="472"/>
      <c r="B193" s="424">
        <v>46100</v>
      </c>
      <c r="C193" s="3"/>
      <c r="D193" s="3"/>
      <c r="E193" s="513"/>
      <c r="F193" s="508"/>
      <c r="G193" s="514"/>
      <c r="H193" s="513"/>
      <c r="I193" s="508"/>
      <c r="J193" s="507"/>
      <c r="K193" s="140"/>
      <c r="L193" s="514"/>
      <c r="M193" s="509"/>
      <c r="N193" s="510"/>
      <c r="O193" s="515"/>
      <c r="P193" s="516"/>
      <c r="Q193" s="517"/>
    </row>
    <row r="194" spans="1:17" s="17" customFormat="1" ht="33" customHeight="1">
      <c r="A194" s="472"/>
      <c r="B194" s="424">
        <v>46100</v>
      </c>
      <c r="C194" s="4" t="s">
        <v>5008</v>
      </c>
      <c r="D194" s="4" t="s">
        <v>5009</v>
      </c>
      <c r="E194" s="328" t="s">
        <v>5010</v>
      </c>
      <c r="F194" s="31" t="s">
        <v>5011</v>
      </c>
      <c r="G194" s="16" t="s">
        <v>5012</v>
      </c>
      <c r="H194" s="203" t="s">
        <v>5013</v>
      </c>
      <c r="I194" s="31"/>
      <c r="J194" s="203" t="s">
        <v>5055</v>
      </c>
      <c r="K194" s="129" t="s">
        <v>5015</v>
      </c>
      <c r="L194" s="16">
        <v>9080</v>
      </c>
      <c r="M194" s="8">
        <v>5</v>
      </c>
      <c r="N194" s="31"/>
      <c r="O194" s="477"/>
    </row>
    <row r="195" spans="1:17" s="17" customFormat="1" ht="33" customHeight="1">
      <c r="A195" s="472"/>
      <c r="B195" s="424">
        <v>46100</v>
      </c>
      <c r="C195" s="3" t="s">
        <v>21</v>
      </c>
      <c r="D195" s="3" t="s">
        <v>17</v>
      </c>
      <c r="E195" s="513" t="s">
        <v>5026</v>
      </c>
      <c r="F195" s="508">
        <v>3306</v>
      </c>
      <c r="G195" s="514" t="s">
        <v>5027</v>
      </c>
      <c r="H195" s="513" t="s">
        <v>5035</v>
      </c>
      <c r="I195" s="508" t="s">
        <v>5043</v>
      </c>
      <c r="J195" s="507" t="s">
        <v>5042</v>
      </c>
      <c r="K195" s="140" t="s">
        <v>15</v>
      </c>
      <c r="L195" s="16"/>
      <c r="M195" s="8"/>
      <c r="N195" s="31"/>
      <c r="O195" s="477"/>
    </row>
    <row r="196" spans="1:17" s="17" customFormat="1" ht="33" customHeight="1">
      <c r="A196" s="472"/>
      <c r="B196" s="424">
        <v>46101</v>
      </c>
      <c r="C196" s="4" t="s">
        <v>5008</v>
      </c>
      <c r="D196" s="4" t="s">
        <v>5009</v>
      </c>
      <c r="E196" s="328" t="s">
        <v>5010</v>
      </c>
      <c r="F196" s="31" t="s">
        <v>5011</v>
      </c>
      <c r="G196" s="16" t="s">
        <v>5012</v>
      </c>
      <c r="H196" s="203" t="s">
        <v>5013</v>
      </c>
      <c r="I196" s="31"/>
      <c r="J196" s="203" t="s">
        <v>5055</v>
      </c>
      <c r="K196" s="129" t="s">
        <v>42</v>
      </c>
      <c r="L196" s="16">
        <v>9080</v>
      </c>
      <c r="M196" s="8">
        <v>5</v>
      </c>
      <c r="N196" s="31" t="s">
        <v>4731</v>
      </c>
      <c r="O196" s="476"/>
    </row>
    <row r="197" spans="1:17" s="17" customFormat="1" ht="33" customHeight="1">
      <c r="A197" s="472"/>
      <c r="B197" s="424">
        <v>46101</v>
      </c>
      <c r="C197" s="3"/>
      <c r="D197" s="3"/>
      <c r="E197" s="513"/>
      <c r="F197" s="508"/>
      <c r="G197" s="514"/>
      <c r="H197" s="513"/>
      <c r="I197" s="508"/>
      <c r="J197" s="507"/>
      <c r="K197" s="140"/>
      <c r="L197" s="16"/>
      <c r="M197" s="8"/>
      <c r="N197" s="31"/>
      <c r="O197" s="476"/>
    </row>
    <row r="198" spans="1:17" s="17" customFormat="1" ht="33" customHeight="1">
      <c r="A198" s="472"/>
      <c r="B198" s="424">
        <v>46102</v>
      </c>
      <c r="C198" s="4"/>
      <c r="D198" s="4"/>
      <c r="E198" s="31"/>
      <c r="F198" s="31"/>
      <c r="G198" s="16"/>
      <c r="H198" s="203"/>
      <c r="I198" s="203"/>
      <c r="J198" s="203"/>
      <c r="K198" s="129"/>
      <c r="L198" s="16"/>
      <c r="M198" s="8"/>
      <c r="N198" s="203"/>
      <c r="O198" s="486"/>
    </row>
    <row r="199" spans="1:17" s="17" customFormat="1" ht="33" customHeight="1">
      <c r="A199" s="473"/>
      <c r="B199" s="424">
        <v>46102</v>
      </c>
      <c r="C199" s="4"/>
      <c r="D199" s="4"/>
      <c r="E199" s="31"/>
      <c r="F199" s="31"/>
      <c r="G199" s="16"/>
      <c r="H199" s="203"/>
      <c r="I199" s="203"/>
      <c r="J199" s="203"/>
      <c r="K199" s="129"/>
      <c r="L199" s="16"/>
      <c r="M199" s="8"/>
      <c r="N199" s="31"/>
      <c r="O199" s="480"/>
      <c r="P199" s="462" t="s">
        <v>4957</v>
      </c>
    </row>
    <row r="200" spans="1:17" s="17" customFormat="1" ht="33" customHeight="1">
      <c r="A200" s="474" t="s">
        <v>0</v>
      </c>
      <c r="B200" s="339" t="s">
        <v>1</v>
      </c>
      <c r="C200" s="338" t="s">
        <v>2</v>
      </c>
      <c r="D200" s="338" t="s">
        <v>3</v>
      </c>
      <c r="E200" s="338" t="s">
        <v>4</v>
      </c>
      <c r="F200" s="338" t="s">
        <v>5</v>
      </c>
      <c r="G200" s="338" t="s">
        <v>6</v>
      </c>
      <c r="H200" s="340" t="s">
        <v>7</v>
      </c>
      <c r="I200" s="338" t="s">
        <v>8</v>
      </c>
      <c r="J200" s="338" t="s">
        <v>9</v>
      </c>
      <c r="K200" s="341" t="s">
        <v>10</v>
      </c>
      <c r="L200" s="342" t="s">
        <v>11</v>
      </c>
      <c r="M200" s="338" t="s">
        <v>12</v>
      </c>
      <c r="N200" s="343" t="s">
        <v>13</v>
      </c>
      <c r="O200" s="475" t="s">
        <v>63</v>
      </c>
    </row>
    <row r="201" spans="1:17" s="17" customFormat="1" ht="33" customHeight="1">
      <c r="A201" s="471" t="s">
        <v>4545</v>
      </c>
      <c r="B201" s="424">
        <v>46104</v>
      </c>
      <c r="C201" s="4" t="s">
        <v>21</v>
      </c>
      <c r="D201" s="4" t="s">
        <v>14</v>
      </c>
      <c r="E201" s="31" t="s">
        <v>1794</v>
      </c>
      <c r="F201" s="31" t="s">
        <v>2833</v>
      </c>
      <c r="G201" s="16" t="s">
        <v>23</v>
      </c>
      <c r="H201" s="203" t="s">
        <v>5057</v>
      </c>
      <c r="I201" s="31" t="s">
        <v>5056</v>
      </c>
      <c r="J201" s="31"/>
      <c r="K201" s="129" t="s">
        <v>15</v>
      </c>
      <c r="L201" s="16"/>
      <c r="M201" s="8"/>
      <c r="N201" s="31" t="s">
        <v>4731</v>
      </c>
      <c r="O201" s="479"/>
    </row>
    <row r="202" spans="1:17" s="17" customFormat="1" ht="33" customHeight="1">
      <c r="A202" s="472"/>
      <c r="B202" s="424">
        <v>46104</v>
      </c>
      <c r="C202" s="4"/>
      <c r="D202" s="4"/>
      <c r="E202" s="305"/>
      <c r="F202" s="31"/>
      <c r="G202" s="16"/>
      <c r="H202" s="203"/>
      <c r="I202" s="31"/>
      <c r="J202" s="31"/>
      <c r="K202" s="129"/>
      <c r="L202" s="16"/>
      <c r="M202" s="8"/>
      <c r="N202" s="31"/>
      <c r="O202" s="479"/>
    </row>
    <row r="203" spans="1:17" s="17" customFormat="1" ht="33" customHeight="1">
      <c r="A203" s="472"/>
      <c r="B203" s="424">
        <v>46105</v>
      </c>
      <c r="C203" s="193" t="s">
        <v>21</v>
      </c>
      <c r="D203" s="193" t="s">
        <v>14</v>
      </c>
      <c r="E203" s="330" t="s">
        <v>108</v>
      </c>
      <c r="F203" s="330" t="s">
        <v>2979</v>
      </c>
      <c r="G203" s="408" t="s">
        <v>144</v>
      </c>
      <c r="H203" s="251" t="s">
        <v>272</v>
      </c>
      <c r="I203" s="330" t="s">
        <v>90</v>
      </c>
      <c r="J203" s="330" t="s">
        <v>642</v>
      </c>
      <c r="K203" s="252" t="s">
        <v>15</v>
      </c>
      <c r="L203" s="408"/>
      <c r="M203" s="8"/>
      <c r="N203" s="469"/>
      <c r="O203" s="518" t="s">
        <v>4846</v>
      </c>
    </row>
    <row r="204" spans="1:17" s="17" customFormat="1" ht="33" customHeight="1">
      <c r="A204" s="472"/>
      <c r="B204" s="424">
        <v>46105</v>
      </c>
      <c r="C204" s="4"/>
      <c r="D204" s="4"/>
      <c r="E204" s="31"/>
      <c r="F204" s="31"/>
      <c r="G204" s="16"/>
      <c r="H204" s="203"/>
      <c r="I204" s="31"/>
      <c r="J204" s="203"/>
      <c r="K204" s="129"/>
      <c r="L204" s="16"/>
      <c r="M204" s="8"/>
      <c r="N204" s="469"/>
      <c r="O204" s="478"/>
    </row>
    <row r="205" spans="1:17" s="17" customFormat="1" ht="33" customHeight="1">
      <c r="A205" s="472"/>
      <c r="B205" s="424">
        <v>46106</v>
      </c>
      <c r="C205" s="4" t="s">
        <v>21</v>
      </c>
      <c r="D205" s="4" t="s">
        <v>14</v>
      </c>
      <c r="E205" s="31" t="s">
        <v>1794</v>
      </c>
      <c r="F205" s="31" t="s">
        <v>2833</v>
      </c>
      <c r="G205" s="16" t="s">
        <v>23</v>
      </c>
      <c r="H205" s="203" t="s">
        <v>4960</v>
      </c>
      <c r="I205" s="31"/>
      <c r="J205" s="203" t="s">
        <v>488</v>
      </c>
      <c r="K205" s="129" t="s">
        <v>15</v>
      </c>
      <c r="L205" s="16">
        <v>9080</v>
      </c>
      <c r="M205" s="8">
        <v>2</v>
      </c>
      <c r="N205" s="31" t="s">
        <v>4731</v>
      </c>
      <c r="O205" s="491" t="s">
        <v>4825</v>
      </c>
      <c r="P205" s="462" t="s">
        <v>4831</v>
      </c>
    </row>
    <row r="206" spans="1:17" s="17" customFormat="1" ht="33" customHeight="1">
      <c r="A206" s="472"/>
      <c r="B206" s="424">
        <v>46106</v>
      </c>
      <c r="C206" s="4"/>
      <c r="D206" s="4"/>
      <c r="E206" s="305"/>
      <c r="F206" s="31"/>
      <c r="G206" s="16"/>
      <c r="H206" s="203"/>
      <c r="I206" s="31"/>
      <c r="J206" s="31"/>
      <c r="K206" s="129"/>
      <c r="L206" s="16"/>
      <c r="M206" s="8"/>
      <c r="N206" s="31"/>
      <c r="O206" s="480"/>
    </row>
    <row r="207" spans="1:17" s="17" customFormat="1" ht="33" customHeight="1">
      <c r="A207" s="472"/>
      <c r="B207" s="424">
        <v>46107</v>
      </c>
      <c r="C207" s="193" t="s">
        <v>21</v>
      </c>
      <c r="D207" s="193" t="s">
        <v>17</v>
      </c>
      <c r="E207" s="330" t="s">
        <v>1795</v>
      </c>
      <c r="F207" s="251" t="s">
        <v>4676</v>
      </c>
      <c r="G207" s="408" t="s">
        <v>23</v>
      </c>
      <c r="H207" s="251" t="s">
        <v>4967</v>
      </c>
      <c r="I207" s="330"/>
      <c r="J207" s="251" t="s">
        <v>488</v>
      </c>
      <c r="K207" s="252" t="s">
        <v>42</v>
      </c>
      <c r="L207" s="408">
        <v>9080</v>
      </c>
      <c r="M207" s="432">
        <v>2</v>
      </c>
      <c r="N207" s="469"/>
      <c r="O207" s="478"/>
    </row>
    <row r="208" spans="1:17" s="17" customFormat="1" ht="33" customHeight="1">
      <c r="A208" s="472"/>
      <c r="B208" s="424">
        <v>46107</v>
      </c>
      <c r="C208" s="4" t="s">
        <v>5044</v>
      </c>
      <c r="D208" s="4" t="s">
        <v>5045</v>
      </c>
      <c r="E208" s="305" t="s">
        <v>5046</v>
      </c>
      <c r="F208" s="31" t="s">
        <v>5047</v>
      </c>
      <c r="G208" s="16" t="s">
        <v>5048</v>
      </c>
      <c r="H208" s="203" t="s">
        <v>5058</v>
      </c>
      <c r="I208" s="31" t="s">
        <v>5050</v>
      </c>
      <c r="J208" s="31" t="s">
        <v>5049</v>
      </c>
      <c r="K208" s="129" t="s">
        <v>5051</v>
      </c>
      <c r="L208" s="16" t="s">
        <v>5052</v>
      </c>
      <c r="M208" s="8">
        <v>2</v>
      </c>
      <c r="N208" s="31"/>
      <c r="O208" s="480"/>
    </row>
    <row r="209" spans="1:16" s="17" customFormat="1" ht="33" customHeight="1">
      <c r="A209" s="472"/>
      <c r="B209" s="424">
        <v>46108</v>
      </c>
      <c r="C209" s="193" t="s">
        <v>21</v>
      </c>
      <c r="D209" s="193" t="s">
        <v>17</v>
      </c>
      <c r="E209" s="330" t="s">
        <v>1795</v>
      </c>
      <c r="F209" s="251" t="s">
        <v>4676</v>
      </c>
      <c r="G209" s="408" t="s">
        <v>23</v>
      </c>
      <c r="H209" s="251" t="s">
        <v>4967</v>
      </c>
      <c r="I209" s="330"/>
      <c r="J209" s="251" t="s">
        <v>488</v>
      </c>
      <c r="K209" s="252" t="s">
        <v>42</v>
      </c>
      <c r="L209" s="408">
        <v>9080</v>
      </c>
      <c r="M209" s="432">
        <v>2</v>
      </c>
      <c r="N209" s="330" t="s">
        <v>4907</v>
      </c>
      <c r="O209" s="490" t="s">
        <v>4677</v>
      </c>
      <c r="P209" s="433" t="s">
        <v>4968</v>
      </c>
    </row>
    <row r="210" spans="1:16" s="17" customFormat="1" ht="33" customHeight="1">
      <c r="A210" s="472"/>
      <c r="B210" s="424">
        <v>46108</v>
      </c>
      <c r="C210" s="4"/>
      <c r="D210" s="4"/>
      <c r="E210" s="31"/>
      <c r="F210" s="31"/>
      <c r="G210" s="16"/>
      <c r="H210" s="203"/>
      <c r="I210" s="31"/>
      <c r="J210" s="31"/>
      <c r="K210" s="129"/>
      <c r="L210" s="16"/>
      <c r="M210" s="8"/>
      <c r="N210" s="31"/>
      <c r="O210" s="476"/>
    </row>
    <row r="211" spans="1:16" s="17" customFormat="1" ht="33" customHeight="1">
      <c r="A211" s="472"/>
      <c r="B211" s="424">
        <v>46109</v>
      </c>
      <c r="C211" s="4"/>
      <c r="D211" s="4"/>
      <c r="E211" s="31"/>
      <c r="F211" s="31"/>
      <c r="G211" s="16"/>
      <c r="H211" s="203"/>
      <c r="I211" s="203"/>
      <c r="J211" s="203"/>
      <c r="K211" s="129"/>
      <c r="L211" s="16"/>
      <c r="M211" s="8"/>
      <c r="N211" s="203"/>
      <c r="O211" s="486"/>
    </row>
    <row r="212" spans="1:16" s="17" customFormat="1" ht="33" customHeight="1">
      <c r="A212" s="473"/>
      <c r="B212" s="424">
        <v>46109</v>
      </c>
      <c r="C212" s="4"/>
      <c r="D212" s="4"/>
      <c r="E212" s="31"/>
      <c r="F212" s="31"/>
      <c r="G212" s="16"/>
      <c r="H212" s="203"/>
      <c r="I212" s="203"/>
      <c r="J212" s="203"/>
      <c r="K212" s="129"/>
      <c r="L212" s="16"/>
      <c r="M212" s="8"/>
      <c r="N212" s="31"/>
      <c r="O212" s="480"/>
    </row>
    <row r="213" spans="1:16" s="17" customFormat="1" ht="33" customHeight="1">
      <c r="A213" s="474" t="s">
        <v>0</v>
      </c>
      <c r="B213" s="339" t="s">
        <v>1</v>
      </c>
      <c r="C213" s="338" t="s">
        <v>2</v>
      </c>
      <c r="D213" s="338" t="s">
        <v>3</v>
      </c>
      <c r="E213" s="338" t="s">
        <v>4</v>
      </c>
      <c r="F213" s="338" t="s">
        <v>5</v>
      </c>
      <c r="G213" s="338" t="s">
        <v>6</v>
      </c>
      <c r="H213" s="340" t="s">
        <v>7</v>
      </c>
      <c r="I213" s="338" t="s">
        <v>8</v>
      </c>
      <c r="J213" s="338" t="s">
        <v>9</v>
      </c>
      <c r="K213" s="341" t="s">
        <v>10</v>
      </c>
      <c r="L213" s="342" t="s">
        <v>11</v>
      </c>
      <c r="M213" s="338" t="s">
        <v>12</v>
      </c>
      <c r="N213" s="343" t="s">
        <v>13</v>
      </c>
      <c r="O213" s="475" t="s">
        <v>63</v>
      </c>
    </row>
    <row r="214" spans="1:16" s="17" customFormat="1" ht="33" customHeight="1">
      <c r="A214" s="471" t="s">
        <v>4546</v>
      </c>
      <c r="B214" s="424">
        <v>46111</v>
      </c>
      <c r="C214" s="193" t="s">
        <v>4557</v>
      </c>
      <c r="D214" s="193" t="s">
        <v>4558</v>
      </c>
      <c r="E214" s="251" t="s">
        <v>4568</v>
      </c>
      <c r="F214" s="463" t="s">
        <v>4569</v>
      </c>
      <c r="G214" s="408" t="s">
        <v>4559</v>
      </c>
      <c r="H214" s="251" t="s">
        <v>4564</v>
      </c>
      <c r="I214" s="330" t="s">
        <v>4560</v>
      </c>
      <c r="J214" s="251"/>
      <c r="K214" s="252" t="s">
        <v>4561</v>
      </c>
      <c r="L214" s="408"/>
      <c r="M214" s="432"/>
      <c r="N214" s="31" t="s">
        <v>4731</v>
      </c>
      <c r="O214" s="490" t="s">
        <v>4562</v>
      </c>
    </row>
    <row r="215" spans="1:16" s="17" customFormat="1" ht="33" customHeight="1">
      <c r="A215" s="472"/>
      <c r="B215" s="424">
        <v>46111</v>
      </c>
      <c r="C215" s="4" t="s">
        <v>21</v>
      </c>
      <c r="D215" s="4" t="s">
        <v>14</v>
      </c>
      <c r="E215" s="31" t="s">
        <v>1794</v>
      </c>
      <c r="F215" s="31" t="s">
        <v>2833</v>
      </c>
      <c r="G215" s="16" t="s">
        <v>23</v>
      </c>
      <c r="H215" s="203" t="s">
        <v>4958</v>
      </c>
      <c r="I215" s="31"/>
      <c r="J215" s="203" t="s">
        <v>488</v>
      </c>
      <c r="K215" s="129" t="s">
        <v>15</v>
      </c>
      <c r="L215" s="16">
        <v>9080</v>
      </c>
      <c r="M215" s="8">
        <v>2</v>
      </c>
      <c r="N215" s="31"/>
      <c r="O215" s="491" t="s">
        <v>4825</v>
      </c>
      <c r="P215" s="462" t="s">
        <v>4959</v>
      </c>
    </row>
    <row r="216" spans="1:16" s="17" customFormat="1" ht="33" customHeight="1">
      <c r="A216" s="472"/>
      <c r="B216" s="424">
        <v>46112</v>
      </c>
      <c r="C216" s="4"/>
      <c r="D216" s="4"/>
      <c r="E216" s="31"/>
      <c r="F216" s="31"/>
      <c r="G216" s="16"/>
      <c r="H216" s="203"/>
      <c r="I216" s="31"/>
      <c r="J216" s="203"/>
      <c r="K216" s="129"/>
      <c r="L216" s="16"/>
      <c r="M216" s="8"/>
      <c r="N216" s="469"/>
      <c r="O216" s="478"/>
    </row>
    <row r="217" spans="1:16" s="17" customFormat="1" ht="33" customHeight="1">
      <c r="A217" s="472"/>
      <c r="B217" s="424">
        <v>46112</v>
      </c>
      <c r="C217" s="4"/>
      <c r="D217" s="4"/>
      <c r="E217" s="31"/>
      <c r="F217" s="31"/>
      <c r="G217" s="16"/>
      <c r="H217" s="203"/>
      <c r="I217" s="31"/>
      <c r="J217" s="203"/>
      <c r="K217" s="129"/>
      <c r="L217" s="16"/>
      <c r="M217" s="8"/>
      <c r="N217" s="469"/>
      <c r="O217" s="478"/>
    </row>
    <row r="218" spans="1:16" s="17" customFormat="1" ht="33" customHeight="1">
      <c r="A218" s="472"/>
      <c r="B218" s="424">
        <v>46113</v>
      </c>
      <c r="C218" s="4"/>
      <c r="D218" s="4"/>
      <c r="E218" s="31"/>
      <c r="F218" s="31"/>
      <c r="G218" s="16"/>
      <c r="H218" s="203"/>
      <c r="I218" s="31"/>
      <c r="J218" s="203"/>
      <c r="K218" s="129"/>
      <c r="L218" s="16"/>
      <c r="M218" s="8"/>
      <c r="N218" s="31" t="s">
        <v>4731</v>
      </c>
      <c r="O218" s="478"/>
    </row>
    <row r="219" spans="1:16" s="17" customFormat="1" ht="33" customHeight="1">
      <c r="A219" s="472"/>
      <c r="B219" s="424">
        <v>46113</v>
      </c>
      <c r="C219" s="4"/>
      <c r="D219" s="4"/>
      <c r="E219" s="305"/>
      <c r="F219" s="31"/>
      <c r="G219" s="16"/>
      <c r="H219" s="203"/>
      <c r="I219" s="31"/>
      <c r="J219" s="31"/>
      <c r="K219" s="129"/>
      <c r="L219" s="16"/>
      <c r="M219" s="8"/>
      <c r="N219" s="31"/>
      <c r="O219" s="480"/>
    </row>
    <row r="220" spans="1:16" s="17" customFormat="1" ht="33" customHeight="1">
      <c r="A220" s="472"/>
      <c r="B220" s="424">
        <v>46114</v>
      </c>
      <c r="C220" s="4"/>
      <c r="D220" s="4"/>
      <c r="E220" s="31"/>
      <c r="F220" s="31"/>
      <c r="G220" s="16"/>
      <c r="H220" s="203"/>
      <c r="I220" s="31"/>
      <c r="J220" s="203"/>
      <c r="K220" s="129"/>
      <c r="L220" s="16"/>
      <c r="M220" s="8"/>
      <c r="N220" s="469"/>
      <c r="O220" s="478"/>
    </row>
    <row r="221" spans="1:16" s="17" customFormat="1" ht="33" customHeight="1">
      <c r="A221" s="472"/>
      <c r="B221" s="424">
        <v>46114</v>
      </c>
      <c r="C221" s="4"/>
      <c r="D221" s="4"/>
      <c r="E221" s="305"/>
      <c r="F221" s="31"/>
      <c r="G221" s="16"/>
      <c r="H221" s="203"/>
      <c r="I221" s="31"/>
      <c r="J221" s="31"/>
      <c r="K221" s="129"/>
      <c r="L221" s="16"/>
      <c r="M221" s="8"/>
      <c r="N221" s="31"/>
      <c r="O221" s="480"/>
    </row>
    <row r="222" spans="1:16" s="17" customFormat="1" ht="33" customHeight="1">
      <c r="A222" s="472"/>
      <c r="B222" s="424">
        <v>46115</v>
      </c>
      <c r="C222" s="4"/>
      <c r="D222" s="4"/>
      <c r="E222" s="31"/>
      <c r="F222" s="305"/>
      <c r="G222" s="16"/>
      <c r="H222" s="203"/>
      <c r="I222" s="31"/>
      <c r="J222" s="203"/>
      <c r="K222" s="129"/>
      <c r="L222" s="16"/>
      <c r="M222" s="8"/>
      <c r="N222" s="31" t="s">
        <v>4731</v>
      </c>
      <c r="O222" s="477"/>
    </row>
    <row r="223" spans="1:16" s="17" customFormat="1" ht="33" customHeight="1">
      <c r="A223" s="472"/>
      <c r="B223" s="424">
        <v>46115</v>
      </c>
      <c r="C223" s="4"/>
      <c r="D223" s="4"/>
      <c r="E223" s="31"/>
      <c r="F223" s="31"/>
      <c r="G223" s="16"/>
      <c r="H223" s="203"/>
      <c r="I223" s="31"/>
      <c r="J223" s="31"/>
      <c r="K223" s="129"/>
      <c r="L223" s="16"/>
      <c r="M223" s="8"/>
      <c r="N223" s="31"/>
      <c r="O223" s="476"/>
    </row>
    <row r="224" spans="1:16" s="17" customFormat="1" ht="33" customHeight="1">
      <c r="A224" s="472"/>
      <c r="B224" s="424">
        <v>46116</v>
      </c>
      <c r="C224" s="4"/>
      <c r="D224" s="4"/>
      <c r="E224" s="31"/>
      <c r="F224" s="31"/>
      <c r="G224" s="16"/>
      <c r="H224" s="203"/>
      <c r="I224" s="203"/>
      <c r="J224" s="203"/>
      <c r="K224" s="129"/>
      <c r="L224" s="16"/>
      <c r="M224" s="8"/>
      <c r="N224" s="203"/>
      <c r="O224" s="486"/>
    </row>
    <row r="225" spans="1:16" s="17" customFormat="1" ht="33" customHeight="1">
      <c r="A225" s="473"/>
      <c r="B225" s="424">
        <v>46116</v>
      </c>
      <c r="C225" s="4"/>
      <c r="D225" s="4"/>
      <c r="E225" s="31"/>
      <c r="F225" s="31"/>
      <c r="G225" s="16"/>
      <c r="H225" s="203"/>
      <c r="I225" s="203"/>
      <c r="J225" s="203"/>
      <c r="K225" s="129"/>
      <c r="L225" s="16"/>
      <c r="M225" s="8"/>
      <c r="N225" s="31"/>
      <c r="O225" s="480"/>
    </row>
    <row r="226" spans="1:16" s="17" customFormat="1" ht="33" customHeight="1">
      <c r="A226" s="474" t="s">
        <v>0</v>
      </c>
      <c r="B226" s="339" t="s">
        <v>1</v>
      </c>
      <c r="C226" s="338" t="s">
        <v>2</v>
      </c>
      <c r="D226" s="338" t="s">
        <v>3</v>
      </c>
      <c r="E226" s="338" t="s">
        <v>4</v>
      </c>
      <c r="F226" s="338" t="s">
        <v>5</v>
      </c>
      <c r="G226" s="338" t="s">
        <v>6</v>
      </c>
      <c r="H226" s="340" t="s">
        <v>7</v>
      </c>
      <c r="I226" s="338" t="s">
        <v>8</v>
      </c>
      <c r="J226" s="338" t="s">
        <v>9</v>
      </c>
      <c r="K226" s="341" t="s">
        <v>10</v>
      </c>
      <c r="L226" s="342" t="s">
        <v>11</v>
      </c>
      <c r="M226" s="338" t="s">
        <v>12</v>
      </c>
      <c r="N226" s="343" t="s">
        <v>13</v>
      </c>
      <c r="O226" s="475" t="s">
        <v>63</v>
      </c>
    </row>
    <row r="227" spans="1:16" s="17" customFormat="1" ht="33" customHeight="1">
      <c r="A227" s="471" t="s">
        <v>4547</v>
      </c>
      <c r="B227" s="424">
        <v>46118</v>
      </c>
      <c r="C227" s="4"/>
      <c r="D227" s="4"/>
      <c r="E227" s="31"/>
      <c r="F227" s="203"/>
      <c r="G227" s="16"/>
      <c r="H227" s="203"/>
      <c r="I227" s="31"/>
      <c r="J227" s="31"/>
      <c r="K227" s="129"/>
      <c r="L227" s="16"/>
      <c r="M227" s="8"/>
      <c r="N227" s="31" t="s">
        <v>4731</v>
      </c>
      <c r="O227" s="479"/>
    </row>
    <row r="228" spans="1:16" s="17" customFormat="1" ht="33" customHeight="1">
      <c r="A228" s="472"/>
      <c r="B228" s="424">
        <v>46118</v>
      </c>
      <c r="C228" s="4"/>
      <c r="D228" s="4"/>
      <c r="E228" s="305"/>
      <c r="F228" s="31"/>
      <c r="G228" s="16"/>
      <c r="H228" s="203"/>
      <c r="I228" s="31"/>
      <c r="J228" s="31"/>
      <c r="K228" s="129"/>
      <c r="L228" s="16"/>
      <c r="M228" s="8"/>
      <c r="N228" s="31"/>
      <c r="O228" s="479"/>
    </row>
    <row r="229" spans="1:16" s="17" customFormat="1" ht="33" customHeight="1">
      <c r="A229" s="472"/>
      <c r="B229" s="424">
        <v>46119</v>
      </c>
      <c r="C229" s="214" t="s">
        <v>21</v>
      </c>
      <c r="D229" s="214" t="s">
        <v>17</v>
      </c>
      <c r="E229" s="446" t="s">
        <v>4836</v>
      </c>
      <c r="F229" s="331" t="s">
        <v>4833</v>
      </c>
      <c r="G229" s="438" t="s">
        <v>4837</v>
      </c>
      <c r="H229" s="406" t="s">
        <v>4838</v>
      </c>
      <c r="I229" s="331" t="s">
        <v>4576</v>
      </c>
      <c r="J229" s="331"/>
      <c r="K229" s="349" t="s">
        <v>42</v>
      </c>
      <c r="L229" s="438"/>
      <c r="M229" s="439">
        <v>2</v>
      </c>
      <c r="N229" s="331"/>
      <c r="O229" s="492" t="s">
        <v>4577</v>
      </c>
      <c r="P229" s="462" t="s">
        <v>4578</v>
      </c>
    </row>
    <row r="230" spans="1:16" s="17" customFormat="1" ht="33" customHeight="1">
      <c r="A230" s="472"/>
      <c r="B230" s="424">
        <v>46119</v>
      </c>
      <c r="C230" s="4"/>
      <c r="D230" s="4"/>
      <c r="E230" s="31"/>
      <c r="F230" s="31"/>
      <c r="G230" s="16"/>
      <c r="H230" s="203"/>
      <c r="I230" s="31"/>
      <c r="J230" s="203"/>
      <c r="K230" s="129"/>
      <c r="L230" s="16"/>
      <c r="M230" s="8"/>
      <c r="N230" s="469"/>
      <c r="O230" s="478"/>
    </row>
    <row r="231" spans="1:16" s="17" customFormat="1" ht="33" customHeight="1">
      <c r="A231" s="472"/>
      <c r="B231" s="424">
        <v>46120</v>
      </c>
      <c r="C231" s="4"/>
      <c r="D231" s="4"/>
      <c r="E231" s="31"/>
      <c r="F231" s="31"/>
      <c r="G231" s="16"/>
      <c r="H231" s="203"/>
      <c r="I231" s="31"/>
      <c r="J231" s="203"/>
      <c r="K231" s="129"/>
      <c r="L231" s="16"/>
      <c r="M231" s="8"/>
      <c r="N231" s="31" t="s">
        <v>4731</v>
      </c>
      <c r="O231" s="478"/>
    </row>
    <row r="232" spans="1:16" s="17" customFormat="1" ht="33" customHeight="1">
      <c r="A232" s="472"/>
      <c r="B232" s="424">
        <v>46120</v>
      </c>
      <c r="C232" s="4"/>
      <c r="D232" s="4"/>
      <c r="E232" s="305"/>
      <c r="F232" s="31"/>
      <c r="G232" s="16"/>
      <c r="H232" s="203"/>
      <c r="I232" s="31"/>
      <c r="J232" s="31"/>
      <c r="K232" s="129"/>
      <c r="L232" s="16"/>
      <c r="M232" s="8"/>
      <c r="N232" s="31"/>
      <c r="O232" s="480"/>
    </row>
    <row r="233" spans="1:16" s="17" customFormat="1" ht="33" customHeight="1">
      <c r="A233" s="472"/>
      <c r="B233" s="424">
        <v>46121</v>
      </c>
      <c r="C233" s="4"/>
      <c r="D233" s="4"/>
      <c r="E233" s="31"/>
      <c r="F233" s="31"/>
      <c r="G233" s="16"/>
      <c r="H233" s="203"/>
      <c r="I233" s="31"/>
      <c r="J233" s="203"/>
      <c r="K233" s="129"/>
      <c r="L233" s="16"/>
      <c r="M233" s="8"/>
      <c r="N233" s="469"/>
      <c r="O233" s="478"/>
    </row>
    <row r="234" spans="1:16" s="17" customFormat="1" ht="33" customHeight="1">
      <c r="A234" s="472"/>
      <c r="B234" s="424">
        <v>46121</v>
      </c>
      <c r="C234" s="4"/>
      <c r="D234" s="4"/>
      <c r="E234" s="305"/>
      <c r="F234" s="31"/>
      <c r="G234" s="16"/>
      <c r="H234" s="203"/>
      <c r="I234" s="31"/>
      <c r="J234" s="31"/>
      <c r="K234" s="129"/>
      <c r="L234" s="16"/>
      <c r="M234" s="8"/>
      <c r="N234" s="31"/>
      <c r="O234" s="480"/>
    </row>
    <row r="235" spans="1:16" s="17" customFormat="1" ht="33" customHeight="1">
      <c r="A235" s="472"/>
      <c r="B235" s="424">
        <v>46122</v>
      </c>
      <c r="C235" s="4"/>
      <c r="D235" s="4"/>
      <c r="E235" s="31"/>
      <c r="F235" s="305"/>
      <c r="G235" s="16"/>
      <c r="H235" s="203"/>
      <c r="I235" s="31"/>
      <c r="J235" s="203"/>
      <c r="K235" s="129"/>
      <c r="L235" s="16"/>
      <c r="M235" s="8"/>
      <c r="N235" s="31" t="s">
        <v>4731</v>
      </c>
      <c r="O235" s="477"/>
    </row>
    <row r="236" spans="1:16" s="17" customFormat="1" ht="33" customHeight="1">
      <c r="A236" s="472"/>
      <c r="B236" s="424">
        <v>46122</v>
      </c>
      <c r="C236" s="4"/>
      <c r="D236" s="4"/>
      <c r="E236" s="31"/>
      <c r="F236" s="31"/>
      <c r="G236" s="16"/>
      <c r="H236" s="203"/>
      <c r="I236" s="31"/>
      <c r="J236" s="31"/>
      <c r="K236" s="129"/>
      <c r="L236" s="16"/>
      <c r="M236" s="8"/>
      <c r="N236" s="31"/>
      <c r="O236" s="476"/>
    </row>
    <row r="237" spans="1:16" s="17" customFormat="1" ht="33" customHeight="1">
      <c r="A237" s="472"/>
      <c r="B237" s="424">
        <v>46123</v>
      </c>
      <c r="C237" s="4"/>
      <c r="D237" s="4"/>
      <c r="E237" s="31"/>
      <c r="F237" s="31"/>
      <c r="G237" s="16"/>
      <c r="H237" s="203"/>
      <c r="I237" s="203"/>
      <c r="J237" s="203"/>
      <c r="K237" s="129"/>
      <c r="L237" s="16"/>
      <c r="M237" s="8"/>
      <c r="N237" s="203"/>
      <c r="O237" s="486"/>
    </row>
    <row r="238" spans="1:16" s="17" customFormat="1" ht="33" customHeight="1">
      <c r="A238" s="473"/>
      <c r="B238" s="424">
        <v>46123</v>
      </c>
      <c r="C238" s="4"/>
      <c r="D238" s="4"/>
      <c r="E238" s="31"/>
      <c r="F238" s="31"/>
      <c r="G238" s="16"/>
      <c r="H238" s="203"/>
      <c r="I238" s="203"/>
      <c r="J238" s="203"/>
      <c r="K238" s="129"/>
      <c r="L238" s="16"/>
      <c r="M238" s="8"/>
      <c r="N238" s="31"/>
      <c r="O238" s="480"/>
    </row>
    <row r="239" spans="1:16" s="17" customFormat="1" ht="33" customHeight="1">
      <c r="A239" s="474" t="s">
        <v>0</v>
      </c>
      <c r="B239" s="339" t="s">
        <v>1</v>
      </c>
      <c r="C239" s="338" t="s">
        <v>2</v>
      </c>
      <c r="D239" s="338" t="s">
        <v>3</v>
      </c>
      <c r="E239" s="338" t="s">
        <v>4</v>
      </c>
      <c r="F239" s="338" t="s">
        <v>5</v>
      </c>
      <c r="G239" s="338" t="s">
        <v>6</v>
      </c>
      <c r="H239" s="340" t="s">
        <v>7</v>
      </c>
      <c r="I239" s="338" t="s">
        <v>8</v>
      </c>
      <c r="J239" s="338" t="s">
        <v>9</v>
      </c>
      <c r="K239" s="341" t="s">
        <v>10</v>
      </c>
      <c r="L239" s="342" t="s">
        <v>11</v>
      </c>
      <c r="M239" s="338" t="s">
        <v>12</v>
      </c>
      <c r="N239" s="343" t="s">
        <v>13</v>
      </c>
      <c r="O239" s="475" t="s">
        <v>63</v>
      </c>
    </row>
    <row r="240" spans="1:16" s="17" customFormat="1" ht="33" customHeight="1">
      <c r="A240" s="471" t="s">
        <v>4548</v>
      </c>
      <c r="B240" s="424">
        <v>46125</v>
      </c>
      <c r="C240" s="4"/>
      <c r="D240" s="4"/>
      <c r="E240" s="31"/>
      <c r="F240" s="203"/>
      <c r="G240" s="16"/>
      <c r="H240" s="203"/>
      <c r="I240" s="31"/>
      <c r="J240" s="31"/>
      <c r="K240" s="129"/>
      <c r="L240" s="16"/>
      <c r="M240" s="8"/>
      <c r="N240" s="31" t="s">
        <v>4731</v>
      </c>
      <c r="O240" s="479"/>
    </row>
    <row r="241" spans="1:15" s="17" customFormat="1" ht="33" customHeight="1">
      <c r="A241" s="472"/>
      <c r="B241" s="424">
        <v>46125</v>
      </c>
      <c r="C241" s="4"/>
      <c r="D241" s="4"/>
      <c r="E241" s="305"/>
      <c r="F241" s="31"/>
      <c r="G241" s="16"/>
      <c r="H241" s="203"/>
      <c r="I241" s="31"/>
      <c r="J241" s="31"/>
      <c r="K241" s="129"/>
      <c r="L241" s="16"/>
      <c r="M241" s="8"/>
      <c r="N241" s="31"/>
      <c r="O241" s="479"/>
    </row>
    <row r="242" spans="1:15" s="17" customFormat="1" ht="33" customHeight="1">
      <c r="A242" s="472"/>
      <c r="B242" s="424">
        <v>46126</v>
      </c>
      <c r="C242" s="4"/>
      <c r="D242" s="4"/>
      <c r="E242" s="31"/>
      <c r="F242" s="31"/>
      <c r="G242" s="16"/>
      <c r="H242" s="203"/>
      <c r="I242" s="31"/>
      <c r="J242" s="203"/>
      <c r="K242" s="129"/>
      <c r="L242" s="16"/>
      <c r="M242" s="8"/>
      <c r="N242" s="469"/>
      <c r="O242" s="478"/>
    </row>
    <row r="243" spans="1:15" s="17" customFormat="1" ht="33" customHeight="1">
      <c r="A243" s="472"/>
      <c r="B243" s="424">
        <v>46126</v>
      </c>
      <c r="C243" s="4"/>
      <c r="D243" s="4"/>
      <c r="E243" s="31"/>
      <c r="F243" s="31"/>
      <c r="G243" s="16"/>
      <c r="H243" s="203"/>
      <c r="I243" s="31"/>
      <c r="J243" s="203"/>
      <c r="K243" s="129"/>
      <c r="L243" s="16"/>
      <c r="M243" s="8"/>
      <c r="N243" s="469"/>
      <c r="O243" s="478"/>
    </row>
    <row r="244" spans="1:15" s="17" customFormat="1" ht="33" customHeight="1">
      <c r="A244" s="472"/>
      <c r="B244" s="424">
        <v>46127</v>
      </c>
      <c r="C244" s="4"/>
      <c r="D244" s="4"/>
      <c r="E244" s="31"/>
      <c r="F244" s="31"/>
      <c r="G244" s="16"/>
      <c r="H244" s="203"/>
      <c r="I244" s="31"/>
      <c r="J244" s="203"/>
      <c r="K244" s="129"/>
      <c r="L244" s="16"/>
      <c r="M244" s="8"/>
      <c r="N244" s="31" t="s">
        <v>4731</v>
      </c>
      <c r="O244" s="478"/>
    </row>
    <row r="245" spans="1:15" s="17" customFormat="1" ht="33" customHeight="1">
      <c r="A245" s="472"/>
      <c r="B245" s="424">
        <v>46127</v>
      </c>
      <c r="C245" s="4"/>
      <c r="D245" s="4"/>
      <c r="E245" s="305"/>
      <c r="F245" s="31"/>
      <c r="G245" s="16"/>
      <c r="H245" s="203"/>
      <c r="I245" s="31"/>
      <c r="J245" s="31"/>
      <c r="K245" s="129"/>
      <c r="L245" s="16"/>
      <c r="M245" s="8"/>
      <c r="N245" s="31"/>
      <c r="O245" s="480"/>
    </row>
    <row r="246" spans="1:15" s="17" customFormat="1" ht="33" customHeight="1">
      <c r="A246" s="472"/>
      <c r="B246" s="424">
        <v>46128</v>
      </c>
      <c r="C246" s="4"/>
      <c r="D246" s="4"/>
      <c r="E246" s="31"/>
      <c r="F246" s="31"/>
      <c r="G246" s="16"/>
      <c r="H246" s="203"/>
      <c r="I246" s="31"/>
      <c r="J246" s="203"/>
      <c r="K246" s="129"/>
      <c r="L246" s="16"/>
      <c r="M246" s="8"/>
      <c r="N246" s="469"/>
      <c r="O246" s="478"/>
    </row>
    <row r="247" spans="1:15" s="17" customFormat="1" ht="33" customHeight="1">
      <c r="A247" s="472"/>
      <c r="B247" s="424">
        <v>46128</v>
      </c>
      <c r="C247" s="4"/>
      <c r="D247" s="4"/>
      <c r="E247" s="305"/>
      <c r="F247" s="31"/>
      <c r="G247" s="16"/>
      <c r="H247" s="203"/>
      <c r="I247" s="31"/>
      <c r="J247" s="31"/>
      <c r="K247" s="129"/>
      <c r="L247" s="16"/>
      <c r="M247" s="8"/>
      <c r="N247" s="31"/>
      <c r="O247" s="480"/>
    </row>
    <row r="248" spans="1:15" s="17" customFormat="1" ht="33" customHeight="1">
      <c r="A248" s="472"/>
      <c r="B248" s="424">
        <v>46129</v>
      </c>
      <c r="C248" s="4"/>
      <c r="D248" s="4"/>
      <c r="E248" s="31"/>
      <c r="F248" s="305"/>
      <c r="G248" s="16"/>
      <c r="H248" s="203"/>
      <c r="I248" s="31"/>
      <c r="J248" s="203"/>
      <c r="K248" s="129"/>
      <c r="L248" s="16"/>
      <c r="M248" s="8"/>
      <c r="N248" s="31" t="s">
        <v>4731</v>
      </c>
      <c r="O248" s="477"/>
    </row>
    <row r="249" spans="1:15" s="17" customFormat="1" ht="33" customHeight="1">
      <c r="A249" s="472"/>
      <c r="B249" s="424">
        <v>46129</v>
      </c>
      <c r="C249" s="4"/>
      <c r="D249" s="4"/>
      <c r="E249" s="31"/>
      <c r="F249" s="31"/>
      <c r="G249" s="16"/>
      <c r="H249" s="203"/>
      <c r="I249" s="31"/>
      <c r="J249" s="31"/>
      <c r="K249" s="129"/>
      <c r="L249" s="16"/>
      <c r="M249" s="8"/>
      <c r="N249" s="31"/>
      <c r="O249" s="476"/>
    </row>
    <row r="250" spans="1:15" s="17" customFormat="1" ht="33" customHeight="1">
      <c r="A250" s="472"/>
      <c r="B250" s="424">
        <v>46130</v>
      </c>
      <c r="C250" s="4"/>
      <c r="D250" s="4"/>
      <c r="E250" s="31"/>
      <c r="F250" s="31"/>
      <c r="G250" s="16"/>
      <c r="H250" s="203"/>
      <c r="I250" s="203"/>
      <c r="J250" s="203"/>
      <c r="K250" s="129"/>
      <c r="L250" s="16"/>
      <c r="M250" s="8"/>
      <c r="N250" s="203"/>
      <c r="O250" s="486"/>
    </row>
    <row r="251" spans="1:15" s="17" customFormat="1" ht="33" customHeight="1">
      <c r="A251" s="473"/>
      <c r="B251" s="424">
        <v>46130</v>
      </c>
      <c r="C251" s="4"/>
      <c r="D251" s="4"/>
      <c r="E251" s="31"/>
      <c r="F251" s="31"/>
      <c r="G251" s="16"/>
      <c r="H251" s="203"/>
      <c r="I251" s="203"/>
      <c r="J251" s="203"/>
      <c r="K251" s="129"/>
      <c r="L251" s="16"/>
      <c r="M251" s="8"/>
      <c r="N251" s="31"/>
      <c r="O251" s="480"/>
    </row>
    <row r="252" spans="1:15" s="17" customFormat="1" ht="33" customHeight="1">
      <c r="A252" s="474" t="s">
        <v>0</v>
      </c>
      <c r="B252" s="339" t="s">
        <v>1</v>
      </c>
      <c r="C252" s="338" t="s">
        <v>2</v>
      </c>
      <c r="D252" s="338" t="s">
        <v>3</v>
      </c>
      <c r="E252" s="338" t="s">
        <v>4</v>
      </c>
      <c r="F252" s="338" t="s">
        <v>5</v>
      </c>
      <c r="G252" s="338" t="s">
        <v>6</v>
      </c>
      <c r="H252" s="340" t="s">
        <v>7</v>
      </c>
      <c r="I252" s="338" t="s">
        <v>8</v>
      </c>
      <c r="J252" s="338" t="s">
        <v>9</v>
      </c>
      <c r="K252" s="341" t="s">
        <v>10</v>
      </c>
      <c r="L252" s="342" t="s">
        <v>11</v>
      </c>
      <c r="M252" s="338" t="s">
        <v>12</v>
      </c>
      <c r="N252" s="343" t="s">
        <v>13</v>
      </c>
      <c r="O252" s="475" t="s">
        <v>63</v>
      </c>
    </row>
    <row r="253" spans="1:15" s="17" customFormat="1" ht="33" customHeight="1">
      <c r="A253" s="471" t="s">
        <v>4549</v>
      </c>
      <c r="B253" s="424">
        <v>46132</v>
      </c>
      <c r="C253" s="4"/>
      <c r="D253" s="4"/>
      <c r="E253" s="31"/>
      <c r="F253" s="203"/>
      <c r="G253" s="16"/>
      <c r="H253" s="203"/>
      <c r="I253" s="31"/>
      <c r="J253" s="31"/>
      <c r="K253" s="129"/>
      <c r="L253" s="16"/>
      <c r="M253" s="8"/>
      <c r="N253" s="31" t="s">
        <v>4731</v>
      </c>
      <c r="O253" s="479"/>
    </row>
    <row r="254" spans="1:15" s="17" customFormat="1" ht="33" customHeight="1">
      <c r="A254" s="472"/>
      <c r="B254" s="424">
        <v>46132</v>
      </c>
      <c r="C254" s="4"/>
      <c r="D254" s="4"/>
      <c r="E254" s="305"/>
      <c r="F254" s="31"/>
      <c r="G254" s="16"/>
      <c r="H254" s="203"/>
      <c r="I254" s="31"/>
      <c r="J254" s="31"/>
      <c r="K254" s="129"/>
      <c r="L254" s="16"/>
      <c r="M254" s="8"/>
      <c r="N254" s="31"/>
      <c r="O254" s="479"/>
    </row>
    <row r="255" spans="1:15" s="17" customFormat="1" ht="33" customHeight="1">
      <c r="A255" s="472"/>
      <c r="B255" s="424">
        <v>46133</v>
      </c>
      <c r="C255" s="4"/>
      <c r="D255" s="4"/>
      <c r="E255" s="31"/>
      <c r="F255" s="31"/>
      <c r="G255" s="16"/>
      <c r="H255" s="203"/>
      <c r="I255" s="31"/>
      <c r="J255" s="203"/>
      <c r="K255" s="129"/>
      <c r="L255" s="16"/>
      <c r="M255" s="8"/>
      <c r="N255" s="469"/>
      <c r="O255" s="478"/>
    </row>
    <row r="256" spans="1:15" s="17" customFormat="1" ht="33" customHeight="1">
      <c r="A256" s="472"/>
      <c r="B256" s="424">
        <v>46133</v>
      </c>
      <c r="C256" s="4"/>
      <c r="D256" s="4"/>
      <c r="E256" s="31"/>
      <c r="F256" s="31"/>
      <c r="G256" s="16"/>
      <c r="H256" s="203"/>
      <c r="I256" s="31"/>
      <c r="J256" s="203"/>
      <c r="K256" s="129"/>
      <c r="L256" s="16"/>
      <c r="M256" s="8"/>
      <c r="N256" s="469"/>
      <c r="O256" s="478"/>
    </row>
    <row r="257" spans="1:15" s="17" customFormat="1" ht="33" customHeight="1">
      <c r="A257" s="472"/>
      <c r="B257" s="424">
        <v>46134</v>
      </c>
      <c r="C257" s="4"/>
      <c r="D257" s="4"/>
      <c r="E257" s="31"/>
      <c r="F257" s="31"/>
      <c r="G257" s="16"/>
      <c r="H257" s="203"/>
      <c r="I257" s="31"/>
      <c r="J257" s="203"/>
      <c r="K257" s="129"/>
      <c r="L257" s="16"/>
      <c r="M257" s="8"/>
      <c r="N257" s="31" t="s">
        <v>4731</v>
      </c>
      <c r="O257" s="478"/>
    </row>
    <row r="258" spans="1:15" s="17" customFormat="1" ht="33" customHeight="1">
      <c r="A258" s="472"/>
      <c r="B258" s="424">
        <v>46134</v>
      </c>
      <c r="C258" s="4"/>
      <c r="D258" s="4"/>
      <c r="E258" s="305"/>
      <c r="F258" s="31"/>
      <c r="G258" s="16"/>
      <c r="H258" s="203"/>
      <c r="I258" s="31"/>
      <c r="J258" s="31"/>
      <c r="K258" s="129"/>
      <c r="L258" s="16"/>
      <c r="M258" s="8"/>
      <c r="N258" s="31"/>
      <c r="O258" s="480"/>
    </row>
    <row r="259" spans="1:15" s="17" customFormat="1" ht="33" customHeight="1">
      <c r="A259" s="472"/>
      <c r="B259" s="424">
        <v>46135</v>
      </c>
      <c r="C259" s="4"/>
      <c r="D259" s="4"/>
      <c r="E259" s="31"/>
      <c r="F259" s="31"/>
      <c r="G259" s="16"/>
      <c r="H259" s="203"/>
      <c r="I259" s="31"/>
      <c r="J259" s="203"/>
      <c r="K259" s="129"/>
      <c r="L259" s="16"/>
      <c r="M259" s="8"/>
      <c r="N259" s="469"/>
      <c r="O259" s="478"/>
    </row>
    <row r="260" spans="1:15" s="17" customFormat="1" ht="33" customHeight="1">
      <c r="A260" s="472"/>
      <c r="B260" s="424">
        <v>46135</v>
      </c>
      <c r="C260" s="4"/>
      <c r="D260" s="4"/>
      <c r="E260" s="305"/>
      <c r="F260" s="31"/>
      <c r="G260" s="16"/>
      <c r="H260" s="203"/>
      <c r="I260" s="31"/>
      <c r="J260" s="31"/>
      <c r="K260" s="129"/>
      <c r="L260" s="16"/>
      <c r="M260" s="8"/>
      <c r="N260" s="31"/>
      <c r="O260" s="480"/>
    </row>
    <row r="261" spans="1:15" s="17" customFormat="1" ht="33" customHeight="1">
      <c r="A261" s="472"/>
      <c r="B261" s="424">
        <v>46136</v>
      </c>
      <c r="C261" s="4"/>
      <c r="D261" s="4"/>
      <c r="E261" s="31"/>
      <c r="F261" s="305"/>
      <c r="G261" s="16"/>
      <c r="H261" s="203"/>
      <c r="I261" s="31"/>
      <c r="J261" s="203"/>
      <c r="K261" s="129"/>
      <c r="L261" s="16"/>
      <c r="M261" s="8"/>
      <c r="N261" s="31" t="s">
        <v>4731</v>
      </c>
      <c r="O261" s="477"/>
    </row>
    <row r="262" spans="1:15" s="17" customFormat="1" ht="33" customHeight="1">
      <c r="A262" s="472"/>
      <c r="B262" s="424">
        <v>46136</v>
      </c>
      <c r="C262" s="4"/>
      <c r="D262" s="4"/>
      <c r="E262" s="31"/>
      <c r="F262" s="31"/>
      <c r="G262" s="16"/>
      <c r="H262" s="203"/>
      <c r="I262" s="31"/>
      <c r="J262" s="31"/>
      <c r="K262" s="129"/>
      <c r="L262" s="16"/>
      <c r="M262" s="8"/>
      <c r="N262" s="31"/>
      <c r="O262" s="476"/>
    </row>
    <row r="263" spans="1:15" s="17" customFormat="1" ht="33" customHeight="1">
      <c r="A263" s="472"/>
      <c r="B263" s="424">
        <v>46137</v>
      </c>
      <c r="C263" s="4"/>
      <c r="D263" s="4"/>
      <c r="E263" s="31"/>
      <c r="F263" s="31"/>
      <c r="G263" s="16"/>
      <c r="H263" s="203"/>
      <c r="I263" s="203"/>
      <c r="J263" s="203"/>
      <c r="K263" s="129"/>
      <c r="L263" s="16"/>
      <c r="M263" s="8"/>
      <c r="N263" s="203"/>
      <c r="O263" s="486"/>
    </row>
    <row r="264" spans="1:15" s="17" customFormat="1" ht="33" customHeight="1">
      <c r="A264" s="473"/>
      <c r="B264" s="424">
        <v>46137</v>
      </c>
      <c r="C264" s="4"/>
      <c r="D264" s="4"/>
      <c r="E264" s="31"/>
      <c r="F264" s="31"/>
      <c r="G264" s="16"/>
      <c r="H264" s="203"/>
      <c r="I264" s="203"/>
      <c r="J264" s="203"/>
      <c r="K264" s="129"/>
      <c r="L264" s="16"/>
      <c r="M264" s="8"/>
      <c r="N264" s="31"/>
      <c r="O264" s="480"/>
    </row>
    <row r="265" spans="1:15" s="17" customFormat="1" ht="33" customHeight="1">
      <c r="A265" s="474" t="s">
        <v>0</v>
      </c>
      <c r="B265" s="339" t="s">
        <v>1</v>
      </c>
      <c r="C265" s="338" t="s">
        <v>2</v>
      </c>
      <c r="D265" s="338" t="s">
        <v>3</v>
      </c>
      <c r="E265" s="338" t="s">
        <v>4</v>
      </c>
      <c r="F265" s="338" t="s">
        <v>5</v>
      </c>
      <c r="G265" s="338" t="s">
        <v>6</v>
      </c>
      <c r="H265" s="340" t="s">
        <v>7</v>
      </c>
      <c r="I265" s="338" t="s">
        <v>8</v>
      </c>
      <c r="J265" s="338" t="s">
        <v>9</v>
      </c>
      <c r="K265" s="341" t="s">
        <v>10</v>
      </c>
      <c r="L265" s="342" t="s">
        <v>11</v>
      </c>
      <c r="M265" s="338" t="s">
        <v>12</v>
      </c>
      <c r="N265" s="343" t="s">
        <v>13</v>
      </c>
      <c r="O265" s="475" t="s">
        <v>63</v>
      </c>
    </row>
    <row r="266" spans="1:15" s="17" customFormat="1" ht="33" customHeight="1">
      <c r="A266" s="471" t="s">
        <v>4550</v>
      </c>
      <c r="B266" s="424">
        <v>46139</v>
      </c>
      <c r="C266" s="4"/>
      <c r="D266" s="4"/>
      <c r="E266" s="31"/>
      <c r="F266" s="203"/>
      <c r="G266" s="16"/>
      <c r="H266" s="203"/>
      <c r="I266" s="31"/>
      <c r="J266" s="31"/>
      <c r="K266" s="129"/>
      <c r="L266" s="16"/>
      <c r="M266" s="8"/>
      <c r="N266" s="31" t="s">
        <v>4731</v>
      </c>
      <c r="O266" s="479"/>
    </row>
    <row r="267" spans="1:15" s="17" customFormat="1" ht="33" customHeight="1">
      <c r="A267" s="472"/>
      <c r="B267" s="424">
        <v>46139</v>
      </c>
      <c r="C267" s="4"/>
      <c r="D267" s="4"/>
      <c r="E267" s="305"/>
      <c r="F267" s="31"/>
      <c r="G267" s="16"/>
      <c r="H267" s="203"/>
      <c r="I267" s="31"/>
      <c r="J267" s="31"/>
      <c r="K267" s="129"/>
      <c r="L267" s="16"/>
      <c r="M267" s="8"/>
      <c r="N267" s="31"/>
      <c r="O267" s="479"/>
    </row>
    <row r="268" spans="1:15" s="17" customFormat="1" ht="33" customHeight="1">
      <c r="A268" s="472"/>
      <c r="B268" s="424">
        <v>46140</v>
      </c>
      <c r="C268" s="4"/>
      <c r="D268" s="4"/>
      <c r="E268" s="31"/>
      <c r="F268" s="31"/>
      <c r="G268" s="16"/>
      <c r="H268" s="203"/>
      <c r="I268" s="31"/>
      <c r="J268" s="203"/>
      <c r="K268" s="129"/>
      <c r="L268" s="16"/>
      <c r="M268" s="8"/>
      <c r="N268" s="469"/>
      <c r="O268" s="478"/>
    </row>
    <row r="269" spans="1:15" s="17" customFormat="1" ht="33" customHeight="1">
      <c r="A269" s="472"/>
      <c r="B269" s="424">
        <v>46140</v>
      </c>
      <c r="C269" s="4"/>
      <c r="D269" s="4"/>
      <c r="E269" s="31"/>
      <c r="F269" s="31"/>
      <c r="G269" s="16"/>
      <c r="H269" s="203"/>
      <c r="I269" s="31"/>
      <c r="J269" s="203"/>
      <c r="K269" s="129"/>
      <c r="L269" s="16"/>
      <c r="M269" s="8"/>
      <c r="N269" s="469"/>
      <c r="O269" s="478"/>
    </row>
    <row r="270" spans="1:15" s="17" customFormat="1" ht="33" customHeight="1">
      <c r="A270" s="472"/>
      <c r="B270" s="424">
        <v>46141</v>
      </c>
      <c r="C270" s="4"/>
      <c r="D270" s="4"/>
      <c r="E270" s="31"/>
      <c r="F270" s="31"/>
      <c r="G270" s="16"/>
      <c r="H270" s="203"/>
      <c r="I270" s="31"/>
      <c r="J270" s="203"/>
      <c r="K270" s="129"/>
      <c r="L270" s="16"/>
      <c r="M270" s="8"/>
      <c r="N270" s="31" t="s">
        <v>4731</v>
      </c>
      <c r="O270" s="478"/>
    </row>
    <row r="271" spans="1:15" s="17" customFormat="1" ht="33" customHeight="1">
      <c r="A271" s="472"/>
      <c r="B271" s="424">
        <v>46141</v>
      </c>
      <c r="C271" s="4"/>
      <c r="D271" s="4"/>
      <c r="E271" s="305"/>
      <c r="F271" s="31"/>
      <c r="G271" s="16"/>
      <c r="H271" s="203"/>
      <c r="I271" s="31"/>
      <c r="J271" s="31"/>
      <c r="K271" s="129"/>
      <c r="L271" s="16"/>
      <c r="M271" s="8"/>
      <c r="N271" s="31"/>
      <c r="O271" s="480"/>
    </row>
    <row r="272" spans="1:15" s="17" customFormat="1" ht="33" customHeight="1">
      <c r="A272" s="472"/>
      <c r="B272" s="424">
        <v>46142</v>
      </c>
      <c r="C272" s="4"/>
      <c r="D272" s="4"/>
      <c r="E272" s="31"/>
      <c r="F272" s="31"/>
      <c r="G272" s="16"/>
      <c r="H272" s="203"/>
      <c r="I272" s="31"/>
      <c r="J272" s="203"/>
      <c r="K272" s="129"/>
      <c r="L272" s="16"/>
      <c r="M272" s="8"/>
      <c r="N272" s="469"/>
      <c r="O272" s="478"/>
    </row>
    <row r="273" spans="1:15" s="17" customFormat="1" ht="33" customHeight="1">
      <c r="A273" s="472"/>
      <c r="B273" s="424">
        <v>46142</v>
      </c>
      <c r="C273" s="4"/>
      <c r="D273" s="4"/>
      <c r="E273" s="305"/>
      <c r="F273" s="31"/>
      <c r="G273" s="16"/>
      <c r="H273" s="203"/>
      <c r="I273" s="31"/>
      <c r="J273" s="31"/>
      <c r="K273" s="129"/>
      <c r="L273" s="16"/>
      <c r="M273" s="8"/>
      <c r="N273" s="31"/>
      <c r="O273" s="480"/>
    </row>
    <row r="274" spans="1:15" s="17" customFormat="1" ht="33" customHeight="1">
      <c r="A274" s="472"/>
      <c r="B274" s="424">
        <v>46143</v>
      </c>
      <c r="C274" s="4"/>
      <c r="D274" s="4"/>
      <c r="E274" s="31"/>
      <c r="F274" s="305"/>
      <c r="G274" s="16"/>
      <c r="H274" s="203"/>
      <c r="I274" s="31"/>
      <c r="J274" s="203"/>
      <c r="K274" s="129"/>
      <c r="L274" s="16"/>
      <c r="M274" s="8"/>
      <c r="N274" s="31" t="s">
        <v>4731</v>
      </c>
      <c r="O274" s="477"/>
    </row>
    <row r="275" spans="1:15" s="17" customFormat="1" ht="33" customHeight="1">
      <c r="A275" s="472"/>
      <c r="B275" s="424">
        <v>46143</v>
      </c>
      <c r="C275" s="4"/>
      <c r="D275" s="4"/>
      <c r="E275" s="31"/>
      <c r="F275" s="31"/>
      <c r="G275" s="16"/>
      <c r="H275" s="203"/>
      <c r="I275" s="31"/>
      <c r="J275" s="31"/>
      <c r="K275" s="129"/>
      <c r="L275" s="16"/>
      <c r="M275" s="8"/>
      <c r="N275" s="31"/>
      <c r="O275" s="476"/>
    </row>
    <row r="276" spans="1:15" s="17" customFormat="1" ht="33" customHeight="1">
      <c r="A276" s="472"/>
      <c r="B276" s="424">
        <v>46144</v>
      </c>
      <c r="C276" s="4"/>
      <c r="D276" s="4"/>
      <c r="E276" s="31"/>
      <c r="F276" s="31"/>
      <c r="G276" s="16"/>
      <c r="H276" s="203"/>
      <c r="I276" s="203"/>
      <c r="J276" s="203"/>
      <c r="K276" s="129"/>
      <c r="L276" s="16"/>
      <c r="M276" s="8"/>
      <c r="N276" s="203"/>
      <c r="O276" s="486"/>
    </row>
    <row r="277" spans="1:15" s="17" customFormat="1" ht="33" customHeight="1">
      <c r="A277" s="473"/>
      <c r="B277" s="424">
        <v>46144</v>
      </c>
      <c r="C277" s="4"/>
      <c r="D277" s="4"/>
      <c r="E277" s="31"/>
      <c r="F277" s="31"/>
      <c r="G277" s="16"/>
      <c r="H277" s="203"/>
      <c r="I277" s="203"/>
      <c r="J277" s="203"/>
      <c r="K277" s="129"/>
      <c r="L277" s="16"/>
      <c r="M277" s="8"/>
      <c r="N277" s="31"/>
      <c r="O277" s="480"/>
    </row>
    <row r="278" spans="1:15" s="17" customFormat="1" ht="33" customHeight="1">
      <c r="A278" s="474" t="s">
        <v>0</v>
      </c>
      <c r="B278" s="339" t="s">
        <v>1</v>
      </c>
      <c r="C278" s="338" t="s">
        <v>2</v>
      </c>
      <c r="D278" s="338" t="s">
        <v>3</v>
      </c>
      <c r="E278" s="338" t="s">
        <v>4</v>
      </c>
      <c r="F278" s="338" t="s">
        <v>5</v>
      </c>
      <c r="G278" s="338" t="s">
        <v>6</v>
      </c>
      <c r="H278" s="340" t="s">
        <v>7</v>
      </c>
      <c r="I278" s="338" t="s">
        <v>8</v>
      </c>
      <c r="J278" s="338" t="s">
        <v>9</v>
      </c>
      <c r="K278" s="341" t="s">
        <v>10</v>
      </c>
      <c r="L278" s="342" t="s">
        <v>11</v>
      </c>
      <c r="M278" s="338" t="s">
        <v>12</v>
      </c>
      <c r="N278" s="343" t="s">
        <v>13</v>
      </c>
      <c r="O278" s="475" t="s">
        <v>63</v>
      </c>
    </row>
    <row r="279" spans="1:15" s="17" customFormat="1" ht="33" customHeight="1">
      <c r="A279" s="471" t="s">
        <v>4551</v>
      </c>
      <c r="B279" s="424">
        <v>46146</v>
      </c>
      <c r="C279" s="4"/>
      <c r="D279" s="4"/>
      <c r="E279" s="31"/>
      <c r="F279" s="203"/>
      <c r="G279" s="16"/>
      <c r="H279" s="203"/>
      <c r="I279" s="31"/>
      <c r="J279" s="31"/>
      <c r="K279" s="129"/>
      <c r="L279" s="16"/>
      <c r="M279" s="8"/>
      <c r="N279" s="31" t="s">
        <v>4731</v>
      </c>
      <c r="O279" s="479"/>
    </row>
    <row r="280" spans="1:15" s="17" customFormat="1" ht="33" customHeight="1">
      <c r="A280" s="472"/>
      <c r="B280" s="424">
        <v>46146</v>
      </c>
      <c r="C280" s="4"/>
      <c r="D280" s="4"/>
      <c r="E280" s="305"/>
      <c r="F280" s="31"/>
      <c r="G280" s="16"/>
      <c r="H280" s="203"/>
      <c r="I280" s="31"/>
      <c r="J280" s="31"/>
      <c r="K280" s="129"/>
      <c r="L280" s="16"/>
      <c r="M280" s="8"/>
      <c r="N280" s="31"/>
      <c r="O280" s="479"/>
    </row>
    <row r="281" spans="1:15" s="17" customFormat="1" ht="33" customHeight="1">
      <c r="A281" s="472"/>
      <c r="B281" s="424">
        <v>46147</v>
      </c>
      <c r="C281" s="4"/>
      <c r="D281" s="4"/>
      <c r="E281" s="31"/>
      <c r="F281" s="31"/>
      <c r="G281" s="16"/>
      <c r="H281" s="444" t="s">
        <v>4873</v>
      </c>
      <c r="I281" s="31"/>
      <c r="J281" s="203"/>
      <c r="K281" s="129"/>
      <c r="L281" s="16"/>
      <c r="M281" s="8"/>
      <c r="N281" s="469"/>
      <c r="O281" s="478"/>
    </row>
    <row r="282" spans="1:15" s="17" customFormat="1" ht="33" customHeight="1">
      <c r="A282" s="472"/>
      <c r="B282" s="424">
        <v>46147</v>
      </c>
      <c r="C282" s="4"/>
      <c r="D282" s="4"/>
      <c r="E282" s="31"/>
      <c r="F282" s="31"/>
      <c r="G282" s="16"/>
      <c r="H282" s="203"/>
      <c r="I282" s="31"/>
      <c r="J282" s="203"/>
      <c r="K282" s="129"/>
      <c r="L282" s="16"/>
      <c r="M282" s="8"/>
      <c r="N282" s="469"/>
      <c r="O282" s="478"/>
    </row>
    <row r="283" spans="1:15" s="17" customFormat="1" ht="33" customHeight="1">
      <c r="A283" s="472"/>
      <c r="B283" s="424">
        <v>46148</v>
      </c>
      <c r="C283" s="4"/>
      <c r="D283" s="4"/>
      <c r="E283" s="31"/>
      <c r="F283" s="31"/>
      <c r="G283" s="16"/>
      <c r="H283" s="203"/>
      <c r="I283" s="31"/>
      <c r="J283" s="203"/>
      <c r="K283" s="129"/>
      <c r="L283" s="16"/>
      <c r="M283" s="8"/>
      <c r="N283" s="31" t="s">
        <v>4731</v>
      </c>
      <c r="O283" s="478"/>
    </row>
    <row r="284" spans="1:15" s="17" customFormat="1" ht="33" customHeight="1">
      <c r="A284" s="472"/>
      <c r="B284" s="424">
        <v>46148</v>
      </c>
      <c r="C284" s="4"/>
      <c r="D284" s="4"/>
      <c r="E284" s="305"/>
      <c r="F284" s="31"/>
      <c r="G284" s="16"/>
      <c r="H284" s="203"/>
      <c r="I284" s="31"/>
      <c r="J284" s="31"/>
      <c r="K284" s="129"/>
      <c r="L284" s="16"/>
      <c r="M284" s="8"/>
      <c r="N284" s="31"/>
      <c r="O284" s="480"/>
    </row>
    <row r="285" spans="1:15" s="17" customFormat="1" ht="33" customHeight="1">
      <c r="A285" s="472"/>
      <c r="B285" s="424">
        <v>46149</v>
      </c>
      <c r="C285" s="4"/>
      <c r="D285" s="4"/>
      <c r="E285" s="31"/>
      <c r="F285" s="31"/>
      <c r="G285" s="16"/>
      <c r="H285" s="203"/>
      <c r="I285" s="31"/>
      <c r="J285" s="203"/>
      <c r="K285" s="129"/>
      <c r="L285" s="16"/>
      <c r="M285" s="8"/>
      <c r="N285" s="469"/>
      <c r="O285" s="478"/>
    </row>
    <row r="286" spans="1:15" s="17" customFormat="1" ht="33" customHeight="1">
      <c r="A286" s="472"/>
      <c r="B286" s="424">
        <v>46149</v>
      </c>
      <c r="C286" s="4"/>
      <c r="D286" s="4"/>
      <c r="E286" s="305"/>
      <c r="F286" s="31"/>
      <c r="G286" s="16"/>
      <c r="H286" s="203"/>
      <c r="I286" s="31"/>
      <c r="J286" s="31"/>
      <c r="K286" s="129"/>
      <c r="L286" s="16"/>
      <c r="M286" s="8"/>
      <c r="N286" s="31"/>
      <c r="O286" s="480"/>
    </row>
    <row r="287" spans="1:15" s="17" customFormat="1" ht="33" customHeight="1">
      <c r="A287" s="472"/>
      <c r="B287" s="424">
        <v>46150</v>
      </c>
      <c r="C287" s="4"/>
      <c r="D287" s="4"/>
      <c r="E287" s="31"/>
      <c r="F287" s="305"/>
      <c r="G287" s="16"/>
      <c r="H287" s="203"/>
      <c r="I287" s="31"/>
      <c r="J287" s="203"/>
      <c r="K287" s="129"/>
      <c r="L287" s="16"/>
      <c r="M287" s="8"/>
      <c r="N287" s="31" t="s">
        <v>4731</v>
      </c>
      <c r="O287" s="477"/>
    </row>
    <row r="288" spans="1:15" s="17" customFormat="1" ht="33" customHeight="1">
      <c r="A288" s="472"/>
      <c r="B288" s="424">
        <v>46150</v>
      </c>
      <c r="C288" s="4"/>
      <c r="D288" s="4"/>
      <c r="E288" s="31"/>
      <c r="F288" s="31"/>
      <c r="G288" s="16"/>
      <c r="H288" s="203"/>
      <c r="I288" s="31"/>
      <c r="J288" s="31"/>
      <c r="K288" s="129"/>
      <c r="L288" s="16"/>
      <c r="M288" s="8"/>
      <c r="N288" s="31"/>
      <c r="O288" s="476"/>
    </row>
    <row r="289" spans="1:15" s="17" customFormat="1" ht="33" customHeight="1">
      <c r="A289" s="472"/>
      <c r="B289" s="424">
        <v>46151</v>
      </c>
      <c r="C289" s="4"/>
      <c r="D289" s="4"/>
      <c r="E289" s="31"/>
      <c r="F289" s="31"/>
      <c r="G289" s="16"/>
      <c r="H289" s="203"/>
      <c r="I289" s="203"/>
      <c r="J289" s="203"/>
      <c r="K289" s="129"/>
      <c r="L289" s="16"/>
      <c r="M289" s="8"/>
      <c r="N289" s="203"/>
      <c r="O289" s="486"/>
    </row>
    <row r="290" spans="1:15" s="17" customFormat="1" ht="33" customHeight="1">
      <c r="A290" s="473"/>
      <c r="B290" s="424">
        <v>46151</v>
      </c>
      <c r="C290" s="4"/>
      <c r="D290" s="4"/>
      <c r="E290" s="31"/>
      <c r="F290" s="31"/>
      <c r="G290" s="16"/>
      <c r="H290" s="203"/>
      <c r="I290" s="203"/>
      <c r="J290" s="203"/>
      <c r="K290" s="129"/>
      <c r="L290" s="16"/>
      <c r="M290" s="8"/>
      <c r="N290" s="31"/>
      <c r="O290" s="480"/>
    </row>
    <row r="291" spans="1:15" s="17" customFormat="1" ht="33" customHeight="1">
      <c r="A291" s="474" t="s">
        <v>0</v>
      </c>
      <c r="B291" s="339" t="s">
        <v>1</v>
      </c>
      <c r="C291" s="338" t="s">
        <v>2</v>
      </c>
      <c r="D291" s="338" t="s">
        <v>3</v>
      </c>
      <c r="E291" s="338" t="s">
        <v>4</v>
      </c>
      <c r="F291" s="338" t="s">
        <v>5</v>
      </c>
      <c r="G291" s="338" t="s">
        <v>6</v>
      </c>
      <c r="H291" s="340" t="s">
        <v>7</v>
      </c>
      <c r="I291" s="338" t="s">
        <v>8</v>
      </c>
      <c r="J291" s="338" t="s">
        <v>9</v>
      </c>
      <c r="K291" s="341" t="s">
        <v>10</v>
      </c>
      <c r="L291" s="342" t="s">
        <v>11</v>
      </c>
      <c r="M291" s="338" t="s">
        <v>12</v>
      </c>
      <c r="N291" s="343" t="s">
        <v>13</v>
      </c>
      <c r="O291" s="475" t="s">
        <v>63</v>
      </c>
    </row>
    <row r="292" spans="1:15" s="17" customFormat="1" ht="33" customHeight="1">
      <c r="A292" s="471" t="s">
        <v>4552</v>
      </c>
      <c r="B292" s="424">
        <v>46153</v>
      </c>
      <c r="C292" s="4"/>
      <c r="D292" s="4"/>
      <c r="E292" s="31"/>
      <c r="F292" s="203"/>
      <c r="G292" s="16"/>
      <c r="H292" s="203"/>
      <c r="I292" s="31"/>
      <c r="J292" s="31"/>
      <c r="K292" s="129"/>
      <c r="L292" s="16"/>
      <c r="M292" s="8"/>
      <c r="N292" s="31" t="s">
        <v>4731</v>
      </c>
      <c r="O292" s="479"/>
    </row>
    <row r="293" spans="1:15" s="17" customFormat="1" ht="33" customHeight="1">
      <c r="A293" s="472"/>
      <c r="B293" s="424">
        <v>46153</v>
      </c>
      <c r="C293" s="4"/>
      <c r="D293" s="4"/>
      <c r="E293" s="305"/>
      <c r="F293" s="31"/>
      <c r="G293" s="16"/>
      <c r="H293" s="203"/>
      <c r="I293" s="31"/>
      <c r="J293" s="31"/>
      <c r="K293" s="129"/>
      <c r="L293" s="16"/>
      <c r="M293" s="8"/>
      <c r="N293" s="31"/>
      <c r="O293" s="479"/>
    </row>
    <row r="294" spans="1:15" s="17" customFormat="1" ht="33" customHeight="1">
      <c r="A294" s="472"/>
      <c r="B294" s="424">
        <v>46154</v>
      </c>
      <c r="C294" s="4"/>
      <c r="D294" s="4"/>
      <c r="E294" s="31"/>
      <c r="F294" s="31"/>
      <c r="G294" s="16"/>
      <c r="H294" s="203"/>
      <c r="I294" s="31"/>
      <c r="J294" s="203"/>
      <c r="K294" s="129"/>
      <c r="L294" s="16"/>
      <c r="M294" s="8"/>
      <c r="N294" s="469"/>
      <c r="O294" s="478"/>
    </row>
    <row r="295" spans="1:15" s="17" customFormat="1" ht="33" customHeight="1">
      <c r="A295" s="472"/>
      <c r="B295" s="424">
        <v>46154</v>
      </c>
      <c r="C295" s="4"/>
      <c r="D295" s="4"/>
      <c r="E295" s="31"/>
      <c r="F295" s="31"/>
      <c r="G295" s="16"/>
      <c r="H295" s="203"/>
      <c r="I295" s="31"/>
      <c r="J295" s="203"/>
      <c r="K295" s="129"/>
      <c r="L295" s="16"/>
      <c r="M295" s="8"/>
      <c r="N295" s="469"/>
      <c r="O295" s="478"/>
    </row>
    <row r="296" spans="1:15" s="17" customFormat="1" ht="33" customHeight="1">
      <c r="A296" s="472"/>
      <c r="B296" s="424">
        <v>46155</v>
      </c>
      <c r="C296" s="4"/>
      <c r="D296" s="4"/>
      <c r="E296" s="31"/>
      <c r="F296" s="31"/>
      <c r="G296" s="16"/>
      <c r="H296" s="203"/>
      <c r="I296" s="31"/>
      <c r="J296" s="203"/>
      <c r="K296" s="129"/>
      <c r="L296" s="16"/>
      <c r="M296" s="8"/>
      <c r="N296" s="31" t="s">
        <v>4731</v>
      </c>
      <c r="O296" s="478"/>
    </row>
    <row r="297" spans="1:15" s="17" customFormat="1" ht="33" customHeight="1">
      <c r="A297" s="472"/>
      <c r="B297" s="424">
        <v>46155</v>
      </c>
      <c r="C297" s="4"/>
      <c r="D297" s="4"/>
      <c r="E297" s="305"/>
      <c r="F297" s="31"/>
      <c r="G297" s="16"/>
      <c r="H297" s="203"/>
      <c r="I297" s="31"/>
      <c r="J297" s="31"/>
      <c r="K297" s="129"/>
      <c r="L297" s="16"/>
      <c r="M297" s="8"/>
      <c r="N297" s="31"/>
      <c r="O297" s="480"/>
    </row>
    <row r="298" spans="1:15" s="17" customFormat="1" ht="33" customHeight="1">
      <c r="A298" s="472"/>
      <c r="B298" s="424">
        <v>46156</v>
      </c>
      <c r="C298" s="4"/>
      <c r="D298" s="4"/>
      <c r="E298" s="31"/>
      <c r="F298" s="31"/>
      <c r="G298" s="16"/>
      <c r="H298" s="203"/>
      <c r="I298" s="31"/>
      <c r="J298" s="203"/>
      <c r="K298" s="129"/>
      <c r="L298" s="16"/>
      <c r="M298" s="8"/>
      <c r="N298" s="469"/>
      <c r="O298" s="478"/>
    </row>
    <row r="299" spans="1:15" s="17" customFormat="1" ht="33" customHeight="1">
      <c r="A299" s="472"/>
      <c r="B299" s="424">
        <v>46156</v>
      </c>
      <c r="C299" s="4"/>
      <c r="D299" s="4"/>
      <c r="E299" s="305"/>
      <c r="F299" s="31"/>
      <c r="G299" s="16"/>
      <c r="H299" s="203"/>
      <c r="I299" s="31"/>
      <c r="J299" s="31"/>
      <c r="K299" s="129"/>
      <c r="L299" s="16"/>
      <c r="M299" s="8"/>
      <c r="N299" s="31"/>
      <c r="O299" s="480"/>
    </row>
    <row r="300" spans="1:15" s="17" customFormat="1" ht="33" customHeight="1">
      <c r="A300" s="472"/>
      <c r="B300" s="424">
        <v>46157</v>
      </c>
      <c r="C300" s="193" t="s">
        <v>4557</v>
      </c>
      <c r="D300" s="193" t="s">
        <v>4558</v>
      </c>
      <c r="E300" s="251" t="s">
        <v>4570</v>
      </c>
      <c r="F300" s="463" t="s">
        <v>4571</v>
      </c>
      <c r="G300" s="408" t="s">
        <v>4559</v>
      </c>
      <c r="H300" s="251" t="s">
        <v>4563</v>
      </c>
      <c r="I300" s="330" t="s">
        <v>4560</v>
      </c>
      <c r="J300" s="251"/>
      <c r="K300" s="252" t="s">
        <v>4561</v>
      </c>
      <c r="L300" s="408"/>
      <c r="M300" s="432"/>
      <c r="N300" s="31" t="s">
        <v>4731</v>
      </c>
      <c r="O300" s="490" t="s">
        <v>4562</v>
      </c>
    </row>
    <row r="301" spans="1:15" s="17" customFormat="1" ht="33" customHeight="1">
      <c r="A301" s="472"/>
      <c r="B301" s="424">
        <v>46157</v>
      </c>
      <c r="C301" s="4"/>
      <c r="D301" s="4"/>
      <c r="E301" s="31"/>
      <c r="F301" s="31"/>
      <c r="G301" s="16"/>
      <c r="H301" s="203"/>
      <c r="I301" s="31"/>
      <c r="J301" s="31"/>
      <c r="K301" s="129"/>
      <c r="L301" s="16"/>
      <c r="M301" s="8"/>
      <c r="N301" s="31"/>
      <c r="O301" s="476"/>
    </row>
    <row r="302" spans="1:15" s="17" customFormat="1" ht="33" customHeight="1">
      <c r="A302" s="472"/>
      <c r="B302" s="424">
        <v>46158</v>
      </c>
      <c r="C302" s="4"/>
      <c r="D302" s="4"/>
      <c r="E302" s="31"/>
      <c r="F302" s="31"/>
      <c r="G302" s="16"/>
      <c r="H302" s="203"/>
      <c r="I302" s="203"/>
      <c r="J302" s="203"/>
      <c r="K302" s="129"/>
      <c r="L302" s="16"/>
      <c r="M302" s="8"/>
      <c r="N302" s="203"/>
      <c r="O302" s="486"/>
    </row>
    <row r="303" spans="1:15" s="17" customFormat="1" ht="33" customHeight="1">
      <c r="A303" s="473"/>
      <c r="B303" s="424">
        <v>46158</v>
      </c>
      <c r="C303" s="4"/>
      <c r="D303" s="4"/>
      <c r="E303" s="31"/>
      <c r="F303" s="31"/>
      <c r="G303" s="16"/>
      <c r="H303" s="203"/>
      <c r="I303" s="203"/>
      <c r="J303" s="203"/>
      <c r="K303" s="129"/>
      <c r="L303" s="16"/>
      <c r="M303" s="8"/>
      <c r="N303" s="31"/>
      <c r="O303" s="480"/>
    </row>
    <row r="304" spans="1:15" s="17" customFormat="1" ht="33" customHeight="1">
      <c r="A304" s="474" t="s">
        <v>0</v>
      </c>
      <c r="B304" s="339" t="s">
        <v>1</v>
      </c>
      <c r="C304" s="338" t="s">
        <v>2</v>
      </c>
      <c r="D304" s="338" t="s">
        <v>3</v>
      </c>
      <c r="E304" s="338" t="s">
        <v>4</v>
      </c>
      <c r="F304" s="338" t="s">
        <v>5</v>
      </c>
      <c r="G304" s="338" t="s">
        <v>6</v>
      </c>
      <c r="H304" s="340" t="s">
        <v>7</v>
      </c>
      <c r="I304" s="338" t="s">
        <v>8</v>
      </c>
      <c r="J304" s="338" t="s">
        <v>9</v>
      </c>
      <c r="K304" s="341" t="s">
        <v>10</v>
      </c>
      <c r="L304" s="342" t="s">
        <v>11</v>
      </c>
      <c r="M304" s="338" t="s">
        <v>12</v>
      </c>
      <c r="N304" s="343" t="s">
        <v>13</v>
      </c>
      <c r="O304" s="475" t="s">
        <v>63</v>
      </c>
    </row>
    <row r="305" spans="1:15" s="17" customFormat="1" ht="33" customHeight="1">
      <c r="A305" s="471" t="s">
        <v>4553</v>
      </c>
      <c r="B305" s="424">
        <v>46160</v>
      </c>
      <c r="C305" s="4"/>
      <c r="D305" s="4"/>
      <c r="E305" s="31"/>
      <c r="F305" s="203"/>
      <c r="G305" s="16"/>
      <c r="H305" s="203"/>
      <c r="I305" s="31"/>
      <c r="J305" s="31"/>
      <c r="K305" s="129"/>
      <c r="L305" s="16"/>
      <c r="M305" s="8"/>
      <c r="N305" s="31" t="s">
        <v>4731</v>
      </c>
      <c r="O305" s="479"/>
    </row>
    <row r="306" spans="1:15" s="17" customFormat="1" ht="33" customHeight="1">
      <c r="A306" s="472"/>
      <c r="B306" s="424">
        <v>46160</v>
      </c>
      <c r="C306" s="4"/>
      <c r="D306" s="4"/>
      <c r="E306" s="305"/>
      <c r="F306" s="31"/>
      <c r="G306" s="16"/>
      <c r="H306" s="203"/>
      <c r="I306" s="31"/>
      <c r="J306" s="31"/>
      <c r="K306" s="129"/>
      <c r="L306" s="16"/>
      <c r="M306" s="8"/>
      <c r="N306" s="31"/>
      <c r="O306" s="479"/>
    </row>
    <row r="307" spans="1:15" s="17" customFormat="1" ht="33" customHeight="1">
      <c r="A307" s="472"/>
      <c r="B307" s="424">
        <v>46161</v>
      </c>
      <c r="C307" s="4"/>
      <c r="D307" s="4"/>
      <c r="E307" s="31"/>
      <c r="F307" s="31"/>
      <c r="G307" s="16"/>
      <c r="H307" s="203"/>
      <c r="I307" s="31"/>
      <c r="J307" s="203"/>
      <c r="K307" s="129"/>
      <c r="L307" s="16"/>
      <c r="M307" s="8"/>
      <c r="N307" s="469"/>
      <c r="O307" s="478"/>
    </row>
    <row r="308" spans="1:15" s="17" customFormat="1" ht="33" customHeight="1">
      <c r="A308" s="472"/>
      <c r="B308" s="424">
        <v>46161</v>
      </c>
      <c r="C308" s="4"/>
      <c r="D308" s="4"/>
      <c r="E308" s="31"/>
      <c r="F308" s="31"/>
      <c r="G308" s="16"/>
      <c r="H308" s="203"/>
      <c r="I308" s="31"/>
      <c r="J308" s="203"/>
      <c r="K308" s="129"/>
      <c r="L308" s="16"/>
      <c r="M308" s="8"/>
      <c r="N308" s="469"/>
      <c r="O308" s="478"/>
    </row>
    <row r="309" spans="1:15" s="17" customFormat="1" ht="33" customHeight="1">
      <c r="A309" s="472"/>
      <c r="B309" s="424">
        <v>46162</v>
      </c>
      <c r="C309" s="4"/>
      <c r="D309" s="4"/>
      <c r="E309" s="31"/>
      <c r="F309" s="31"/>
      <c r="G309" s="16"/>
      <c r="H309" s="203"/>
      <c r="I309" s="31"/>
      <c r="J309" s="203"/>
      <c r="K309" s="129"/>
      <c r="L309" s="16"/>
      <c r="M309" s="8"/>
      <c r="N309" s="31" t="s">
        <v>4731</v>
      </c>
      <c r="O309" s="478"/>
    </row>
    <row r="310" spans="1:15" s="17" customFormat="1" ht="33" customHeight="1">
      <c r="A310" s="472"/>
      <c r="B310" s="424">
        <v>46162</v>
      </c>
      <c r="C310" s="4"/>
      <c r="D310" s="4"/>
      <c r="E310" s="305"/>
      <c r="F310" s="31"/>
      <c r="G310" s="16"/>
      <c r="H310" s="203"/>
      <c r="I310" s="31"/>
      <c r="J310" s="31"/>
      <c r="K310" s="129"/>
      <c r="L310" s="16"/>
      <c r="M310" s="8"/>
      <c r="N310" s="31"/>
      <c r="O310" s="480"/>
    </row>
    <row r="311" spans="1:15" s="17" customFormat="1" ht="33" customHeight="1">
      <c r="A311" s="472"/>
      <c r="B311" s="424">
        <v>46163</v>
      </c>
      <c r="C311" s="4"/>
      <c r="D311" s="4"/>
      <c r="E311" s="31"/>
      <c r="F311" s="31"/>
      <c r="G311" s="16"/>
      <c r="H311" s="203"/>
      <c r="I311" s="31"/>
      <c r="J311" s="203"/>
      <c r="K311" s="129"/>
      <c r="L311" s="16"/>
      <c r="M311" s="8"/>
      <c r="N311" s="469"/>
      <c r="O311" s="478"/>
    </row>
    <row r="312" spans="1:15" s="17" customFormat="1" ht="33" customHeight="1">
      <c r="A312" s="472"/>
      <c r="B312" s="424">
        <v>46163</v>
      </c>
      <c r="C312" s="4"/>
      <c r="D312" s="4"/>
      <c r="E312" s="305"/>
      <c r="F312" s="31"/>
      <c r="G312" s="16"/>
      <c r="H312" s="203"/>
      <c r="I312" s="31"/>
      <c r="J312" s="31"/>
      <c r="K312" s="129"/>
      <c r="L312" s="16"/>
      <c r="M312" s="8"/>
      <c r="N312" s="31"/>
      <c r="O312" s="480"/>
    </row>
    <row r="313" spans="1:15" s="17" customFormat="1" ht="33" customHeight="1">
      <c r="A313" s="472"/>
      <c r="B313" s="424">
        <v>46164</v>
      </c>
      <c r="C313" s="4"/>
      <c r="D313" s="4"/>
      <c r="E313" s="31"/>
      <c r="F313" s="305"/>
      <c r="G313" s="16"/>
      <c r="H313" s="203"/>
      <c r="I313" s="31"/>
      <c r="J313" s="203"/>
      <c r="K313" s="129"/>
      <c r="L313" s="16"/>
      <c r="M313" s="8"/>
      <c r="N313" s="31" t="s">
        <v>4731</v>
      </c>
      <c r="O313" s="477"/>
    </row>
    <row r="314" spans="1:15" s="17" customFormat="1" ht="33" customHeight="1">
      <c r="A314" s="472"/>
      <c r="B314" s="424">
        <v>46164</v>
      </c>
      <c r="C314" s="4"/>
      <c r="D314" s="4"/>
      <c r="E314" s="31"/>
      <c r="F314" s="31"/>
      <c r="G314" s="16"/>
      <c r="H314" s="203"/>
      <c r="I314" s="31"/>
      <c r="J314" s="31"/>
      <c r="K314" s="129"/>
      <c r="L314" s="16"/>
      <c r="M314" s="8"/>
      <c r="N314" s="31"/>
      <c r="O314" s="476"/>
    </row>
    <row r="315" spans="1:15" s="17" customFormat="1" ht="33" customHeight="1">
      <c r="A315" s="472"/>
      <c r="B315" s="424">
        <v>46165</v>
      </c>
      <c r="C315" s="4"/>
      <c r="D315" s="4"/>
      <c r="E315" s="31"/>
      <c r="F315" s="31"/>
      <c r="G315" s="16"/>
      <c r="H315" s="203"/>
      <c r="I315" s="203"/>
      <c r="J315" s="203"/>
      <c r="K315" s="129"/>
      <c r="L315" s="16"/>
      <c r="M315" s="8"/>
      <c r="N315" s="203"/>
      <c r="O315" s="486"/>
    </row>
    <row r="316" spans="1:15" s="17" customFormat="1" ht="33" customHeight="1">
      <c r="A316" s="473"/>
      <c r="B316" s="424">
        <v>46165</v>
      </c>
      <c r="C316" s="4"/>
      <c r="D316" s="4"/>
      <c r="E316" s="31"/>
      <c r="F316" s="31"/>
      <c r="G316" s="16"/>
      <c r="H316" s="203"/>
      <c r="I316" s="203"/>
      <c r="J316" s="203"/>
      <c r="K316" s="129"/>
      <c r="L316" s="16"/>
      <c r="M316" s="8"/>
      <c r="N316" s="31"/>
      <c r="O316" s="480"/>
    </row>
    <row r="317" spans="1:15" s="17" customFormat="1" ht="33" customHeight="1">
      <c r="A317" s="474" t="s">
        <v>0</v>
      </c>
      <c r="B317" s="339" t="s">
        <v>1</v>
      </c>
      <c r="C317" s="338" t="s">
        <v>2</v>
      </c>
      <c r="D317" s="338" t="s">
        <v>3</v>
      </c>
      <c r="E317" s="338" t="s">
        <v>4</v>
      </c>
      <c r="F317" s="338" t="s">
        <v>5</v>
      </c>
      <c r="G317" s="338" t="s">
        <v>6</v>
      </c>
      <c r="H317" s="340" t="s">
        <v>7</v>
      </c>
      <c r="I317" s="338" t="s">
        <v>8</v>
      </c>
      <c r="J317" s="338" t="s">
        <v>9</v>
      </c>
      <c r="K317" s="341" t="s">
        <v>10</v>
      </c>
      <c r="L317" s="342" t="s">
        <v>11</v>
      </c>
      <c r="M317" s="338" t="s">
        <v>12</v>
      </c>
      <c r="N317" s="343" t="s">
        <v>13</v>
      </c>
      <c r="O317" s="475" t="s">
        <v>63</v>
      </c>
    </row>
    <row r="318" spans="1:15" s="17" customFormat="1" ht="33" customHeight="1">
      <c r="A318" s="471" t="s">
        <v>4554</v>
      </c>
      <c r="B318" s="424">
        <v>46167</v>
      </c>
      <c r="C318" s="4"/>
      <c r="D318" s="4"/>
      <c r="E318" s="31"/>
      <c r="F318" s="203"/>
      <c r="G318" s="16"/>
      <c r="H318" s="444" t="s">
        <v>4730</v>
      </c>
      <c r="I318" s="31"/>
      <c r="J318" s="31"/>
      <c r="K318" s="129"/>
      <c r="L318" s="16"/>
      <c r="M318" s="8"/>
      <c r="N318" s="31"/>
      <c r="O318" s="479"/>
    </row>
    <row r="319" spans="1:15" s="17" customFormat="1" ht="33" customHeight="1">
      <c r="A319" s="472"/>
      <c r="B319" s="424">
        <v>46167</v>
      </c>
      <c r="C319" s="4"/>
      <c r="D319" s="4"/>
      <c r="E319" s="305"/>
      <c r="F319" s="31"/>
      <c r="G319" s="16"/>
      <c r="H319" s="203"/>
      <c r="I319" s="31"/>
      <c r="J319" s="31"/>
      <c r="K319" s="129"/>
      <c r="L319" s="16"/>
      <c r="M319" s="8"/>
      <c r="N319" s="31"/>
      <c r="O319" s="479"/>
    </row>
    <row r="320" spans="1:15" s="17" customFormat="1" ht="33" customHeight="1">
      <c r="A320" s="472"/>
      <c r="B320" s="424">
        <v>46168</v>
      </c>
      <c r="C320" s="4"/>
      <c r="D320" s="4"/>
      <c r="E320" s="31"/>
      <c r="F320" s="31"/>
      <c r="G320" s="16"/>
      <c r="H320" s="203"/>
      <c r="I320" s="31"/>
      <c r="J320" s="203"/>
      <c r="K320" s="129"/>
      <c r="L320" s="16"/>
      <c r="M320" s="8"/>
      <c r="N320" s="469"/>
      <c r="O320" s="478"/>
    </row>
    <row r="321" spans="1:15" s="17" customFormat="1" ht="33" customHeight="1">
      <c r="A321" s="472"/>
      <c r="B321" s="424">
        <v>46168</v>
      </c>
      <c r="C321" s="4"/>
      <c r="D321" s="4"/>
      <c r="E321" s="31"/>
      <c r="F321" s="31"/>
      <c r="G321" s="16"/>
      <c r="H321" s="203"/>
      <c r="I321" s="31"/>
      <c r="J321" s="203"/>
      <c r="K321" s="129"/>
      <c r="L321" s="16"/>
      <c r="M321" s="8"/>
      <c r="N321" s="469"/>
      <c r="O321" s="478"/>
    </row>
    <row r="322" spans="1:15" s="17" customFormat="1" ht="33" customHeight="1">
      <c r="A322" s="472"/>
      <c r="B322" s="424">
        <v>46169</v>
      </c>
      <c r="C322" s="4"/>
      <c r="D322" s="4"/>
      <c r="E322" s="31"/>
      <c r="F322" s="31"/>
      <c r="G322" s="16"/>
      <c r="H322" s="203"/>
      <c r="I322" s="31"/>
      <c r="J322" s="203"/>
      <c r="K322" s="129"/>
      <c r="L322" s="16"/>
      <c r="M322" s="8"/>
      <c r="N322" s="469"/>
      <c r="O322" s="478"/>
    </row>
    <row r="323" spans="1:15" s="17" customFormat="1" ht="33" customHeight="1">
      <c r="A323" s="472"/>
      <c r="B323" s="424">
        <v>46169</v>
      </c>
      <c r="C323" s="4"/>
      <c r="D323" s="4"/>
      <c r="E323" s="305"/>
      <c r="F323" s="31"/>
      <c r="G323" s="16"/>
      <c r="H323" s="203"/>
      <c r="I323" s="31"/>
      <c r="J323" s="31"/>
      <c r="K323" s="129"/>
      <c r="L323" s="16"/>
      <c r="M323" s="8"/>
      <c r="N323" s="31"/>
      <c r="O323" s="480"/>
    </row>
    <row r="324" spans="1:15" s="17" customFormat="1" ht="33" customHeight="1">
      <c r="A324" s="472"/>
      <c r="B324" s="424">
        <v>46170</v>
      </c>
      <c r="C324" s="4"/>
      <c r="D324" s="4"/>
      <c r="E324" s="31"/>
      <c r="F324" s="31"/>
      <c r="G324" s="16"/>
      <c r="H324" s="203"/>
      <c r="I324" s="31"/>
      <c r="J324" s="203"/>
      <c r="K324" s="129"/>
      <c r="L324" s="16"/>
      <c r="M324" s="8"/>
      <c r="N324" s="469"/>
      <c r="O324" s="478"/>
    </row>
    <row r="325" spans="1:15" s="17" customFormat="1" ht="33" customHeight="1">
      <c r="A325" s="472"/>
      <c r="B325" s="424">
        <v>46170</v>
      </c>
      <c r="C325" s="4"/>
      <c r="D325" s="4"/>
      <c r="E325" s="305"/>
      <c r="F325" s="31"/>
      <c r="G325" s="16"/>
      <c r="H325" s="203"/>
      <c r="I325" s="31"/>
      <c r="J325" s="31"/>
      <c r="K325" s="129"/>
      <c r="L325" s="16"/>
      <c r="M325" s="8"/>
      <c r="N325" s="31"/>
      <c r="O325" s="480"/>
    </row>
    <row r="326" spans="1:15" s="17" customFormat="1" ht="33" customHeight="1">
      <c r="A326" s="472"/>
      <c r="B326" s="424">
        <v>46171</v>
      </c>
      <c r="C326" s="4"/>
      <c r="D326" s="4"/>
      <c r="E326" s="31"/>
      <c r="F326" s="305"/>
      <c r="G326" s="16"/>
      <c r="H326" s="203"/>
      <c r="I326" s="31"/>
      <c r="J326" s="203"/>
      <c r="K326" s="129"/>
      <c r="L326" s="16"/>
      <c r="M326" s="8"/>
      <c r="N326" s="31"/>
      <c r="O326" s="477"/>
    </row>
    <row r="327" spans="1:15" s="17" customFormat="1" ht="33" customHeight="1">
      <c r="A327" s="472"/>
      <c r="B327" s="424">
        <v>46171</v>
      </c>
      <c r="C327" s="4"/>
      <c r="D327" s="4"/>
      <c r="E327" s="31"/>
      <c r="F327" s="31"/>
      <c r="G327" s="16"/>
      <c r="H327" s="203"/>
      <c r="I327" s="31"/>
      <c r="J327" s="31"/>
      <c r="K327" s="129"/>
      <c r="L327" s="16"/>
      <c r="M327" s="8"/>
      <c r="N327" s="31"/>
      <c r="O327" s="476"/>
    </row>
    <row r="328" spans="1:15" s="17" customFormat="1" ht="33" customHeight="1">
      <c r="A328" s="472"/>
      <c r="B328" s="424">
        <v>46172</v>
      </c>
      <c r="C328" s="4"/>
      <c r="D328" s="4"/>
      <c r="E328" s="31"/>
      <c r="F328" s="31"/>
      <c r="G328" s="16"/>
      <c r="H328" s="203"/>
      <c r="I328" s="203"/>
      <c r="J328" s="203"/>
      <c r="K328" s="129"/>
      <c r="L328" s="16"/>
      <c r="M328" s="8"/>
      <c r="N328" s="203"/>
      <c r="O328" s="486"/>
    </row>
    <row r="329" spans="1:15" s="17" customFormat="1" ht="33" customHeight="1">
      <c r="A329" s="473"/>
      <c r="B329" s="424">
        <v>46172</v>
      </c>
      <c r="C329" s="4"/>
      <c r="D329" s="4"/>
      <c r="E329" s="31"/>
      <c r="F329" s="31"/>
      <c r="G329" s="16"/>
      <c r="H329" s="203"/>
      <c r="I329" s="203"/>
      <c r="J329" s="203"/>
      <c r="K329" s="129"/>
      <c r="L329" s="16"/>
      <c r="M329" s="8"/>
      <c r="N329" s="31"/>
      <c r="O329" s="480"/>
    </row>
    <row r="330" spans="1:15" s="17" customFormat="1" ht="33" customHeight="1">
      <c r="A330" s="474" t="s">
        <v>0</v>
      </c>
      <c r="B330" s="339" t="s">
        <v>1</v>
      </c>
      <c r="C330" s="338" t="s">
        <v>2</v>
      </c>
      <c r="D330" s="338" t="s">
        <v>3</v>
      </c>
      <c r="E330" s="338" t="s">
        <v>4</v>
      </c>
      <c r="F330" s="338" t="s">
        <v>5</v>
      </c>
      <c r="G330" s="338" t="s">
        <v>6</v>
      </c>
      <c r="H330" s="340" t="s">
        <v>7</v>
      </c>
      <c r="I330" s="338" t="s">
        <v>8</v>
      </c>
      <c r="J330" s="338" t="s">
        <v>9</v>
      </c>
      <c r="K330" s="341" t="s">
        <v>10</v>
      </c>
      <c r="L330" s="342" t="s">
        <v>11</v>
      </c>
      <c r="M330" s="338" t="s">
        <v>12</v>
      </c>
      <c r="N330" s="343" t="s">
        <v>13</v>
      </c>
      <c r="O330" s="475" t="s">
        <v>63</v>
      </c>
    </row>
    <row r="331" spans="1:15" s="17" customFormat="1" ht="33" customHeight="1">
      <c r="A331" s="471" t="s">
        <v>4555</v>
      </c>
      <c r="B331" s="424">
        <v>46174</v>
      </c>
      <c r="C331" s="4"/>
      <c r="D331" s="4"/>
      <c r="E331" s="31"/>
      <c r="F331" s="203"/>
      <c r="G331" s="16"/>
      <c r="H331" s="203"/>
      <c r="I331" s="31"/>
      <c r="J331" s="31"/>
      <c r="K331" s="129"/>
      <c r="L331" s="16"/>
      <c r="M331" s="8"/>
      <c r="N331" s="31"/>
      <c r="O331" s="479"/>
    </row>
    <row r="332" spans="1:15" s="17" customFormat="1" ht="33" customHeight="1">
      <c r="A332" s="472"/>
      <c r="B332" s="424">
        <v>46174</v>
      </c>
      <c r="C332" s="4"/>
      <c r="D332" s="4"/>
      <c r="E332" s="305"/>
      <c r="F332" s="31"/>
      <c r="G332" s="16"/>
      <c r="H332" s="203"/>
      <c r="I332" s="31"/>
      <c r="J332" s="31"/>
      <c r="K332" s="129"/>
      <c r="L332" s="16"/>
      <c r="M332" s="8"/>
      <c r="N332" s="31"/>
      <c r="O332" s="479"/>
    </row>
    <row r="333" spans="1:15" s="17" customFormat="1" ht="33" customHeight="1">
      <c r="A333" s="472"/>
      <c r="B333" s="424">
        <v>46175</v>
      </c>
      <c r="C333" s="4"/>
      <c r="D333" s="4"/>
      <c r="E333" s="31"/>
      <c r="F333" s="31"/>
      <c r="G333" s="16"/>
      <c r="H333" s="203"/>
      <c r="I333" s="31"/>
      <c r="J333" s="203"/>
      <c r="K333" s="129"/>
      <c r="L333" s="16"/>
      <c r="M333" s="8"/>
      <c r="N333" s="469"/>
      <c r="O333" s="478"/>
    </row>
    <row r="334" spans="1:15" s="17" customFormat="1" ht="33" customHeight="1">
      <c r="A334" s="472"/>
      <c r="B334" s="424">
        <v>46175</v>
      </c>
      <c r="C334" s="4"/>
      <c r="D334" s="4"/>
      <c r="E334" s="31"/>
      <c r="F334" s="31"/>
      <c r="G334" s="16"/>
      <c r="H334" s="203"/>
      <c r="I334" s="31"/>
      <c r="J334" s="203"/>
      <c r="K334" s="129"/>
      <c r="L334" s="16"/>
      <c r="M334" s="8"/>
      <c r="N334" s="469"/>
      <c r="O334" s="478"/>
    </row>
    <row r="335" spans="1:15" s="17" customFormat="1" ht="33" customHeight="1">
      <c r="A335" s="472"/>
      <c r="B335" s="424">
        <v>46176</v>
      </c>
      <c r="C335" s="4"/>
      <c r="D335" s="4"/>
      <c r="E335" s="31"/>
      <c r="F335" s="31"/>
      <c r="G335" s="16"/>
      <c r="H335" s="444" t="s">
        <v>4872</v>
      </c>
      <c r="I335" s="31"/>
      <c r="J335" s="203"/>
      <c r="K335" s="129"/>
      <c r="L335" s="16"/>
      <c r="M335" s="8"/>
      <c r="N335" s="469"/>
      <c r="O335" s="478"/>
    </row>
    <row r="336" spans="1:15" s="17" customFormat="1" ht="33" customHeight="1">
      <c r="A336" s="472"/>
      <c r="B336" s="424">
        <v>46176</v>
      </c>
      <c r="C336" s="4"/>
      <c r="D336" s="4"/>
      <c r="E336" s="305"/>
      <c r="F336" s="31"/>
      <c r="G336" s="16"/>
      <c r="H336" s="203"/>
      <c r="I336" s="31"/>
      <c r="J336" s="31"/>
      <c r="K336" s="129"/>
      <c r="L336" s="16"/>
      <c r="M336" s="8"/>
      <c r="N336" s="31"/>
      <c r="O336" s="480"/>
    </row>
    <row r="337" spans="1:15" s="17" customFormat="1" ht="33" customHeight="1">
      <c r="A337" s="472"/>
      <c r="B337" s="424">
        <v>46177</v>
      </c>
      <c r="C337" s="4"/>
      <c r="D337" s="4"/>
      <c r="E337" s="31"/>
      <c r="F337" s="31"/>
      <c r="G337" s="16"/>
      <c r="H337" s="203"/>
      <c r="I337" s="31"/>
      <c r="J337" s="203"/>
      <c r="K337" s="129"/>
      <c r="L337" s="16"/>
      <c r="M337" s="8"/>
      <c r="N337" s="469"/>
      <c r="O337" s="478"/>
    </row>
    <row r="338" spans="1:15" s="17" customFormat="1" ht="33" customHeight="1">
      <c r="A338" s="472"/>
      <c r="B338" s="424">
        <v>46177</v>
      </c>
      <c r="C338" s="4"/>
      <c r="D338" s="4"/>
      <c r="E338" s="305"/>
      <c r="F338" s="31"/>
      <c r="G338" s="16"/>
      <c r="H338" s="203"/>
      <c r="I338" s="31"/>
      <c r="J338" s="31"/>
      <c r="K338" s="129"/>
      <c r="L338" s="16"/>
      <c r="M338" s="8"/>
      <c r="N338" s="31"/>
      <c r="O338" s="480"/>
    </row>
    <row r="339" spans="1:15" s="17" customFormat="1" ht="33" customHeight="1">
      <c r="A339" s="472"/>
      <c r="B339" s="424">
        <v>46178</v>
      </c>
      <c r="C339" s="4"/>
      <c r="D339" s="4"/>
      <c r="E339" s="31"/>
      <c r="F339" s="305"/>
      <c r="G339" s="16"/>
      <c r="H339" s="203"/>
      <c r="I339" s="31"/>
      <c r="J339" s="203"/>
      <c r="K339" s="129"/>
      <c r="L339" s="16"/>
      <c r="M339" s="8"/>
      <c r="N339" s="31"/>
      <c r="O339" s="477"/>
    </row>
    <row r="340" spans="1:15" s="17" customFormat="1" ht="33" customHeight="1">
      <c r="A340" s="472"/>
      <c r="B340" s="424">
        <v>46178</v>
      </c>
      <c r="C340" s="4"/>
      <c r="D340" s="4"/>
      <c r="E340" s="31"/>
      <c r="F340" s="31"/>
      <c r="G340" s="16"/>
      <c r="H340" s="203"/>
      <c r="I340" s="31"/>
      <c r="J340" s="31"/>
      <c r="K340" s="129"/>
      <c r="L340" s="16"/>
      <c r="M340" s="8"/>
      <c r="N340" s="31"/>
      <c r="O340" s="476"/>
    </row>
    <row r="341" spans="1:15" s="17" customFormat="1" ht="33" customHeight="1">
      <c r="A341" s="472"/>
      <c r="B341" s="424">
        <v>46179</v>
      </c>
      <c r="C341" s="4"/>
      <c r="D341" s="4"/>
      <c r="E341" s="31"/>
      <c r="F341" s="31"/>
      <c r="G341" s="16"/>
      <c r="H341" s="203"/>
      <c r="I341" s="203"/>
      <c r="J341" s="203"/>
      <c r="K341" s="129"/>
      <c r="L341" s="16"/>
      <c r="M341" s="8"/>
      <c r="N341" s="203"/>
      <c r="O341" s="486"/>
    </row>
    <row r="342" spans="1:15" s="17" customFormat="1" ht="33" customHeight="1">
      <c r="A342" s="473"/>
      <c r="B342" s="424">
        <v>46179</v>
      </c>
      <c r="C342" s="4"/>
      <c r="D342" s="4"/>
      <c r="E342" s="31"/>
      <c r="F342" s="31"/>
      <c r="G342" s="16"/>
      <c r="H342" s="203"/>
      <c r="I342" s="203"/>
      <c r="J342" s="203"/>
      <c r="K342" s="129"/>
      <c r="L342" s="16"/>
      <c r="M342" s="8"/>
      <c r="N342" s="31"/>
      <c r="O342" s="480"/>
    </row>
    <row r="343" spans="1:15" s="17" customFormat="1" ht="33" customHeight="1">
      <c r="A343" s="474" t="s">
        <v>0</v>
      </c>
      <c r="B343" s="339" t="s">
        <v>1</v>
      </c>
      <c r="C343" s="338" t="s">
        <v>2</v>
      </c>
      <c r="D343" s="338" t="s">
        <v>3</v>
      </c>
      <c r="E343" s="338" t="s">
        <v>4</v>
      </c>
      <c r="F343" s="338" t="s">
        <v>5</v>
      </c>
      <c r="G343" s="338" t="s">
        <v>6</v>
      </c>
      <c r="H343" s="340" t="s">
        <v>7</v>
      </c>
      <c r="I343" s="338" t="s">
        <v>8</v>
      </c>
      <c r="J343" s="338" t="s">
        <v>9</v>
      </c>
      <c r="K343" s="341" t="s">
        <v>10</v>
      </c>
      <c r="L343" s="342" t="s">
        <v>11</v>
      </c>
      <c r="M343" s="338" t="s">
        <v>12</v>
      </c>
      <c r="N343" s="343" t="s">
        <v>13</v>
      </c>
      <c r="O343" s="475" t="s">
        <v>63</v>
      </c>
    </row>
    <row r="344" spans="1:15" s="17" customFormat="1" ht="33" customHeight="1">
      <c r="A344" s="471" t="s">
        <v>4556</v>
      </c>
      <c r="B344" s="424">
        <v>46181</v>
      </c>
      <c r="C344" s="4"/>
      <c r="D344" s="4"/>
      <c r="E344" s="31"/>
      <c r="F344" s="203"/>
      <c r="G344" s="16"/>
      <c r="H344" s="203"/>
      <c r="I344" s="31"/>
      <c r="J344" s="31"/>
      <c r="K344" s="129"/>
      <c r="L344" s="16"/>
      <c r="M344" s="8"/>
      <c r="N344" s="31"/>
      <c r="O344" s="479"/>
    </row>
    <row r="345" spans="1:15" s="17" customFormat="1" ht="33" customHeight="1">
      <c r="A345" s="472"/>
      <c r="B345" s="424">
        <v>46181</v>
      </c>
      <c r="C345" s="4"/>
      <c r="D345" s="4"/>
      <c r="E345" s="305"/>
      <c r="F345" s="31"/>
      <c r="G345" s="16"/>
      <c r="H345" s="203"/>
      <c r="I345" s="31"/>
      <c r="J345" s="31"/>
      <c r="K345" s="129"/>
      <c r="L345" s="16"/>
      <c r="M345" s="8"/>
      <c r="N345" s="31"/>
      <c r="O345" s="479"/>
    </row>
    <row r="346" spans="1:15" s="17" customFormat="1" ht="33" customHeight="1">
      <c r="A346" s="472"/>
      <c r="B346" s="424">
        <v>46182</v>
      </c>
      <c r="C346" s="4"/>
      <c r="D346" s="4"/>
      <c r="E346" s="31"/>
      <c r="F346" s="31"/>
      <c r="G346" s="16"/>
      <c r="H346" s="203"/>
      <c r="I346" s="31"/>
      <c r="J346" s="203"/>
      <c r="K346" s="129"/>
      <c r="L346" s="16"/>
      <c r="M346" s="8"/>
      <c r="N346" s="469"/>
      <c r="O346" s="478"/>
    </row>
    <row r="347" spans="1:15" s="17" customFormat="1" ht="33" customHeight="1">
      <c r="A347" s="472"/>
      <c r="B347" s="424">
        <v>46182</v>
      </c>
      <c r="C347" s="4"/>
      <c r="D347" s="4"/>
      <c r="E347" s="31"/>
      <c r="F347" s="31"/>
      <c r="G347" s="16"/>
      <c r="H347" s="203"/>
      <c r="I347" s="31"/>
      <c r="J347" s="203"/>
      <c r="K347" s="129"/>
      <c r="L347" s="16"/>
      <c r="M347" s="8"/>
      <c r="N347" s="469"/>
      <c r="O347" s="478"/>
    </row>
    <row r="348" spans="1:15" s="17" customFormat="1" ht="33" customHeight="1">
      <c r="A348" s="472"/>
      <c r="B348" s="424">
        <v>46183</v>
      </c>
      <c r="C348" s="4"/>
      <c r="D348" s="4"/>
      <c r="E348" s="31"/>
      <c r="F348" s="31"/>
      <c r="G348" s="16"/>
      <c r="H348" s="203"/>
      <c r="I348" s="31"/>
      <c r="J348" s="203"/>
      <c r="K348" s="129"/>
      <c r="L348" s="16"/>
      <c r="M348" s="8"/>
      <c r="N348" s="469"/>
      <c r="O348" s="478"/>
    </row>
    <row r="349" spans="1:15" s="17" customFormat="1" ht="33" customHeight="1">
      <c r="A349" s="472"/>
      <c r="B349" s="424">
        <v>46183</v>
      </c>
      <c r="C349" s="4"/>
      <c r="D349" s="4"/>
      <c r="E349" s="305"/>
      <c r="F349" s="31"/>
      <c r="G349" s="16"/>
      <c r="H349" s="203"/>
      <c r="I349" s="31"/>
      <c r="J349" s="31"/>
      <c r="K349" s="129"/>
      <c r="L349" s="16"/>
      <c r="M349" s="8"/>
      <c r="N349" s="31"/>
      <c r="O349" s="480"/>
    </row>
    <row r="350" spans="1:15" s="17" customFormat="1" ht="33" customHeight="1">
      <c r="A350" s="472"/>
      <c r="B350" s="424">
        <v>46184</v>
      </c>
      <c r="C350" s="4"/>
      <c r="D350" s="4"/>
      <c r="E350" s="31"/>
      <c r="F350" s="31"/>
      <c r="G350" s="16"/>
      <c r="H350" s="203"/>
      <c r="I350" s="31"/>
      <c r="J350" s="203"/>
      <c r="K350" s="129"/>
      <c r="L350" s="16"/>
      <c r="M350" s="8"/>
      <c r="N350" s="469"/>
      <c r="O350" s="478"/>
    </row>
    <row r="351" spans="1:15" s="17" customFormat="1" ht="33" customHeight="1">
      <c r="A351" s="472"/>
      <c r="B351" s="424">
        <v>46184</v>
      </c>
      <c r="C351" s="4"/>
      <c r="D351" s="4"/>
      <c r="E351" s="305"/>
      <c r="F351" s="31"/>
      <c r="G351" s="16"/>
      <c r="H351" s="203"/>
      <c r="I351" s="31"/>
      <c r="J351" s="31"/>
      <c r="K351" s="129"/>
      <c r="L351" s="16"/>
      <c r="M351" s="8"/>
      <c r="N351" s="31"/>
      <c r="O351" s="480"/>
    </row>
    <row r="352" spans="1:15" s="17" customFormat="1" ht="33" customHeight="1">
      <c r="A352" s="472"/>
      <c r="B352" s="424">
        <v>46185</v>
      </c>
      <c r="C352" s="4"/>
      <c r="D352" s="4"/>
      <c r="E352" s="31"/>
      <c r="F352" s="305"/>
      <c r="G352" s="16"/>
      <c r="H352" s="203"/>
      <c r="I352" s="31"/>
      <c r="J352" s="203"/>
      <c r="K352" s="129"/>
      <c r="L352" s="16"/>
      <c r="M352" s="8"/>
      <c r="N352" s="31"/>
      <c r="O352" s="477"/>
    </row>
    <row r="353" spans="1:15" s="17" customFormat="1" ht="33" customHeight="1">
      <c r="A353" s="472"/>
      <c r="B353" s="424">
        <v>46185</v>
      </c>
      <c r="C353" s="4"/>
      <c r="D353" s="4"/>
      <c r="E353" s="31"/>
      <c r="F353" s="31"/>
      <c r="G353" s="16"/>
      <c r="H353" s="203"/>
      <c r="I353" s="31"/>
      <c r="J353" s="31"/>
      <c r="K353" s="129"/>
      <c r="L353" s="16"/>
      <c r="M353" s="8"/>
      <c r="N353" s="31"/>
      <c r="O353" s="476"/>
    </row>
    <row r="354" spans="1:15" s="17" customFormat="1" ht="33" customHeight="1">
      <c r="A354" s="472"/>
      <c r="B354" s="424">
        <v>46186</v>
      </c>
      <c r="C354" s="4"/>
      <c r="D354" s="4"/>
      <c r="E354" s="31"/>
      <c r="F354" s="31"/>
      <c r="G354" s="16"/>
      <c r="H354" s="203"/>
      <c r="I354" s="203"/>
      <c r="J354" s="203"/>
      <c r="K354" s="129"/>
      <c r="L354" s="16"/>
      <c r="M354" s="8"/>
      <c r="N354" s="203"/>
      <c r="O354" s="486"/>
    </row>
    <row r="355" spans="1:15">
      <c r="A355" s="472"/>
      <c r="B355" s="424">
        <v>46186</v>
      </c>
      <c r="C355" s="10"/>
      <c r="D355" s="10"/>
      <c r="E355" s="347"/>
      <c r="F355" s="347"/>
      <c r="G355" s="7"/>
      <c r="H355" s="165"/>
      <c r="I355" s="165"/>
      <c r="J355" s="165"/>
      <c r="K355" s="344"/>
      <c r="L355" s="7"/>
      <c r="M355" s="470"/>
      <c r="N355" s="347"/>
      <c r="O355" s="493"/>
    </row>
    <row r="359" spans="1:15">
      <c r="B359" s="402"/>
    </row>
    <row r="360" spans="1:15">
      <c r="B360" s="402"/>
    </row>
    <row r="361" spans="1:15">
      <c r="C361" s="4" t="s">
        <v>21</v>
      </c>
      <c r="D361" s="4" t="s">
        <v>14</v>
      </c>
      <c r="E361" s="31" t="s">
        <v>428</v>
      </c>
      <c r="F361" s="203" t="s">
        <v>3111</v>
      </c>
      <c r="G361" s="16" t="s">
        <v>3083</v>
      </c>
      <c r="H361" s="203" t="s">
        <v>3112</v>
      </c>
      <c r="I361" s="31" t="s">
        <v>3113</v>
      </c>
      <c r="J361" s="203" t="s">
        <v>3114</v>
      </c>
      <c r="K361" s="129" t="s">
        <v>15</v>
      </c>
      <c r="L361" s="16">
        <v>9080</v>
      </c>
      <c r="M361" s="8">
        <v>2</v>
      </c>
      <c r="N361" s="77"/>
    </row>
    <row r="364" spans="1:15" ht="27">
      <c r="C364" s="9" t="s">
        <v>29</v>
      </c>
      <c r="D364" s="9" t="s">
        <v>2997</v>
      </c>
      <c r="E364" s="31" t="s">
        <v>3001</v>
      </c>
      <c r="F364" s="203" t="s">
        <v>2999</v>
      </c>
      <c r="G364" s="16" t="s">
        <v>3000</v>
      </c>
      <c r="H364" s="203" t="s">
        <v>3002</v>
      </c>
      <c r="I364" s="31"/>
      <c r="J364" s="31" t="s">
        <v>642</v>
      </c>
      <c r="K364" s="129" t="s">
        <v>42</v>
      </c>
      <c r="L364" s="16" t="s">
        <v>3033</v>
      </c>
      <c r="M364" s="8">
        <v>2</v>
      </c>
    </row>
    <row r="366" spans="1:15">
      <c r="B366" s="402"/>
    </row>
    <row r="367" spans="1:15">
      <c r="C367" s="4" t="s">
        <v>21</v>
      </c>
      <c r="D367" s="4" t="s">
        <v>14</v>
      </c>
      <c r="E367" s="31" t="s">
        <v>3077</v>
      </c>
      <c r="F367" s="31" t="s">
        <v>1652</v>
      </c>
      <c r="G367" s="16" t="s">
        <v>3084</v>
      </c>
      <c r="H367" s="203" t="s">
        <v>1388</v>
      </c>
      <c r="I367" s="31" t="s">
        <v>3085</v>
      </c>
      <c r="J367" s="31" t="s">
        <v>3086</v>
      </c>
      <c r="K367" s="129" t="s">
        <v>3078</v>
      </c>
      <c r="L367" s="16" t="s">
        <v>33</v>
      </c>
      <c r="M367" s="8">
        <v>2</v>
      </c>
    </row>
    <row r="369" spans="2:15">
      <c r="C369" s="4" t="s">
        <v>21</v>
      </c>
      <c r="D369" s="4" t="s">
        <v>14</v>
      </c>
      <c r="E369" s="31" t="s">
        <v>2254</v>
      </c>
      <c r="F369" s="31" t="s">
        <v>1978</v>
      </c>
      <c r="G369" s="16" t="s">
        <v>2181</v>
      </c>
      <c r="H369" s="203" t="s">
        <v>3036</v>
      </c>
      <c r="I369" s="31" t="s">
        <v>90</v>
      </c>
      <c r="J369" s="31" t="s">
        <v>2966</v>
      </c>
      <c r="K369" s="129" t="s">
        <v>15</v>
      </c>
      <c r="L369" s="16" t="s">
        <v>33</v>
      </c>
      <c r="M369" s="8">
        <v>2</v>
      </c>
    </row>
    <row r="373" spans="2:15">
      <c r="B373" s="59"/>
      <c r="C373" s="59" t="s">
        <v>21</v>
      </c>
      <c r="D373" s="59" t="s">
        <v>14</v>
      </c>
      <c r="E373" s="325" t="s">
        <v>108</v>
      </c>
      <c r="F373" s="325" t="s">
        <v>1975</v>
      </c>
      <c r="G373" s="207" t="s">
        <v>144</v>
      </c>
      <c r="H373" s="324" t="s">
        <v>304</v>
      </c>
      <c r="I373" s="325" t="s">
        <v>2824</v>
      </c>
      <c r="J373" s="325"/>
      <c r="K373" s="323" t="s">
        <v>15</v>
      </c>
      <c r="L373" s="207" t="s">
        <v>33</v>
      </c>
      <c r="M373" s="192">
        <v>2</v>
      </c>
    </row>
    <row r="374" spans="2:15">
      <c r="C374" s="4" t="s">
        <v>21</v>
      </c>
      <c r="D374" s="4" t="s">
        <v>14</v>
      </c>
      <c r="E374" s="31" t="s">
        <v>1794</v>
      </c>
      <c r="F374" s="31" t="s">
        <v>2142</v>
      </c>
      <c r="G374" s="16" t="s">
        <v>143</v>
      </c>
      <c r="H374" s="203" t="s">
        <v>2994</v>
      </c>
      <c r="I374" s="31"/>
      <c r="J374" s="31" t="s">
        <v>1316</v>
      </c>
      <c r="K374" s="129" t="s">
        <v>15</v>
      </c>
      <c r="L374" s="16" t="s">
        <v>91</v>
      </c>
      <c r="M374" s="8">
        <v>1</v>
      </c>
    </row>
    <row r="380" spans="2:15">
      <c r="C380" s="4" t="s">
        <v>21</v>
      </c>
      <c r="D380" s="4" t="s">
        <v>14</v>
      </c>
      <c r="E380" s="31" t="s">
        <v>1902</v>
      </c>
      <c r="F380" s="31">
        <v>3307</v>
      </c>
      <c r="G380" s="16" t="s">
        <v>812</v>
      </c>
      <c r="H380" s="203" t="s">
        <v>2885</v>
      </c>
      <c r="I380" s="203" t="s">
        <v>2786</v>
      </c>
      <c r="J380" s="203"/>
      <c r="K380" s="129" t="s">
        <v>15</v>
      </c>
      <c r="L380" s="16" t="s">
        <v>33</v>
      </c>
      <c r="M380" s="8">
        <v>2</v>
      </c>
    </row>
    <row r="382" spans="2:15">
      <c r="B382" s="337">
        <v>45795</v>
      </c>
      <c r="C382" s="4" t="s">
        <v>21</v>
      </c>
      <c r="D382" s="4" t="s">
        <v>14</v>
      </c>
      <c r="E382" s="31" t="s">
        <v>1902</v>
      </c>
      <c r="F382" s="31">
        <v>3307</v>
      </c>
      <c r="G382" s="16" t="s">
        <v>812</v>
      </c>
      <c r="H382" s="203" t="s">
        <v>2560</v>
      </c>
      <c r="I382" s="203" t="s">
        <v>90</v>
      </c>
      <c r="J382" s="203" t="s">
        <v>642</v>
      </c>
      <c r="K382" s="129" t="s">
        <v>15</v>
      </c>
      <c r="L382" s="16" t="s">
        <v>33</v>
      </c>
      <c r="M382" s="8">
        <v>3</v>
      </c>
      <c r="N382" s="31"/>
      <c r="O382" s="335" t="s">
        <v>2908</v>
      </c>
    </row>
    <row r="383" spans="2:15" ht="27">
      <c r="C383" s="4" t="s">
        <v>21</v>
      </c>
      <c r="D383" s="4" t="s">
        <v>17</v>
      </c>
      <c r="E383" s="31" t="s">
        <v>78</v>
      </c>
      <c r="F383" s="31">
        <v>7060</v>
      </c>
      <c r="G383" s="16" t="s">
        <v>2870</v>
      </c>
      <c r="H383" s="203" t="s">
        <v>2919</v>
      </c>
      <c r="I383" s="31" t="s">
        <v>90</v>
      </c>
      <c r="J383" s="203" t="s">
        <v>60</v>
      </c>
      <c r="K383" s="129" t="s">
        <v>15</v>
      </c>
      <c r="L383" s="16" t="s">
        <v>33</v>
      </c>
      <c r="M383" s="8">
        <v>2</v>
      </c>
    </row>
    <row r="385" spans="3:13">
      <c r="C385" s="4" t="s">
        <v>21</v>
      </c>
      <c r="D385" s="4" t="s">
        <v>14</v>
      </c>
      <c r="E385" s="31" t="s">
        <v>3079</v>
      </c>
      <c r="F385" s="31" t="s">
        <v>2907</v>
      </c>
      <c r="G385" s="16" t="s">
        <v>83</v>
      </c>
      <c r="H385" s="203" t="s">
        <v>3080</v>
      </c>
      <c r="I385" s="203"/>
      <c r="J385" s="203" t="s">
        <v>3082</v>
      </c>
      <c r="K385" s="129" t="s">
        <v>15</v>
      </c>
      <c r="L385" s="16" t="s">
        <v>3081</v>
      </c>
      <c r="M385" s="8">
        <v>3</v>
      </c>
    </row>
    <row r="388" spans="3:13">
      <c r="C388" s="4" t="s">
        <v>21</v>
      </c>
      <c r="D388" s="4" t="s">
        <v>14</v>
      </c>
      <c r="E388" s="31" t="s">
        <v>428</v>
      </c>
      <c r="F388" s="203" t="s">
        <v>3111</v>
      </c>
      <c r="G388" s="16" t="s">
        <v>3083</v>
      </c>
      <c r="H388" s="203" t="s">
        <v>3112</v>
      </c>
      <c r="I388" s="31" t="s">
        <v>3113</v>
      </c>
      <c r="J388" s="203" t="s">
        <v>3114</v>
      </c>
      <c r="K388" s="129" t="s">
        <v>15</v>
      </c>
      <c r="L388" s="16">
        <v>9080</v>
      </c>
      <c r="M388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4:S184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G1210" sqref="G12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2" t="s">
        <v>162</v>
      </c>
      <c r="B1" s="602" t="s">
        <v>163</v>
      </c>
      <c r="C1" s="600" t="s">
        <v>1</v>
      </c>
      <c r="D1" s="600" t="s">
        <v>2</v>
      </c>
      <c r="E1" s="600" t="s">
        <v>3</v>
      </c>
      <c r="F1" s="27" t="s">
        <v>54</v>
      </c>
      <c r="G1" s="600" t="s">
        <v>5</v>
      </c>
      <c r="H1" s="600" t="s">
        <v>6</v>
      </c>
      <c r="I1" s="600" t="s">
        <v>7</v>
      </c>
      <c r="J1" s="600" t="s">
        <v>55</v>
      </c>
      <c r="K1" s="604" t="s">
        <v>484</v>
      </c>
      <c r="L1" s="606" t="s">
        <v>56</v>
      </c>
      <c r="M1" s="598" t="s">
        <v>57</v>
      </c>
      <c r="N1" s="600" t="s">
        <v>58</v>
      </c>
    </row>
    <row r="2" spans="1:14" hidden="1">
      <c r="A2" s="603"/>
      <c r="B2" s="603"/>
      <c r="C2" s="601"/>
      <c r="D2" s="601"/>
      <c r="E2" s="601"/>
      <c r="F2" s="28" t="s">
        <v>59</v>
      </c>
      <c r="G2" s="601"/>
      <c r="H2" s="601"/>
      <c r="I2" s="601"/>
      <c r="J2" s="601"/>
      <c r="K2" s="605"/>
      <c r="L2" s="607"/>
      <c r="M2" s="599"/>
      <c r="N2" s="601"/>
    </row>
    <row r="3" spans="1:14" ht="27" hidden="1">
      <c r="A3" s="55">
        <v>1</v>
      </c>
      <c r="B3" s="56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57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5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58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58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56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577"/>
      <c r="C9" s="60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577"/>
      <c r="C10" s="60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577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577"/>
      <c r="C12" s="60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577"/>
      <c r="C13" s="61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577"/>
      <c r="C14" s="609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577"/>
      <c r="C15" s="60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577"/>
      <c r="C16" s="60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5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58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5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56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56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583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584"/>
    </row>
    <row r="24" spans="1:17" ht="27" hidden="1">
      <c r="A24" s="55">
        <v>4</v>
      </c>
      <c r="B24" s="562" t="s">
        <v>21</v>
      </c>
      <c r="C24" s="56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68" t="s">
        <v>85</v>
      </c>
      <c r="K24" s="581" t="s">
        <v>41</v>
      </c>
      <c r="L24" s="6" t="s">
        <v>15</v>
      </c>
      <c r="M24" s="589">
        <v>180000</v>
      </c>
      <c r="N24" s="45" t="s">
        <v>195</v>
      </c>
    </row>
    <row r="25" spans="1:17" ht="27" hidden="1">
      <c r="A25" s="55">
        <v>4</v>
      </c>
      <c r="B25" s="577"/>
      <c r="C25" s="56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69"/>
      <c r="K25" s="582"/>
      <c r="L25" s="6" t="s">
        <v>15</v>
      </c>
      <c r="M25" s="590"/>
      <c r="N25" s="45" t="s">
        <v>195</v>
      </c>
    </row>
    <row r="26" spans="1:17" hidden="1">
      <c r="A26" s="55">
        <v>4</v>
      </c>
      <c r="B26" s="577"/>
      <c r="C26" s="56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6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563"/>
      <c r="C27" s="56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56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>
      <c r="A30" s="55">
        <v>6</v>
      </c>
      <c r="B30" s="56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577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577"/>
      <c r="C32" s="56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577"/>
      <c r="C33" s="56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5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562" t="s">
        <v>20</v>
      </c>
      <c r="C35" s="56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>
      <c r="A36" s="55">
        <v>7</v>
      </c>
      <c r="B36" s="563"/>
      <c r="C36" s="56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562" t="s">
        <v>20</v>
      </c>
      <c r="C37" s="56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563"/>
      <c r="C38" s="56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595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>
      <c r="A40" s="55">
        <v>9</v>
      </c>
      <c r="B40" s="596"/>
      <c r="C40" s="56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>
      <c r="A41" s="55">
        <v>9</v>
      </c>
      <c r="B41" s="596"/>
      <c r="C41" s="56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>
      <c r="A42" s="55">
        <v>9</v>
      </c>
      <c r="B42" s="597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>
      <c r="A44" s="55">
        <v>10</v>
      </c>
      <c r="B44" s="585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>
      <c r="A45" s="55">
        <v>10</v>
      </c>
      <c r="B45" s="586"/>
      <c r="C45" s="585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>
      <c r="A46" s="55">
        <v>10</v>
      </c>
      <c r="B46" s="586"/>
      <c r="C46" s="593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>
      <c r="A47" s="55">
        <v>10</v>
      </c>
      <c r="B47" s="587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>
      <c r="A49" s="55">
        <v>11</v>
      </c>
      <c r="B49" s="591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>
      <c r="A50" s="55">
        <v>11</v>
      </c>
      <c r="B50" s="594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>
      <c r="A51" s="55">
        <v>11</v>
      </c>
      <c r="B51" s="594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>
      <c r="A52" s="55">
        <v>11</v>
      </c>
      <c r="B52" s="592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>
      <c r="A55" s="55">
        <v>13</v>
      </c>
      <c r="B55" s="591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>
      <c r="A56" s="55">
        <v>13</v>
      </c>
      <c r="B56" s="592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>
      <c r="A59" s="55">
        <v>15</v>
      </c>
      <c r="B59" s="56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>
      <c r="A60" s="55">
        <v>15</v>
      </c>
      <c r="B60" s="577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>
      <c r="A61" s="55">
        <v>15</v>
      </c>
      <c r="B61" s="56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>
      <c r="A63" s="55">
        <v>18</v>
      </c>
      <c r="B63" s="585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>
      <c r="A64" s="55">
        <v>18</v>
      </c>
      <c r="B64" s="586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>
      <c r="A65" s="55">
        <v>18</v>
      </c>
      <c r="B65" s="587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>
      <c r="A67" s="55">
        <v>19</v>
      </c>
      <c r="B67" s="562" t="s">
        <v>64</v>
      </c>
      <c r="C67" s="56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581" t="s">
        <v>436</v>
      </c>
      <c r="L67" s="6" t="s">
        <v>437</v>
      </c>
      <c r="M67" s="589">
        <v>750000</v>
      </c>
      <c r="N67" s="45" t="s">
        <v>447</v>
      </c>
    </row>
    <row r="68" spans="1:15" ht="27" hidden="1">
      <c r="A68" s="55">
        <v>19</v>
      </c>
      <c r="B68" s="577"/>
      <c r="C68" s="58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582"/>
      <c r="L68" s="6" t="s">
        <v>412</v>
      </c>
      <c r="M68" s="590"/>
      <c r="N68" s="45" t="s">
        <v>446</v>
      </c>
    </row>
    <row r="69" spans="1:15" hidden="1">
      <c r="A69" s="55">
        <v>19</v>
      </c>
      <c r="B69" s="577"/>
      <c r="C69" s="56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>
      <c r="A70" s="55">
        <v>19</v>
      </c>
      <c r="B70" s="577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>
      <c r="A71" s="55">
        <v>19</v>
      </c>
      <c r="B71" s="56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>
      <c r="A72" s="55">
        <v>20</v>
      </c>
      <c r="B72" s="56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>
      <c r="A73" s="55">
        <v>20</v>
      </c>
      <c r="B73" s="577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>
      <c r="A74" s="55">
        <v>20</v>
      </c>
      <c r="B74" s="577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>
      <c r="A75" s="55">
        <v>20</v>
      </c>
      <c r="B75" s="57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>
      <c r="A76" s="55">
        <v>20</v>
      </c>
      <c r="B76" s="563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>
      <c r="A77" s="55">
        <v>20</v>
      </c>
      <c r="B77" s="56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577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56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56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56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5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>
      <c r="A83" s="55">
        <v>22</v>
      </c>
      <c r="B83" s="577"/>
      <c r="C83" s="5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>
      <c r="A84" s="55">
        <v>22</v>
      </c>
      <c r="B84" s="577"/>
      <c r="C84" s="56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>
      <c r="A85" s="55">
        <v>22</v>
      </c>
      <c r="B85" s="577"/>
      <c r="C85" s="56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>
      <c r="A86" s="55">
        <v>22</v>
      </c>
      <c r="B86" s="577"/>
      <c r="C86" s="56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>
      <c r="A87" s="55">
        <v>22</v>
      </c>
      <c r="B87" s="577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>
      <c r="A88" s="55">
        <v>22</v>
      </c>
      <c r="B88" s="577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>
      <c r="A89" s="55">
        <v>22</v>
      </c>
      <c r="B89" s="56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>
      <c r="A90" s="55">
        <v>23</v>
      </c>
      <c r="B90" s="56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>
      <c r="A91" s="55">
        <v>23</v>
      </c>
      <c r="B91" s="56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>
      <c r="A92" s="55">
        <v>24</v>
      </c>
      <c r="B92" s="562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>
      <c r="A93" s="55">
        <v>24</v>
      </c>
      <c r="B93" s="577"/>
      <c r="C93" s="56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577"/>
      <c r="C94" s="58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577"/>
      <c r="C95" s="56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577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56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>
      <c r="A99" s="55">
        <v>25</v>
      </c>
      <c r="B99" s="562" t="s">
        <v>21</v>
      </c>
      <c r="C99" s="56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>
      <c r="A100" s="55">
        <v>25</v>
      </c>
      <c r="B100" s="577"/>
      <c r="C100" s="56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>
      <c r="A101" s="55">
        <v>25</v>
      </c>
      <c r="B101" s="577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>
      <c r="A102" s="55">
        <v>25</v>
      </c>
      <c r="B102" s="577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>
      <c r="A103" s="55">
        <v>25</v>
      </c>
      <c r="B103" s="56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562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>
      <c r="A105" s="55">
        <v>26</v>
      </c>
      <c r="B105" s="577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>
      <c r="A106" s="55">
        <v>26</v>
      </c>
      <c r="B106" s="577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>
      <c r="A107" s="55">
        <v>26</v>
      </c>
      <c r="B107" s="563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>
      <c r="A108" s="55">
        <v>26</v>
      </c>
      <c r="B108" s="56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56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>
      <c r="A110" s="55">
        <v>27</v>
      </c>
      <c r="B110" s="578" t="s">
        <v>659</v>
      </c>
      <c r="C110" s="578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>
      <c r="A111" s="55">
        <v>27</v>
      </c>
      <c r="B111" s="579"/>
      <c r="C111" s="611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>
      <c r="A112" s="55">
        <v>27</v>
      </c>
      <c r="B112" s="579"/>
      <c r="C112" s="612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>
      <c r="A113" s="55">
        <v>27</v>
      </c>
      <c r="B113" s="611"/>
      <c r="C113" s="611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>
      <c r="A114" s="55">
        <v>27</v>
      </c>
      <c r="B114" s="612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>
      <c r="A115" s="55">
        <v>27</v>
      </c>
      <c r="B115" s="579"/>
      <c r="C115" s="578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>
      <c r="A116" s="55">
        <v>27</v>
      </c>
      <c r="B116" s="580"/>
      <c r="C116" s="611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>
      <c r="A117" s="105">
        <v>28</v>
      </c>
      <c r="B117" s="562" t="s">
        <v>20</v>
      </c>
      <c r="C117" s="619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568" t="s">
        <v>169</v>
      </c>
      <c r="K117" s="581" t="s">
        <v>646</v>
      </c>
      <c r="L117" s="57" t="s">
        <v>210</v>
      </c>
      <c r="M117" s="614">
        <f>250000*5</f>
        <v>1250000</v>
      </c>
      <c r="N117" s="562" t="s">
        <v>122</v>
      </c>
    </row>
    <row r="118" spans="1:14" hidden="1">
      <c r="A118" s="105">
        <v>28</v>
      </c>
      <c r="B118" s="577"/>
      <c r="C118" s="588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21"/>
      <c r="K118" s="620"/>
      <c r="L118" s="57" t="s">
        <v>210</v>
      </c>
      <c r="M118" s="616"/>
      <c r="N118" s="577"/>
    </row>
    <row r="119" spans="1:14" hidden="1">
      <c r="A119" s="105">
        <v>28</v>
      </c>
      <c r="B119" s="577"/>
      <c r="C119" s="588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569"/>
      <c r="K119" s="582"/>
      <c r="L119" s="57" t="s">
        <v>210</v>
      </c>
      <c r="M119" s="615"/>
      <c r="N119" s="563"/>
    </row>
    <row r="120" spans="1:14" hidden="1">
      <c r="A120" s="105">
        <v>28</v>
      </c>
      <c r="B120" s="563"/>
      <c r="C120" s="56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>
      <c r="A122" s="55">
        <v>29</v>
      </c>
      <c r="B122" s="578" t="s">
        <v>308</v>
      </c>
      <c r="C122" s="578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>
      <c r="A123" s="55">
        <v>29</v>
      </c>
      <c r="B123" s="579"/>
      <c r="C123" s="579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578" t="s">
        <v>665</v>
      </c>
      <c r="K123" s="585" t="s">
        <v>708</v>
      </c>
      <c r="L123" s="114" t="s">
        <v>325</v>
      </c>
      <c r="M123" s="578" t="s">
        <v>709</v>
      </c>
      <c r="N123" s="114"/>
    </row>
    <row r="124" spans="1:14" hidden="1">
      <c r="A124" s="55">
        <v>29</v>
      </c>
      <c r="B124" s="579"/>
      <c r="C124" s="579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579"/>
      <c r="K124" s="586"/>
      <c r="L124" s="114" t="s">
        <v>325</v>
      </c>
      <c r="M124" s="579"/>
      <c r="N124" s="114"/>
    </row>
    <row r="125" spans="1:14" hidden="1">
      <c r="A125" s="55">
        <v>29</v>
      </c>
      <c r="B125" s="579"/>
      <c r="C125" s="579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580"/>
      <c r="K125" s="587"/>
      <c r="L125" s="114" t="s">
        <v>325</v>
      </c>
      <c r="M125" s="580"/>
      <c r="N125" s="114"/>
    </row>
    <row r="126" spans="1:14" hidden="1">
      <c r="A126" s="55">
        <v>29</v>
      </c>
      <c r="B126" s="580"/>
      <c r="C126" s="580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>
      <c r="A127" s="55">
        <v>29</v>
      </c>
      <c r="B127" s="578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>
      <c r="A128" s="55">
        <v>29</v>
      </c>
      <c r="B128" s="579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>
      <c r="A129" s="55">
        <v>29</v>
      </c>
      <c r="B129" s="579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>
      <c r="A130" s="55">
        <v>29</v>
      </c>
      <c r="B130" s="579"/>
      <c r="C130" s="578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>
      <c r="A131" s="55">
        <v>29</v>
      </c>
      <c r="B131" s="579"/>
      <c r="C131" s="580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>
      <c r="A132" s="55">
        <v>29</v>
      </c>
      <c r="B132" s="579"/>
      <c r="C132" s="578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>
      <c r="A133" s="55">
        <v>29</v>
      </c>
      <c r="B133" s="579"/>
      <c r="C133" s="580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>
      <c r="A134" s="55">
        <v>29</v>
      </c>
      <c r="B134" s="580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>
      <c r="A135" s="55">
        <v>30</v>
      </c>
      <c r="B135" s="562" t="s">
        <v>619</v>
      </c>
      <c r="C135" s="56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>
      <c r="A136" s="55">
        <v>30</v>
      </c>
      <c r="B136" s="577"/>
      <c r="C136" s="588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577"/>
      <c r="C137" s="58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>
      <c r="A138" s="55">
        <v>30</v>
      </c>
      <c r="B138" s="563"/>
      <c r="C138" s="56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>
      <c r="A139" s="55">
        <v>30</v>
      </c>
      <c r="B139" s="56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>
      <c r="A140" s="55">
        <v>30</v>
      </c>
      <c r="B140" s="577"/>
      <c r="C140" s="56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577"/>
      <c r="C141" s="56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562" t="s">
        <v>736</v>
      </c>
    </row>
    <row r="142" spans="1:14" hidden="1">
      <c r="A142" s="55">
        <v>30</v>
      </c>
      <c r="B142" s="56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563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>
      <c r="A144" s="55">
        <v>31</v>
      </c>
      <c r="B144" s="56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>
      <c r="A145" s="55">
        <v>31</v>
      </c>
      <c r="B145" s="56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>
      <c r="A146" s="55">
        <v>32</v>
      </c>
      <c r="B146" s="562" t="s">
        <v>20</v>
      </c>
      <c r="C146" s="560" t="s">
        <v>870</v>
      </c>
      <c r="D146" s="581" t="s">
        <v>19</v>
      </c>
      <c r="E146" s="617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>
      <c r="A147" s="55">
        <v>32</v>
      </c>
      <c r="B147" s="563"/>
      <c r="C147" s="561"/>
      <c r="D147" s="582"/>
      <c r="E147" s="618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>
      <c r="A148" s="55">
        <v>33</v>
      </c>
      <c r="B148" s="562" t="s">
        <v>124</v>
      </c>
      <c r="C148" s="560" t="s">
        <v>783</v>
      </c>
      <c r="D148" s="581" t="s">
        <v>19</v>
      </c>
      <c r="E148" s="617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>
      <c r="A149" s="55">
        <v>33</v>
      </c>
      <c r="B149" s="563"/>
      <c r="C149" s="561"/>
      <c r="D149" s="582"/>
      <c r="E149" s="618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>
      <c r="A150" s="55">
        <v>33</v>
      </c>
      <c r="B150" s="56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>
      <c r="A151" s="55">
        <v>33</v>
      </c>
      <c r="B151" s="577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>
      <c r="A152" s="55">
        <v>33</v>
      </c>
      <c r="B152" s="56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>
      <c r="A153" s="55">
        <v>34</v>
      </c>
      <c r="B153" s="56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562" t="s">
        <v>248</v>
      </c>
    </row>
    <row r="154" spans="1:14" ht="27" hidden="1">
      <c r="A154" s="55">
        <v>34</v>
      </c>
      <c r="B154" s="577"/>
      <c r="C154" s="56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577"/>
    </row>
    <row r="155" spans="1:14" ht="27" hidden="1">
      <c r="A155" s="55">
        <v>34</v>
      </c>
      <c r="B155" s="577"/>
      <c r="C155" s="56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563"/>
    </row>
    <row r="156" spans="1:14" ht="27" hidden="1">
      <c r="A156" s="55">
        <v>34</v>
      </c>
      <c r="B156" s="577"/>
      <c r="C156" s="56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562" t="s">
        <v>826</v>
      </c>
    </row>
    <row r="157" spans="1:14" ht="27" hidden="1">
      <c r="A157" s="55">
        <v>34</v>
      </c>
      <c r="B157" s="577"/>
      <c r="C157" s="56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577"/>
    </row>
    <row r="158" spans="1:14" ht="27" hidden="1">
      <c r="A158" s="55">
        <v>34</v>
      </c>
      <c r="B158" s="577"/>
      <c r="C158" s="56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577"/>
    </row>
    <row r="159" spans="1:14" ht="27" hidden="1">
      <c r="A159" s="55">
        <v>34</v>
      </c>
      <c r="B159" s="577"/>
      <c r="C159" s="56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577"/>
    </row>
    <row r="160" spans="1:14" ht="27" hidden="1">
      <c r="A160" s="55">
        <v>34</v>
      </c>
      <c r="B160" s="577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577"/>
    </row>
    <row r="161" spans="1:15" ht="27" hidden="1">
      <c r="A161" s="55">
        <v>34</v>
      </c>
      <c r="B161" s="577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563"/>
    </row>
    <row r="162" spans="1:15" ht="27" hidden="1">
      <c r="A162" s="55">
        <v>34</v>
      </c>
      <c r="B162" s="56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>
      <c r="A163" s="55">
        <v>34</v>
      </c>
      <c r="B163" s="5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>
      <c r="A164" s="55">
        <v>34</v>
      </c>
      <c r="B164" s="577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577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>
      <c r="A166" s="55">
        <v>34</v>
      </c>
      <c r="B166" s="56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>
      <c r="A167" s="55">
        <v>35</v>
      </c>
      <c r="B167" s="541" t="s">
        <v>850</v>
      </c>
      <c r="C167" s="55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>
      <c r="A168" s="55">
        <v>35</v>
      </c>
      <c r="B168" s="542"/>
      <c r="C168" s="55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>
      <c r="A169" s="55">
        <v>35</v>
      </c>
      <c r="B169" s="542"/>
      <c r="C169" s="55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>
      <c r="A170" s="55">
        <v>35</v>
      </c>
      <c r="B170" s="543"/>
      <c r="C170" s="55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>
      <c r="A171" s="55">
        <v>35</v>
      </c>
      <c r="B171" s="54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>
      <c r="A172" s="55">
        <v>35</v>
      </c>
      <c r="B172" s="54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>
      <c r="A173" s="55">
        <v>35</v>
      </c>
      <c r="B173" s="54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>
      <c r="A174" s="55">
        <v>35</v>
      </c>
      <c r="B174" s="54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>
      <c r="A175" s="55">
        <v>35</v>
      </c>
      <c r="B175" s="54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>
      <c r="A176" s="55">
        <v>36</v>
      </c>
      <c r="B176" s="541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>
      <c r="A177" s="55">
        <v>36</v>
      </c>
      <c r="B177" s="542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>
      <c r="A178" s="55">
        <v>36</v>
      </c>
      <c r="B178" s="542"/>
      <c r="C178" s="55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>
      <c r="A179" s="55">
        <v>36</v>
      </c>
      <c r="B179" s="543"/>
      <c r="C179" s="55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>
      <c r="A180" s="55">
        <v>36</v>
      </c>
      <c r="B180" s="54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>
      <c r="A181" s="55">
        <v>36</v>
      </c>
      <c r="B181" s="542"/>
      <c r="C181" s="56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568" t="s">
        <v>839</v>
      </c>
      <c r="K181" s="581" t="s">
        <v>986</v>
      </c>
      <c r="L181" s="6" t="s">
        <v>911</v>
      </c>
      <c r="M181" s="614">
        <f>180000+200000+200000</f>
        <v>580000</v>
      </c>
      <c r="N181" s="45" t="s">
        <v>807</v>
      </c>
    </row>
    <row r="182" spans="1:14" hidden="1">
      <c r="A182" s="55">
        <v>36</v>
      </c>
      <c r="B182" s="542"/>
      <c r="C182" s="588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569"/>
      <c r="K182" s="582"/>
      <c r="L182" s="6" t="s">
        <v>912</v>
      </c>
      <c r="M182" s="615"/>
      <c r="N182" s="45" t="s">
        <v>807</v>
      </c>
    </row>
    <row r="183" spans="1:14" hidden="1">
      <c r="A183" s="55">
        <v>36</v>
      </c>
      <c r="B183" s="542"/>
      <c r="C183" s="56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>
      <c r="A184" s="55">
        <v>36</v>
      </c>
      <c r="B184" s="54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>
      <c r="A185" s="55">
        <v>37</v>
      </c>
      <c r="B185" s="541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>
      <c r="A186" s="55">
        <v>37</v>
      </c>
      <c r="B186" s="542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>
      <c r="A187" s="55">
        <v>37</v>
      </c>
      <c r="B187" s="542"/>
      <c r="C187" s="55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>
      <c r="A188" s="55">
        <v>37</v>
      </c>
      <c r="B188" s="543"/>
      <c r="C188" s="55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>
      <c r="A189" s="55">
        <v>37</v>
      </c>
      <c r="B189" s="54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>
      <c r="A190" s="55">
        <v>37</v>
      </c>
      <c r="B190" s="54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>
      <c r="A191" s="55">
        <v>37</v>
      </c>
      <c r="B191" s="54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>
      <c r="A192" s="55">
        <v>38</v>
      </c>
      <c r="B192" s="541" t="s">
        <v>940</v>
      </c>
      <c r="C192" s="55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>
      <c r="A193" s="55">
        <v>38</v>
      </c>
      <c r="B193" s="542"/>
      <c r="C193" s="5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>
      <c r="A194" s="55">
        <v>38</v>
      </c>
      <c r="B194" s="543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>
      <c r="A195" s="55">
        <v>38</v>
      </c>
      <c r="B195" s="54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>
      <c r="A196" s="55">
        <v>38</v>
      </c>
      <c r="B196" s="542"/>
      <c r="C196" s="56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>
      <c r="A197" s="55">
        <v>38</v>
      </c>
      <c r="B197" s="542"/>
      <c r="C197" s="56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>
      <c r="A198" s="55">
        <v>38</v>
      </c>
      <c r="B198" s="542"/>
      <c r="C198" s="56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>
      <c r="A199" s="55">
        <v>38</v>
      </c>
      <c r="B199" s="543"/>
      <c r="C199" s="56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>
      <c r="A200" s="55">
        <v>39</v>
      </c>
      <c r="B200" s="541" t="s">
        <v>20</v>
      </c>
      <c r="C200" s="55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>
      <c r="A201" s="55">
        <v>39</v>
      </c>
      <c r="B201" s="542"/>
      <c r="C201" s="5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>
      <c r="A202" s="55">
        <v>39</v>
      </c>
      <c r="B202" s="542"/>
      <c r="C202" s="55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>
      <c r="A203" s="55">
        <v>39</v>
      </c>
      <c r="B203" s="543"/>
      <c r="C203" s="55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>
      <c r="A204" s="55">
        <v>39</v>
      </c>
      <c r="B204" s="54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>
      <c r="A205" s="55">
        <v>39</v>
      </c>
      <c r="B205" s="54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4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>
      <c r="A207" s="55">
        <v>41</v>
      </c>
      <c r="B207" s="541" t="s">
        <v>20</v>
      </c>
      <c r="C207" s="55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>
      <c r="A208" s="55">
        <v>41</v>
      </c>
      <c r="B208" s="542"/>
      <c r="C208" s="5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>
      <c r="A209" s="55">
        <v>41</v>
      </c>
      <c r="B209" s="543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>
      <c r="A210" s="55">
        <v>41</v>
      </c>
      <c r="B210" s="54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>
      <c r="A211" s="55">
        <v>41</v>
      </c>
      <c r="B211" s="54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>
      <c r="A212" s="55">
        <v>42</v>
      </c>
      <c r="B212" s="541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>
      <c r="A213" s="55">
        <v>42</v>
      </c>
      <c r="B213" s="542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>
      <c r="A214" s="55">
        <v>42</v>
      </c>
      <c r="B214" s="543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>
      <c r="A215" s="55">
        <v>42</v>
      </c>
      <c r="B215" s="54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>
      <c r="A216" s="55">
        <v>42</v>
      </c>
      <c r="B216" s="54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>
      <c r="A217" s="55">
        <v>42</v>
      </c>
      <c r="B217" s="54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>
      <c r="A218" s="55">
        <v>43</v>
      </c>
      <c r="B218" s="541" t="s">
        <v>20</v>
      </c>
      <c r="C218" s="55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>
      <c r="A219" s="55">
        <v>43</v>
      </c>
      <c r="B219" s="542"/>
      <c r="C219" s="5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>
      <c r="A220" s="55">
        <v>43</v>
      </c>
      <c r="B220" s="543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>
      <c r="A221" s="55">
        <v>43</v>
      </c>
      <c r="B221" s="54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54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54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>
      <c r="A224" s="55">
        <v>44</v>
      </c>
      <c r="B224" s="541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>
      <c r="A225" s="55">
        <v>44</v>
      </c>
      <c r="B225" s="542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562" t="s">
        <v>248</v>
      </c>
    </row>
    <row r="226" spans="1:14" hidden="1">
      <c r="A226" s="55">
        <v>44</v>
      </c>
      <c r="B226" s="542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577"/>
    </row>
    <row r="227" spans="1:14" hidden="1">
      <c r="A227" s="55">
        <v>44</v>
      </c>
      <c r="B227" s="543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563"/>
    </row>
    <row r="228" spans="1:14" hidden="1">
      <c r="A228" s="55">
        <v>44</v>
      </c>
      <c r="B228" s="54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>
      <c r="A229" s="55">
        <v>44</v>
      </c>
      <c r="B229" s="54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41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>
      <c r="A231" s="55">
        <v>45</v>
      </c>
      <c r="B231" s="542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>
      <c r="A232" s="55">
        <v>45</v>
      </c>
      <c r="B232" s="542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>
      <c r="A233" s="55">
        <v>45</v>
      </c>
      <c r="B233" s="543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>
      <c r="A234" s="55">
        <v>45</v>
      </c>
      <c r="B234" s="54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>
      <c r="A235" s="55">
        <v>45</v>
      </c>
      <c r="B235" s="54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>
      <c r="A236" s="55">
        <v>46</v>
      </c>
      <c r="B236" s="541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>
      <c r="A237" s="55">
        <v>46</v>
      </c>
      <c r="B237" s="542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>
      <c r="A238" s="55">
        <v>46</v>
      </c>
      <c r="B238" s="543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>
      <c r="A240" s="55">
        <v>46</v>
      </c>
      <c r="B240" s="541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>
      <c r="A241" s="55">
        <v>46</v>
      </c>
      <c r="B241" s="542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>
      <c r="A242" s="55">
        <v>46</v>
      </c>
      <c r="B242" s="543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>
      <c r="A244" s="55">
        <v>47</v>
      </c>
      <c r="B244" s="541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>
      <c r="A245" s="55">
        <v>47</v>
      </c>
      <c r="B245" s="543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>
      <c r="A246" s="55">
        <v>47</v>
      </c>
      <c r="B246" s="541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>
      <c r="A247" s="55">
        <v>47</v>
      </c>
      <c r="B247" s="54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>
      <c r="A248" s="55">
        <v>48</v>
      </c>
      <c r="B248" s="541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42"/>
      <c r="C249" s="55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562" t="s">
        <v>248</v>
      </c>
    </row>
    <row r="250" spans="1:14" hidden="1">
      <c r="A250" s="55">
        <v>48</v>
      </c>
      <c r="B250" s="543"/>
      <c r="C250" s="5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563"/>
    </row>
    <row r="251" spans="1:14" hidden="1">
      <c r="A251" s="55">
        <v>48</v>
      </c>
      <c r="B251" s="541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>
      <c r="A252" s="55">
        <v>48</v>
      </c>
      <c r="B252" s="542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>
      <c r="A253" s="55">
        <v>48</v>
      </c>
      <c r="B253" s="542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>
      <c r="A254" s="55">
        <v>48</v>
      </c>
      <c r="B254" s="543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>
      <c r="A255" s="55">
        <v>49</v>
      </c>
      <c r="B255" s="541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42"/>
      <c r="C256" s="55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562" t="s">
        <v>248</v>
      </c>
    </row>
    <row r="257" spans="1:14" hidden="1">
      <c r="A257" s="55">
        <v>49</v>
      </c>
      <c r="B257" s="543"/>
      <c r="C257" s="5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563"/>
    </row>
    <row r="258" spans="1:14" ht="40.5" hidden="1">
      <c r="A258" s="55">
        <v>49</v>
      </c>
      <c r="B258" s="541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>
      <c r="A259" s="55">
        <v>49</v>
      </c>
      <c r="B259" s="543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>
      <c r="A260" s="55">
        <v>49</v>
      </c>
      <c r="B260" s="550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>
      <c r="A261" s="55">
        <v>49</v>
      </c>
      <c r="B261" s="551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48" t="s">
        <v>1104</v>
      </c>
    </row>
    <row r="262" spans="1:14" ht="25.5" hidden="1">
      <c r="A262" s="136">
        <v>49</v>
      </c>
      <c r="B262" s="552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49"/>
    </row>
    <row r="263" spans="1:14" ht="16.5" hidden="1" customHeight="1">
      <c r="A263" s="55">
        <v>50</v>
      </c>
      <c r="B263" s="541" t="s">
        <v>20</v>
      </c>
      <c r="C263" s="55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>
      <c r="A264" s="55">
        <v>50</v>
      </c>
      <c r="B264" s="542"/>
      <c r="C264" s="55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>
      <c r="A265" s="55">
        <v>50</v>
      </c>
      <c r="B265" s="542"/>
      <c r="C265" s="55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>
      <c r="A266" s="55">
        <v>50</v>
      </c>
      <c r="B266" s="542"/>
      <c r="C266" s="55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>
      <c r="A267" s="55">
        <v>50</v>
      </c>
      <c r="B267" s="543"/>
      <c r="C267" s="5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>
      <c r="A268" s="55">
        <v>51</v>
      </c>
      <c r="B268" s="550" t="s">
        <v>659</v>
      </c>
      <c r="C268" s="548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>
      <c r="A269" s="55">
        <v>51</v>
      </c>
      <c r="B269" s="551"/>
      <c r="C269" s="613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>
      <c r="A270" s="55">
        <v>51</v>
      </c>
      <c r="B270" s="552"/>
      <c r="C270" s="549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>
      <c r="A271" s="55">
        <v>52</v>
      </c>
      <c r="B271" s="541" t="s">
        <v>20</v>
      </c>
      <c r="C271" s="55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>
      <c r="A272" s="55">
        <v>52</v>
      </c>
      <c r="B272" s="542"/>
      <c r="C272" s="5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>
      <c r="A273" s="55">
        <v>52</v>
      </c>
      <c r="B273" s="542"/>
      <c r="C273" s="5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>
      <c r="A274" s="55">
        <v>52</v>
      </c>
      <c r="B274" s="542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>
      <c r="A275" s="55">
        <v>52</v>
      </c>
      <c r="B275" s="542"/>
      <c r="C275" s="55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>
      <c r="A276" s="55">
        <v>52</v>
      </c>
      <c r="B276" s="542"/>
      <c r="C276" s="55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>
      <c r="A277" s="55">
        <v>52</v>
      </c>
      <c r="B277" s="543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>
      <c r="A278" s="572" t="s">
        <v>1198</v>
      </c>
      <c r="B278" s="573"/>
      <c r="C278" s="573"/>
      <c r="D278" s="573"/>
      <c r="E278" s="573"/>
      <c r="F278" s="573"/>
      <c r="G278" s="573"/>
      <c r="H278" s="573"/>
      <c r="I278" s="573"/>
      <c r="J278" s="573"/>
      <c r="K278" s="573"/>
      <c r="L278" s="573"/>
      <c r="M278" s="573"/>
      <c r="N278" s="574"/>
    </row>
    <row r="279" spans="1:15" ht="16.5" hidden="1" customHeight="1">
      <c r="A279" s="55">
        <v>1</v>
      </c>
      <c r="B279" s="541" t="s">
        <v>20</v>
      </c>
      <c r="C279" s="557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>
      <c r="A280" s="55">
        <v>1</v>
      </c>
      <c r="B280" s="543"/>
      <c r="C280" s="5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>
      <c r="A281" s="55">
        <v>1</v>
      </c>
      <c r="B281" s="541" t="s">
        <v>64</v>
      </c>
      <c r="C281" s="557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>
      <c r="A282" s="55">
        <v>1</v>
      </c>
      <c r="B282" s="542"/>
      <c r="C282" s="559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>
      <c r="A283" s="55">
        <v>1</v>
      </c>
      <c r="B283" s="542"/>
      <c r="C283" s="55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568" t="s">
        <v>1176</v>
      </c>
      <c r="K283" s="570" t="s">
        <v>1190</v>
      </c>
      <c r="L283" s="6" t="s">
        <v>1178</v>
      </c>
      <c r="M283" s="99">
        <v>500000</v>
      </c>
      <c r="N283" s="45" t="s">
        <v>1193</v>
      </c>
    </row>
    <row r="284" spans="1:15" hidden="1">
      <c r="A284" s="55">
        <v>1</v>
      </c>
      <c r="B284" s="542"/>
      <c r="C284" s="55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569"/>
      <c r="K284" s="571"/>
      <c r="L284" s="6" t="s">
        <v>1177</v>
      </c>
      <c r="M284" s="99">
        <v>500000</v>
      </c>
      <c r="N284" s="45" t="s">
        <v>1193</v>
      </c>
    </row>
    <row r="285" spans="1:15" hidden="1">
      <c r="A285" s="55">
        <v>1</v>
      </c>
      <c r="B285" s="542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>
      <c r="A286" s="55">
        <v>1</v>
      </c>
      <c r="B286" s="543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>
      <c r="A287" s="55">
        <v>2</v>
      </c>
      <c r="B287" s="575" t="s">
        <v>124</v>
      </c>
      <c r="C287" s="548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>
      <c r="A288" s="55">
        <v>2</v>
      </c>
      <c r="B288" s="576"/>
      <c r="C288" s="549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>
      <c r="A289" s="55">
        <v>2</v>
      </c>
      <c r="B289" s="550" t="s">
        <v>64</v>
      </c>
      <c r="C289" s="548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>
      <c r="A290" s="55">
        <v>2</v>
      </c>
      <c r="B290" s="551"/>
      <c r="C290" s="566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>
      <c r="A291" s="55">
        <v>2</v>
      </c>
      <c r="B291" s="551"/>
      <c r="C291" s="567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48" t="s">
        <v>639</v>
      </c>
      <c r="K291" s="564" t="s">
        <v>672</v>
      </c>
      <c r="L291" s="152" t="s">
        <v>310</v>
      </c>
      <c r="M291" s="548" t="s">
        <v>673</v>
      </c>
      <c r="N291" s="152" t="s">
        <v>724</v>
      </c>
    </row>
    <row r="292" spans="1:15" hidden="1">
      <c r="A292" s="55">
        <v>2</v>
      </c>
      <c r="B292" s="551"/>
      <c r="C292" s="566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49"/>
      <c r="K292" s="565"/>
      <c r="L292" s="152" t="s">
        <v>310</v>
      </c>
      <c r="M292" s="549"/>
      <c r="N292" s="152" t="s">
        <v>724</v>
      </c>
    </row>
    <row r="293" spans="1:15" hidden="1">
      <c r="A293" s="55">
        <v>2</v>
      </c>
      <c r="B293" s="551"/>
      <c r="C293" s="567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>
      <c r="A294" s="55">
        <v>2</v>
      </c>
      <c r="B294" s="551"/>
      <c r="C294" s="549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>
      <c r="A295" s="55">
        <v>2</v>
      </c>
      <c r="B295" s="552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>
      <c r="A296" s="55">
        <v>3</v>
      </c>
      <c r="B296" s="541" t="s">
        <v>20</v>
      </c>
      <c r="C296" s="557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>
      <c r="A297" s="55">
        <v>3</v>
      </c>
      <c r="B297" s="542"/>
      <c r="C297" s="558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>
      <c r="A298" s="55">
        <v>3</v>
      </c>
      <c r="B298" s="543"/>
      <c r="C298" s="559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>
      <c r="A299" s="55">
        <v>3</v>
      </c>
      <c r="B299" s="541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>
      <c r="A300" s="55">
        <v>3</v>
      </c>
      <c r="B300" s="542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>
      <c r="A301" s="55">
        <v>3</v>
      </c>
      <c r="B301" s="543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>
      <c r="A302" s="55">
        <v>4</v>
      </c>
      <c r="B302" s="541" t="s">
        <v>20</v>
      </c>
      <c r="C302" s="557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>
      <c r="A303" s="55">
        <v>4</v>
      </c>
      <c r="B303" s="542"/>
      <c r="C303" s="558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>
      <c r="A304" s="55">
        <v>4</v>
      </c>
      <c r="B304" s="542"/>
      <c r="C304" s="558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>
      <c r="A305" s="55">
        <v>4</v>
      </c>
      <c r="B305" s="542"/>
      <c r="C305" s="55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>
      <c r="A306" s="55">
        <v>4</v>
      </c>
      <c r="B306" s="543"/>
      <c r="C306" s="559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>
      <c r="A308" s="55">
        <v>5</v>
      </c>
      <c r="B308" s="541" t="s">
        <v>20</v>
      </c>
      <c r="C308" s="557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>
      <c r="A309" s="55">
        <v>5</v>
      </c>
      <c r="B309" s="543"/>
      <c r="C309" s="55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>
      <c r="A310" s="55">
        <v>5</v>
      </c>
      <c r="B310" s="54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>
      <c r="A311" s="55">
        <v>5</v>
      </c>
      <c r="B311" s="54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>
      <c r="A312" s="55">
        <v>5</v>
      </c>
      <c r="B312" s="54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>
      <c r="A313" s="55">
        <v>6</v>
      </c>
      <c r="B313" s="550" t="s">
        <v>308</v>
      </c>
      <c r="C313" s="548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>
      <c r="A314" s="55">
        <v>6</v>
      </c>
      <c r="B314" s="552"/>
      <c r="C314" s="549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>
      <c r="A316" s="55">
        <v>7</v>
      </c>
      <c r="B316" s="541" t="s">
        <v>20</v>
      </c>
      <c r="C316" s="557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>
      <c r="A317" s="55">
        <v>7</v>
      </c>
      <c r="B317" s="542"/>
      <c r="C317" s="558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>
      <c r="A318" s="55">
        <v>7</v>
      </c>
      <c r="B318" s="543"/>
      <c r="C318" s="559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>
      <c r="A319" s="55">
        <v>7</v>
      </c>
      <c r="B319" s="54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>
      <c r="A320" s="55">
        <v>7</v>
      </c>
      <c r="B320" s="54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>
      <c r="A321" s="55">
        <v>7</v>
      </c>
      <c r="B321" s="543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>
      <c r="A322" s="55">
        <v>8</v>
      </c>
      <c r="B322" s="541" t="s">
        <v>20</v>
      </c>
      <c r="C322" s="557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>
      <c r="A323" s="55">
        <v>8</v>
      </c>
      <c r="B323" s="543"/>
      <c r="C323" s="559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>
      <c r="A324" s="55">
        <v>8</v>
      </c>
      <c r="B324" s="54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>
      <c r="A325" s="55">
        <v>8</v>
      </c>
      <c r="B325" s="54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>
      <c r="A326" s="55">
        <v>8</v>
      </c>
      <c r="B326" s="542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>
      <c r="A327" s="55">
        <v>8</v>
      </c>
      <c r="B327" s="542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>
      <c r="A328" s="55">
        <v>8</v>
      </c>
      <c r="B328" s="543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>
      <c r="A329" s="55">
        <v>9</v>
      </c>
      <c r="B329" s="541" t="s">
        <v>20</v>
      </c>
      <c r="C329" s="557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>
      <c r="A330" s="55">
        <v>9</v>
      </c>
      <c r="B330" s="542"/>
      <c r="C330" s="558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>
      <c r="A331" s="55">
        <v>9</v>
      </c>
      <c r="B331" s="543"/>
      <c r="C331" s="5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>
      <c r="A332" s="55">
        <v>9</v>
      </c>
      <c r="B332" s="541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>
      <c r="A333" s="55">
        <v>9</v>
      </c>
      <c r="B333" s="543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>
      <c r="A334" s="55">
        <v>10</v>
      </c>
      <c r="B334" s="541" t="s">
        <v>20</v>
      </c>
      <c r="C334" s="557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>
      <c r="A335" s="55">
        <v>10</v>
      </c>
      <c r="B335" s="542"/>
      <c r="C335" s="558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>
      <c r="A336" s="55">
        <v>10</v>
      </c>
      <c r="B336" s="542"/>
      <c r="C336" s="558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>
      <c r="A337" s="55">
        <v>10</v>
      </c>
      <c r="B337" s="543"/>
      <c r="C337" s="5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>
      <c r="A338" s="55">
        <v>10</v>
      </c>
      <c r="B338" s="541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>
      <c r="A339" s="55">
        <v>10</v>
      </c>
      <c r="B339" s="542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>
      <c r="A340" s="55">
        <v>10</v>
      </c>
      <c r="B340" s="542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>
      <c r="A341" s="55">
        <v>10</v>
      </c>
      <c r="B341" s="543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>
      <c r="A342" s="55">
        <v>11</v>
      </c>
      <c r="B342" s="541" t="s">
        <v>20</v>
      </c>
      <c r="C342" s="557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>
      <c r="A343" s="55">
        <v>11</v>
      </c>
      <c r="B343" s="542"/>
      <c r="C343" s="559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>
      <c r="A344" s="55">
        <v>11</v>
      </c>
      <c r="B344" s="54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>
      <c r="A345" s="55">
        <v>11</v>
      </c>
      <c r="B345" s="54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>
      <c r="A346" s="55">
        <v>11</v>
      </c>
      <c r="B346" s="54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>
      <c r="A347" s="55">
        <v>11</v>
      </c>
      <c r="B347" s="54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>
      <c r="A348" s="55">
        <v>11</v>
      </c>
      <c r="B348" s="54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>
      <c r="A349" s="55">
        <v>11</v>
      </c>
      <c r="B349" s="542"/>
      <c r="C349" s="56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>
      <c r="A350" s="55">
        <v>11</v>
      </c>
      <c r="B350" s="543"/>
      <c r="C350" s="56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>
      <c r="A351" s="55">
        <v>12</v>
      </c>
      <c r="B351" s="550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>
      <c r="A352" s="55">
        <v>12</v>
      </c>
      <c r="B352" s="551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>
      <c r="A353" s="55">
        <v>12</v>
      </c>
      <c r="B353" s="551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>
      <c r="A354" s="55">
        <v>12</v>
      </c>
      <c r="B354" s="551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>
      <c r="A355" s="55">
        <v>12</v>
      </c>
      <c r="B355" s="552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>
      <c r="A356" s="55">
        <v>12</v>
      </c>
      <c r="B356" s="550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>
      <c r="A357" s="55">
        <v>12</v>
      </c>
      <c r="B357" s="551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>
      <c r="A358" s="55">
        <v>12</v>
      </c>
      <c r="B358" s="551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>
      <c r="A359" s="55">
        <v>12</v>
      </c>
      <c r="B359" s="552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>
      <c r="A360" s="55">
        <v>13</v>
      </c>
      <c r="B360" s="541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>
      <c r="A361" s="55">
        <v>13</v>
      </c>
      <c r="B361" s="542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>
      <c r="A362" s="55">
        <v>13</v>
      </c>
      <c r="B362" s="543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>
      <c r="A363" s="55">
        <v>13</v>
      </c>
      <c r="B363" s="54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>
      <c r="A364" s="55">
        <v>13</v>
      </c>
      <c r="B364" s="54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>
      <c r="A365" s="55">
        <v>13</v>
      </c>
      <c r="B365" s="542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>
      <c r="A366" s="55">
        <v>13</v>
      </c>
      <c r="B366" s="54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>
      <c r="A367" s="55">
        <v>13</v>
      </c>
      <c r="B367" s="54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>
      <c r="A368" s="55">
        <v>13</v>
      </c>
      <c r="B368" s="54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>
      <c r="A369" s="55">
        <v>14</v>
      </c>
      <c r="B369" s="541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>
      <c r="A370" s="55">
        <v>14</v>
      </c>
      <c r="B370" s="542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>
      <c r="A371" s="55">
        <v>14</v>
      </c>
      <c r="B371" s="542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>
      <c r="A372" s="55">
        <v>14</v>
      </c>
      <c r="B372" s="543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>
      <c r="A373" s="55">
        <v>14</v>
      </c>
      <c r="B373" s="54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>
      <c r="A374" s="55">
        <v>14</v>
      </c>
      <c r="B374" s="54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>
      <c r="A375" s="209" t="s">
        <v>1542</v>
      </c>
      <c r="B375" s="550" t="s">
        <v>308</v>
      </c>
      <c r="C375" s="132" t="s">
        <v>1534</v>
      </c>
      <c r="D375" s="548" t="s">
        <v>307</v>
      </c>
      <c r="E375" s="548" t="s">
        <v>323</v>
      </c>
      <c r="F375" s="548" t="s">
        <v>308</v>
      </c>
      <c r="G375" s="553">
        <v>4266</v>
      </c>
      <c r="H375" s="548" t="s">
        <v>641</v>
      </c>
      <c r="I375" s="553" t="s">
        <v>1536</v>
      </c>
      <c r="J375" s="548" t="s">
        <v>1537</v>
      </c>
      <c r="K375" s="555" t="s">
        <v>693</v>
      </c>
      <c r="L375" s="548" t="s">
        <v>325</v>
      </c>
      <c r="M375" s="548" t="s">
        <v>1538</v>
      </c>
      <c r="N375" s="548" t="s">
        <v>426</v>
      </c>
    </row>
    <row r="376" spans="1:19" hidden="1">
      <c r="A376" s="209" t="s">
        <v>1542</v>
      </c>
      <c r="B376" s="551"/>
      <c r="C376" s="133" t="s">
        <v>1535</v>
      </c>
      <c r="D376" s="549"/>
      <c r="E376" s="549"/>
      <c r="F376" s="549"/>
      <c r="G376" s="554"/>
      <c r="H376" s="549"/>
      <c r="I376" s="554"/>
      <c r="J376" s="549"/>
      <c r="K376" s="556"/>
      <c r="L376" s="549"/>
      <c r="M376" s="549"/>
      <c r="N376" s="549"/>
    </row>
    <row r="377" spans="1:19" hidden="1">
      <c r="A377" s="209" t="s">
        <v>1542</v>
      </c>
      <c r="B377" s="551"/>
      <c r="C377" s="132" t="s">
        <v>1539</v>
      </c>
      <c r="D377" s="548" t="s">
        <v>307</v>
      </c>
      <c r="E377" s="548" t="s">
        <v>323</v>
      </c>
      <c r="F377" s="548" t="s">
        <v>308</v>
      </c>
      <c r="G377" s="553">
        <v>3306</v>
      </c>
      <c r="H377" s="548" t="s">
        <v>1155</v>
      </c>
      <c r="I377" s="553" t="s">
        <v>1541</v>
      </c>
      <c r="J377" s="548" t="s">
        <v>1537</v>
      </c>
      <c r="K377" s="555" t="s">
        <v>693</v>
      </c>
      <c r="L377" s="548" t="s">
        <v>325</v>
      </c>
      <c r="M377" s="548" t="s">
        <v>1538</v>
      </c>
      <c r="N377" s="548" t="s">
        <v>426</v>
      </c>
    </row>
    <row r="378" spans="1:19" hidden="1">
      <c r="A378" s="209" t="s">
        <v>1542</v>
      </c>
      <c r="B378" s="552"/>
      <c r="C378" s="133" t="s">
        <v>1540</v>
      </c>
      <c r="D378" s="549"/>
      <c r="E378" s="549"/>
      <c r="F378" s="549"/>
      <c r="G378" s="554"/>
      <c r="H378" s="549"/>
      <c r="I378" s="554"/>
      <c r="J378" s="549"/>
      <c r="K378" s="556"/>
      <c r="L378" s="549"/>
      <c r="M378" s="549"/>
      <c r="N378" s="549"/>
    </row>
    <row r="379" spans="1:19" ht="27" hidden="1" customHeight="1">
      <c r="A379" s="127">
        <v>15</v>
      </c>
      <c r="B379" s="541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>
      <c r="A380" s="127">
        <v>15</v>
      </c>
      <c r="B380" s="542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>
      <c r="A381" s="127">
        <v>15</v>
      </c>
      <c r="B381" s="542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>
      <c r="A382" s="127">
        <v>15</v>
      </c>
      <c r="B382" s="543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>
      <c r="A383" s="127">
        <v>15</v>
      </c>
      <c r="B383" s="54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>
      <c r="A384" s="127">
        <v>15</v>
      </c>
      <c r="B384" s="543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27">
        <v>16</v>
      </c>
      <c r="B385" s="541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>
      <c r="A386" s="127">
        <v>16</v>
      </c>
      <c r="B386" s="542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>
      <c r="A387" s="127">
        <v>16</v>
      </c>
      <c r="B387" s="542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>
      <c r="A388" s="127">
        <v>16</v>
      </c>
      <c r="B388" s="543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>
      <c r="A389" s="127">
        <v>16</v>
      </c>
      <c r="B389" s="54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>
      <c r="A390" s="127">
        <v>16</v>
      </c>
      <c r="B390" s="54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>
      <c r="A391" s="127">
        <v>16</v>
      </c>
      <c r="B391" s="542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>
      <c r="A392" s="127">
        <v>16</v>
      </c>
      <c r="B392" s="543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>
      <c r="A393" s="127">
        <v>17</v>
      </c>
      <c r="B393" s="541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>
      <c r="A394" s="127">
        <v>17</v>
      </c>
      <c r="B394" s="542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>
      <c r="A395" s="127">
        <v>17</v>
      </c>
      <c r="B395" s="543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>
      <c r="A396" s="127">
        <v>17</v>
      </c>
      <c r="B396" s="54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>
      <c r="A397" s="127">
        <v>17</v>
      </c>
      <c r="B397" s="542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>
      <c r="A398" s="127">
        <v>17</v>
      </c>
      <c r="B398" s="542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>
      <c r="A399" s="127">
        <v>17</v>
      </c>
      <c r="B399" s="542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>
      <c r="A400" s="127">
        <v>17</v>
      </c>
      <c r="B400" s="542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>
      <c r="A401" s="127">
        <v>17</v>
      </c>
      <c r="B401" s="542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>
      <c r="A402" s="127">
        <v>17</v>
      </c>
      <c r="B402" s="543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>
      <c r="A403" s="127">
        <v>18</v>
      </c>
      <c r="B403" s="532" t="s">
        <v>1789</v>
      </c>
      <c r="C403" s="238" t="s">
        <v>1755</v>
      </c>
      <c r="D403" s="544" t="s">
        <v>307</v>
      </c>
      <c r="E403" s="544" t="s">
        <v>323</v>
      </c>
      <c r="F403" s="544" t="s">
        <v>308</v>
      </c>
      <c r="G403" s="546">
        <v>3306</v>
      </c>
      <c r="H403" s="544" t="s">
        <v>1155</v>
      </c>
      <c r="I403" s="546" t="s">
        <v>1756</v>
      </c>
      <c r="J403" s="544" t="s">
        <v>665</v>
      </c>
      <c r="K403" s="622" t="s">
        <v>1290</v>
      </c>
      <c r="L403" s="544" t="s">
        <v>325</v>
      </c>
      <c r="M403" s="544" t="s">
        <v>1757</v>
      </c>
      <c r="N403" s="544" t="s">
        <v>666</v>
      </c>
    </row>
    <row r="404" spans="1:14" hidden="1">
      <c r="A404" s="127">
        <v>18</v>
      </c>
      <c r="B404" s="533"/>
      <c r="C404" s="238" t="s">
        <v>1758</v>
      </c>
      <c r="D404" s="545"/>
      <c r="E404" s="545"/>
      <c r="F404" s="545"/>
      <c r="G404" s="547"/>
      <c r="H404" s="545"/>
      <c r="I404" s="547"/>
      <c r="J404" s="545"/>
      <c r="K404" s="623"/>
      <c r="L404" s="545"/>
      <c r="M404" s="545"/>
      <c r="N404" s="545"/>
    </row>
    <row r="405" spans="1:14" ht="22.5" hidden="1">
      <c r="A405" s="127">
        <v>18</v>
      </c>
      <c r="B405" s="533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>
      <c r="A406" s="127">
        <v>18</v>
      </c>
      <c r="B406" s="533"/>
      <c r="C406" s="238" t="s">
        <v>1762</v>
      </c>
      <c r="D406" s="544" t="s">
        <v>307</v>
      </c>
      <c r="E406" s="544" t="s">
        <v>323</v>
      </c>
      <c r="F406" s="544" t="s">
        <v>308</v>
      </c>
      <c r="G406" s="546" t="s">
        <v>1763</v>
      </c>
      <c r="H406" s="544" t="s">
        <v>348</v>
      </c>
      <c r="I406" s="546" t="s">
        <v>1156</v>
      </c>
      <c r="J406" s="544" t="s">
        <v>665</v>
      </c>
      <c r="K406" s="544" t="s">
        <v>1764</v>
      </c>
      <c r="L406" s="544" t="s">
        <v>325</v>
      </c>
      <c r="M406" s="544" t="s">
        <v>1765</v>
      </c>
      <c r="N406" s="544" t="s">
        <v>666</v>
      </c>
    </row>
    <row r="407" spans="1:14" hidden="1">
      <c r="A407" s="127">
        <v>18</v>
      </c>
      <c r="B407" s="533"/>
      <c r="C407" s="238" t="s">
        <v>1766</v>
      </c>
      <c r="D407" s="545"/>
      <c r="E407" s="545"/>
      <c r="F407" s="545"/>
      <c r="G407" s="547"/>
      <c r="H407" s="545"/>
      <c r="I407" s="547"/>
      <c r="J407" s="545"/>
      <c r="K407" s="545"/>
      <c r="L407" s="545"/>
      <c r="M407" s="545"/>
      <c r="N407" s="545"/>
    </row>
    <row r="408" spans="1:14" ht="16.5" hidden="1" customHeight="1">
      <c r="A408" s="127">
        <v>18</v>
      </c>
      <c r="B408" s="533"/>
      <c r="C408" s="240" t="s">
        <v>1767</v>
      </c>
      <c r="D408" s="544" t="s">
        <v>307</v>
      </c>
      <c r="E408" s="544" t="s">
        <v>323</v>
      </c>
      <c r="F408" s="544" t="s">
        <v>308</v>
      </c>
      <c r="G408" s="546" t="s">
        <v>1768</v>
      </c>
      <c r="H408" s="544" t="s">
        <v>330</v>
      </c>
      <c r="I408" s="546" t="s">
        <v>1769</v>
      </c>
      <c r="J408" s="544" t="s">
        <v>665</v>
      </c>
      <c r="K408" s="544" t="s">
        <v>1770</v>
      </c>
      <c r="L408" s="544" t="s">
        <v>325</v>
      </c>
      <c r="M408" s="544" t="s">
        <v>1771</v>
      </c>
      <c r="N408" s="544" t="s">
        <v>1772</v>
      </c>
    </row>
    <row r="409" spans="1:14" hidden="1">
      <c r="A409" s="127">
        <v>18</v>
      </c>
      <c r="B409" s="534"/>
      <c r="C409" s="238" t="s">
        <v>1773</v>
      </c>
      <c r="D409" s="545"/>
      <c r="E409" s="545"/>
      <c r="F409" s="545"/>
      <c r="G409" s="547"/>
      <c r="H409" s="545"/>
      <c r="I409" s="547"/>
      <c r="J409" s="545"/>
      <c r="K409" s="545"/>
      <c r="L409" s="545"/>
      <c r="M409" s="545"/>
      <c r="N409" s="545"/>
    </row>
    <row r="410" spans="1:14" ht="16.5" hidden="1" customHeight="1">
      <c r="A410" s="127">
        <v>18</v>
      </c>
      <c r="B410" s="532" t="s">
        <v>254</v>
      </c>
      <c r="C410" s="624" t="s">
        <v>1774</v>
      </c>
      <c r="D410" s="544" t="s">
        <v>312</v>
      </c>
      <c r="E410" s="544" t="s">
        <v>321</v>
      </c>
      <c r="F410" s="544" t="s">
        <v>710</v>
      </c>
      <c r="G410" s="544" t="s">
        <v>1775</v>
      </c>
      <c r="H410" s="624" t="s">
        <v>1776</v>
      </c>
      <c r="I410" s="239" t="s">
        <v>1777</v>
      </c>
      <c r="J410" s="544"/>
      <c r="K410" s="626" t="s">
        <v>1778</v>
      </c>
      <c r="L410" s="544" t="s">
        <v>310</v>
      </c>
      <c r="M410" s="544" t="s">
        <v>1771</v>
      </c>
      <c r="N410" s="544" t="s">
        <v>1779</v>
      </c>
    </row>
    <row r="411" spans="1:14" hidden="1">
      <c r="A411" s="127">
        <v>18</v>
      </c>
      <c r="B411" s="533"/>
      <c r="C411" s="625"/>
      <c r="D411" s="545"/>
      <c r="E411" s="545"/>
      <c r="F411" s="545"/>
      <c r="G411" s="545"/>
      <c r="H411" s="625"/>
      <c r="I411" s="239" t="s">
        <v>1780</v>
      </c>
      <c r="J411" s="545"/>
      <c r="K411" s="627"/>
      <c r="L411" s="545"/>
      <c r="M411" s="545"/>
      <c r="N411" s="545"/>
    </row>
    <row r="412" spans="1:14" ht="22.5" hidden="1">
      <c r="A412" s="127">
        <v>18</v>
      </c>
      <c r="B412" s="533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>
      <c r="A413" s="127">
        <v>18</v>
      </c>
      <c r="B413" s="533"/>
      <c r="C413" s="624" t="s">
        <v>1783</v>
      </c>
      <c r="D413" s="624" t="s">
        <v>701</v>
      </c>
      <c r="E413" s="544" t="s">
        <v>676</v>
      </c>
      <c r="F413" s="624" t="s">
        <v>1784</v>
      </c>
      <c r="G413" s="624" t="s">
        <v>1785</v>
      </c>
      <c r="H413" s="624" t="s">
        <v>663</v>
      </c>
      <c r="I413" s="239" t="s">
        <v>1786</v>
      </c>
      <c r="J413" s="544" t="s">
        <v>639</v>
      </c>
      <c r="K413" s="544" t="s">
        <v>732</v>
      </c>
      <c r="L413" s="544" t="s">
        <v>310</v>
      </c>
      <c r="M413" s="544" t="s">
        <v>1787</v>
      </c>
      <c r="N413" s="544" t="s">
        <v>1788</v>
      </c>
    </row>
    <row r="414" spans="1:14" hidden="1">
      <c r="A414" s="127">
        <v>18</v>
      </c>
      <c r="B414" s="534"/>
      <c r="C414" s="625"/>
      <c r="D414" s="625"/>
      <c r="E414" s="545"/>
      <c r="F414" s="625"/>
      <c r="G414" s="625"/>
      <c r="H414" s="625"/>
      <c r="I414" s="26"/>
      <c r="J414" s="545"/>
      <c r="K414" s="545"/>
      <c r="L414" s="545"/>
      <c r="M414" s="545"/>
      <c r="N414" s="545"/>
    </row>
    <row r="415" spans="1:14" ht="16.5" hidden="1" customHeight="1">
      <c r="A415" s="127">
        <v>19</v>
      </c>
      <c r="B415" s="532" t="s">
        <v>20</v>
      </c>
      <c r="C415" s="152" t="s">
        <v>1801</v>
      </c>
      <c r="D415" s="548" t="s">
        <v>307</v>
      </c>
      <c r="E415" s="548" t="s">
        <v>323</v>
      </c>
      <c r="F415" s="548" t="s">
        <v>308</v>
      </c>
      <c r="G415" s="553" t="s">
        <v>1803</v>
      </c>
      <c r="H415" s="548" t="s">
        <v>1804</v>
      </c>
      <c r="I415" s="553" t="s">
        <v>1799</v>
      </c>
      <c r="J415" s="548" t="s">
        <v>665</v>
      </c>
      <c r="K415" s="152" t="s">
        <v>1523</v>
      </c>
      <c r="L415" s="548" t="s">
        <v>325</v>
      </c>
      <c r="M415" s="548" t="s">
        <v>1806</v>
      </c>
      <c r="N415" s="548" t="s">
        <v>666</v>
      </c>
    </row>
    <row r="416" spans="1:14" hidden="1">
      <c r="A416" s="127">
        <v>19</v>
      </c>
      <c r="B416" s="533"/>
      <c r="C416" s="152" t="s">
        <v>1802</v>
      </c>
      <c r="D416" s="549"/>
      <c r="E416" s="549"/>
      <c r="F416" s="549"/>
      <c r="G416" s="554"/>
      <c r="H416" s="549"/>
      <c r="I416" s="554"/>
      <c r="J416" s="549"/>
      <c r="K416" s="152" t="s">
        <v>1805</v>
      </c>
      <c r="L416" s="549"/>
      <c r="M416" s="549"/>
      <c r="N416" s="549"/>
    </row>
    <row r="417" spans="1:14" hidden="1">
      <c r="A417" s="127">
        <v>19</v>
      </c>
      <c r="B417" s="533"/>
      <c r="C417" s="152" t="s">
        <v>1807</v>
      </c>
      <c r="D417" s="548" t="s">
        <v>307</v>
      </c>
      <c r="E417" s="548" t="s">
        <v>323</v>
      </c>
      <c r="F417" s="548" t="s">
        <v>308</v>
      </c>
      <c r="G417" s="553" t="s">
        <v>1808</v>
      </c>
      <c r="H417" s="548" t="s">
        <v>1809</v>
      </c>
      <c r="I417" s="553" t="s">
        <v>1810</v>
      </c>
      <c r="J417" s="548" t="s">
        <v>665</v>
      </c>
      <c r="K417" s="564" t="s">
        <v>1157</v>
      </c>
      <c r="L417" s="548" t="s">
        <v>325</v>
      </c>
      <c r="M417" s="548" t="s">
        <v>1811</v>
      </c>
      <c r="N417" s="548" t="s">
        <v>666</v>
      </c>
    </row>
    <row r="418" spans="1:14" hidden="1">
      <c r="A418" s="127">
        <v>19</v>
      </c>
      <c r="B418" s="534"/>
      <c r="C418" s="152" t="s">
        <v>1802</v>
      </c>
      <c r="D418" s="549"/>
      <c r="E418" s="549"/>
      <c r="F418" s="549"/>
      <c r="G418" s="554"/>
      <c r="H418" s="549"/>
      <c r="I418" s="554"/>
      <c r="J418" s="549"/>
      <c r="K418" s="565"/>
      <c r="L418" s="549"/>
      <c r="M418" s="549"/>
      <c r="N418" s="549"/>
    </row>
    <row r="419" spans="1:14" ht="16.5" hidden="1" customHeight="1">
      <c r="A419" s="127">
        <v>19</v>
      </c>
      <c r="B419" s="532" t="s">
        <v>21</v>
      </c>
      <c r="C419" s="578" t="s">
        <v>1812</v>
      </c>
      <c r="D419" s="578" t="s">
        <v>701</v>
      </c>
      <c r="E419" s="548" t="s">
        <v>676</v>
      </c>
      <c r="F419" s="578" t="s">
        <v>1813</v>
      </c>
      <c r="G419" s="578" t="s">
        <v>1814</v>
      </c>
      <c r="H419" s="578" t="s">
        <v>663</v>
      </c>
      <c r="I419" s="553" t="s">
        <v>1815</v>
      </c>
      <c r="J419" s="548"/>
      <c r="K419" s="628" t="s">
        <v>1816</v>
      </c>
      <c r="L419" s="548" t="s">
        <v>310</v>
      </c>
      <c r="M419" s="548" t="s">
        <v>1817</v>
      </c>
      <c r="N419" s="153" t="s">
        <v>1818</v>
      </c>
    </row>
    <row r="420" spans="1:14" hidden="1">
      <c r="A420" s="127">
        <v>19</v>
      </c>
      <c r="B420" s="533"/>
      <c r="C420" s="580"/>
      <c r="D420" s="580"/>
      <c r="E420" s="549"/>
      <c r="F420" s="580"/>
      <c r="G420" s="580"/>
      <c r="H420" s="580"/>
      <c r="I420" s="554"/>
      <c r="J420" s="549"/>
      <c r="K420" s="629"/>
      <c r="L420" s="549"/>
      <c r="M420" s="549"/>
      <c r="N420" s="153" t="s">
        <v>1819</v>
      </c>
    </row>
    <row r="421" spans="1:14" hidden="1">
      <c r="A421" s="127">
        <v>19</v>
      </c>
      <c r="B421" s="533"/>
      <c r="C421" s="630" t="s">
        <v>1820</v>
      </c>
      <c r="D421" s="578" t="s">
        <v>701</v>
      </c>
      <c r="E421" s="548" t="s">
        <v>321</v>
      </c>
      <c r="F421" s="548" t="s">
        <v>338</v>
      </c>
      <c r="G421" s="578" t="s">
        <v>354</v>
      </c>
      <c r="H421" s="578" t="s">
        <v>1821</v>
      </c>
      <c r="I421" s="553" t="s">
        <v>1822</v>
      </c>
      <c r="J421" s="548" t="s">
        <v>639</v>
      </c>
      <c r="K421" s="632" t="s">
        <v>693</v>
      </c>
      <c r="L421" s="548" t="s">
        <v>310</v>
      </c>
      <c r="M421" s="548" t="s">
        <v>1823</v>
      </c>
      <c r="N421" s="152" t="s">
        <v>1824</v>
      </c>
    </row>
    <row r="422" spans="1:14" hidden="1">
      <c r="A422" s="127">
        <v>19</v>
      </c>
      <c r="B422" s="533"/>
      <c r="C422" s="631"/>
      <c r="D422" s="580"/>
      <c r="E422" s="549"/>
      <c r="F422" s="549"/>
      <c r="G422" s="580"/>
      <c r="H422" s="580"/>
      <c r="I422" s="554"/>
      <c r="J422" s="549"/>
      <c r="K422" s="633"/>
      <c r="L422" s="549"/>
      <c r="M422" s="549"/>
      <c r="N422" s="152" t="s">
        <v>1825</v>
      </c>
    </row>
    <row r="423" spans="1:14" hidden="1">
      <c r="A423" s="127">
        <v>19</v>
      </c>
      <c r="B423" s="533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>
      <c r="A424" s="127">
        <v>19</v>
      </c>
      <c r="B424" s="533"/>
      <c r="C424" s="578" t="s">
        <v>1827</v>
      </c>
      <c r="D424" s="578" t="s">
        <v>701</v>
      </c>
      <c r="E424" s="548" t="s">
        <v>321</v>
      </c>
      <c r="F424" s="548" t="s">
        <v>710</v>
      </c>
      <c r="G424" s="548" t="s">
        <v>1775</v>
      </c>
      <c r="H424" s="578" t="s">
        <v>1828</v>
      </c>
      <c r="I424" s="153" t="s">
        <v>1829</v>
      </c>
      <c r="J424" s="548" t="s">
        <v>639</v>
      </c>
      <c r="K424" s="548" t="s">
        <v>693</v>
      </c>
      <c r="L424" s="548" t="s">
        <v>310</v>
      </c>
      <c r="M424" s="548" t="s">
        <v>1538</v>
      </c>
      <c r="N424" s="553" t="s">
        <v>1831</v>
      </c>
    </row>
    <row r="425" spans="1:14" hidden="1">
      <c r="A425" s="127">
        <v>19</v>
      </c>
      <c r="B425" s="533"/>
      <c r="C425" s="580"/>
      <c r="D425" s="580"/>
      <c r="E425" s="549"/>
      <c r="F425" s="549"/>
      <c r="G425" s="549"/>
      <c r="H425" s="580"/>
      <c r="I425" s="153" t="s">
        <v>1830</v>
      </c>
      <c r="J425" s="549"/>
      <c r="K425" s="549"/>
      <c r="L425" s="549"/>
      <c r="M425" s="549"/>
      <c r="N425" s="554"/>
    </row>
    <row r="426" spans="1:14" hidden="1">
      <c r="A426" s="127">
        <v>19</v>
      </c>
      <c r="B426" s="534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>
      <c r="A427" s="127">
        <v>20</v>
      </c>
      <c r="B427" s="532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>
      <c r="A428" s="127">
        <v>20</v>
      </c>
      <c r="B428" s="533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>
      <c r="A429" s="127">
        <v>20</v>
      </c>
      <c r="B429" s="533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>
      <c r="A430" s="127">
        <v>20</v>
      </c>
      <c r="B430" s="533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>
      <c r="A431" s="127">
        <v>20</v>
      </c>
      <c r="B431" s="534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>
      <c r="A432" s="127">
        <v>20</v>
      </c>
      <c r="B432" s="532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>
      <c r="A433" s="244">
        <v>20</v>
      </c>
      <c r="B433" s="534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>
      <c r="A434" s="127">
        <v>21</v>
      </c>
      <c r="B434" s="532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>
      <c r="A435" s="127">
        <v>21</v>
      </c>
      <c r="B435" s="533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>
      <c r="A436" s="127">
        <v>21</v>
      </c>
      <c r="B436" s="533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>
      <c r="A437" s="127">
        <v>21</v>
      </c>
      <c r="B437" s="533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>
      <c r="A438" s="127">
        <v>21</v>
      </c>
      <c r="B438" s="534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>
      <c r="A439" s="127">
        <v>21</v>
      </c>
      <c r="B439" s="532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>
      <c r="A440" s="127">
        <v>21</v>
      </c>
      <c r="B440" s="533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>
      <c r="A441" s="127">
        <v>21</v>
      </c>
      <c r="B441" s="533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>
      <c r="A442" s="127">
        <v>21</v>
      </c>
      <c r="B442" s="533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>
      <c r="A443" s="127">
        <v>21</v>
      </c>
      <c r="B443" s="534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>
      <c r="A444" s="127">
        <v>22</v>
      </c>
      <c r="B444" s="532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>
      <c r="A445" s="127">
        <v>22</v>
      </c>
      <c r="B445" s="533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>
      <c r="A446" s="127">
        <v>22</v>
      </c>
      <c r="B446" s="533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>
      <c r="A447" s="127">
        <v>22</v>
      </c>
      <c r="B447" s="533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>
      <c r="A448" s="127">
        <v>22</v>
      </c>
      <c r="B448" s="534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>
      <c r="A449" s="127">
        <v>22</v>
      </c>
      <c r="B449" s="532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>
      <c r="A450" s="127">
        <v>22</v>
      </c>
      <c r="B450" s="533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>
      <c r="A451" s="127">
        <v>22</v>
      </c>
      <c r="B451" s="534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>
      <c r="A452" s="127">
        <v>23</v>
      </c>
      <c r="B452" s="532" t="s">
        <v>2085</v>
      </c>
      <c r="C452" s="256" t="s">
        <v>1913</v>
      </c>
      <c r="D452" s="535" t="s">
        <v>307</v>
      </c>
      <c r="E452" s="535" t="s">
        <v>323</v>
      </c>
      <c r="F452" s="535" t="s">
        <v>308</v>
      </c>
      <c r="G452" s="535">
        <v>3306</v>
      </c>
      <c r="H452" s="535" t="s">
        <v>1155</v>
      </c>
      <c r="I452" s="535" t="s">
        <v>1914</v>
      </c>
      <c r="J452" s="535" t="s">
        <v>1112</v>
      </c>
      <c r="K452" s="535" t="s">
        <v>693</v>
      </c>
      <c r="L452" s="535" t="s">
        <v>325</v>
      </c>
      <c r="M452" s="535" t="s">
        <v>1915</v>
      </c>
      <c r="N452" s="535" t="s">
        <v>666</v>
      </c>
    </row>
    <row r="453" spans="1:14" hidden="1">
      <c r="A453" s="127">
        <v>23</v>
      </c>
      <c r="B453" s="533"/>
      <c r="C453" s="256" t="s">
        <v>1916</v>
      </c>
      <c r="D453" s="536"/>
      <c r="E453" s="536"/>
      <c r="F453" s="536"/>
      <c r="G453" s="536"/>
      <c r="H453" s="536"/>
      <c r="I453" s="536"/>
      <c r="J453" s="536"/>
      <c r="K453" s="536"/>
      <c r="L453" s="536"/>
      <c r="M453" s="536"/>
      <c r="N453" s="536"/>
    </row>
    <row r="454" spans="1:14" hidden="1">
      <c r="A454" s="127">
        <v>23</v>
      </c>
      <c r="B454" s="533"/>
      <c r="C454" s="256" t="s">
        <v>1917</v>
      </c>
      <c r="D454" s="535" t="s">
        <v>307</v>
      </c>
      <c r="E454" s="535" t="s">
        <v>323</v>
      </c>
      <c r="F454" s="535" t="s">
        <v>308</v>
      </c>
      <c r="G454" s="537" t="s">
        <v>1421</v>
      </c>
      <c r="H454" s="535" t="s">
        <v>1918</v>
      </c>
      <c r="I454" s="537" t="s">
        <v>1156</v>
      </c>
      <c r="J454" s="535" t="s">
        <v>665</v>
      </c>
      <c r="K454" s="634" t="s">
        <v>1770</v>
      </c>
      <c r="L454" s="535" t="s">
        <v>325</v>
      </c>
      <c r="M454" s="535" t="s">
        <v>1538</v>
      </c>
      <c r="N454" s="535" t="s">
        <v>666</v>
      </c>
    </row>
    <row r="455" spans="1:14" hidden="1">
      <c r="A455" s="127">
        <v>23</v>
      </c>
      <c r="B455" s="533"/>
      <c r="C455" s="256" t="s">
        <v>1916</v>
      </c>
      <c r="D455" s="536"/>
      <c r="E455" s="536"/>
      <c r="F455" s="536"/>
      <c r="G455" s="538"/>
      <c r="H455" s="536"/>
      <c r="I455" s="538"/>
      <c r="J455" s="536"/>
      <c r="K455" s="635"/>
      <c r="L455" s="536"/>
      <c r="M455" s="536"/>
      <c r="N455" s="536"/>
    </row>
    <row r="456" spans="1:14" hidden="1">
      <c r="A456" s="127">
        <v>23</v>
      </c>
      <c r="B456" s="533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>
      <c r="A457" s="127">
        <v>23</v>
      </c>
      <c r="B457" s="533"/>
      <c r="C457" s="256" t="s">
        <v>1924</v>
      </c>
      <c r="D457" s="535" t="s">
        <v>307</v>
      </c>
      <c r="E457" s="535" t="s">
        <v>323</v>
      </c>
      <c r="F457" s="535" t="s">
        <v>308</v>
      </c>
      <c r="G457" s="537">
        <v>4267</v>
      </c>
      <c r="H457" s="535" t="s">
        <v>641</v>
      </c>
      <c r="I457" s="537" t="s">
        <v>1156</v>
      </c>
      <c r="J457" s="535" t="s">
        <v>665</v>
      </c>
      <c r="K457" s="634" t="s">
        <v>1770</v>
      </c>
      <c r="L457" s="535" t="s">
        <v>325</v>
      </c>
      <c r="M457" s="535" t="s">
        <v>1538</v>
      </c>
      <c r="N457" s="535" t="s">
        <v>666</v>
      </c>
    </row>
    <row r="458" spans="1:14" hidden="1">
      <c r="A458" s="127">
        <v>23</v>
      </c>
      <c r="B458" s="533"/>
      <c r="C458" s="256" t="s">
        <v>1925</v>
      </c>
      <c r="D458" s="536"/>
      <c r="E458" s="536"/>
      <c r="F458" s="536"/>
      <c r="G458" s="538"/>
      <c r="H458" s="536"/>
      <c r="I458" s="538"/>
      <c r="J458" s="536"/>
      <c r="K458" s="635"/>
      <c r="L458" s="536"/>
      <c r="M458" s="536"/>
      <c r="N458" s="536"/>
    </row>
    <row r="459" spans="1:14" hidden="1">
      <c r="A459" s="127">
        <v>23</v>
      </c>
      <c r="B459" s="533"/>
      <c r="C459" s="256" t="s">
        <v>1924</v>
      </c>
      <c r="D459" s="535" t="s">
        <v>307</v>
      </c>
      <c r="E459" s="535" t="s">
        <v>323</v>
      </c>
      <c r="F459" s="535" t="s">
        <v>308</v>
      </c>
      <c r="G459" s="537" t="s">
        <v>1926</v>
      </c>
      <c r="H459" s="535" t="s">
        <v>663</v>
      </c>
      <c r="I459" s="537" t="s">
        <v>1927</v>
      </c>
      <c r="J459" s="535" t="s">
        <v>350</v>
      </c>
      <c r="K459" s="636" t="s">
        <v>1923</v>
      </c>
      <c r="L459" s="535" t="s">
        <v>325</v>
      </c>
      <c r="M459" s="535" t="s">
        <v>1538</v>
      </c>
      <c r="N459" s="535" t="s">
        <v>426</v>
      </c>
    </row>
    <row r="460" spans="1:14" hidden="1">
      <c r="A460" s="127">
        <v>23</v>
      </c>
      <c r="B460" s="534"/>
      <c r="C460" s="257" t="s">
        <v>1925</v>
      </c>
      <c r="D460" s="536"/>
      <c r="E460" s="536"/>
      <c r="F460" s="536"/>
      <c r="G460" s="538"/>
      <c r="H460" s="536"/>
      <c r="I460" s="538"/>
      <c r="J460" s="536"/>
      <c r="K460" s="637"/>
      <c r="L460" s="536"/>
      <c r="M460" s="536"/>
      <c r="N460" s="536"/>
    </row>
    <row r="461" spans="1:14" hidden="1">
      <c r="A461" s="127">
        <v>23</v>
      </c>
      <c r="B461" s="532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>
      <c r="A462" s="127">
        <v>23</v>
      </c>
      <c r="B462" s="533"/>
      <c r="C462" s="535" t="s">
        <v>1928</v>
      </c>
      <c r="D462" s="535" t="s">
        <v>312</v>
      </c>
      <c r="E462" s="535" t="s">
        <v>676</v>
      </c>
      <c r="F462" s="535" t="s">
        <v>1933</v>
      </c>
      <c r="G462" s="535" t="s">
        <v>1934</v>
      </c>
      <c r="H462" s="539" t="s">
        <v>348</v>
      </c>
      <c r="I462" s="255" t="s">
        <v>1935</v>
      </c>
      <c r="J462" s="535"/>
      <c r="K462" s="537" t="s">
        <v>1931</v>
      </c>
      <c r="L462" s="535" t="s">
        <v>310</v>
      </c>
      <c r="M462" s="535" t="s">
        <v>1835</v>
      </c>
      <c r="N462" s="537" t="s">
        <v>1932</v>
      </c>
    </row>
    <row r="463" spans="1:14" hidden="1">
      <c r="A463" s="127">
        <v>23</v>
      </c>
      <c r="B463" s="533"/>
      <c r="C463" s="536"/>
      <c r="D463" s="536"/>
      <c r="E463" s="536"/>
      <c r="F463" s="536"/>
      <c r="G463" s="536"/>
      <c r="H463" s="540"/>
      <c r="I463" s="255" t="s">
        <v>1936</v>
      </c>
      <c r="J463" s="536"/>
      <c r="K463" s="538"/>
      <c r="L463" s="536"/>
      <c r="M463" s="536"/>
      <c r="N463" s="538"/>
    </row>
    <row r="464" spans="1:14" ht="24" hidden="1">
      <c r="A464" s="127">
        <v>23</v>
      </c>
      <c r="B464" s="533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>
      <c r="A465" s="127">
        <v>23</v>
      </c>
      <c r="B465" s="534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>
      <c r="A466" s="127">
        <v>24</v>
      </c>
      <c r="B466" s="532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>
      <c r="A467" s="127">
        <v>24</v>
      </c>
      <c r="B467" s="533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>
      <c r="A468" s="127">
        <v>24</v>
      </c>
      <c r="B468" s="533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>
      <c r="A469" s="127">
        <v>24</v>
      </c>
      <c r="B469" s="534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>
      <c r="A470" s="127">
        <v>24</v>
      </c>
      <c r="B470" s="532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>
      <c r="A471" s="127">
        <v>24</v>
      </c>
      <c r="B471" s="533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>
      <c r="A472" s="127">
        <v>24</v>
      </c>
      <c r="B472" s="533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>
      <c r="A473" s="127">
        <v>24</v>
      </c>
      <c r="B473" s="533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>
      <c r="A474" s="127">
        <v>24</v>
      </c>
      <c r="B474" s="53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>
      <c r="A475" s="127">
        <v>25</v>
      </c>
      <c r="B475" s="532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>
      <c r="A476" s="127">
        <v>25</v>
      </c>
      <c r="B476" s="533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>
      <c r="A477" s="127">
        <v>25</v>
      </c>
      <c r="B477" s="533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>
      <c r="A478" s="127">
        <v>25</v>
      </c>
      <c r="B478" s="534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>
      <c r="A479" s="127">
        <v>25</v>
      </c>
      <c r="B479" s="532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>
      <c r="A480" s="127">
        <v>25</v>
      </c>
      <c r="B480" s="533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>
      <c r="A481" s="244">
        <v>25</v>
      </c>
      <c r="B481" s="534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>
      <c r="A482" s="127">
        <v>26</v>
      </c>
      <c r="B482" s="532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>
      <c r="A483" s="127">
        <v>26</v>
      </c>
      <c r="B483" s="533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>
      <c r="A484" s="127">
        <v>26</v>
      </c>
      <c r="B484" s="533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>
      <c r="A485" s="127">
        <v>26</v>
      </c>
      <c r="B485" s="533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>
      <c r="A486" s="127">
        <v>26</v>
      </c>
      <c r="B486" s="534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>
      <c r="A487" s="127">
        <v>26</v>
      </c>
      <c r="B487" s="532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>
      <c r="A488" s="127">
        <v>26</v>
      </c>
      <c r="B488" s="533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>
      <c r="A489" s="127">
        <v>26</v>
      </c>
      <c r="B489" s="533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>
      <c r="A490" s="127">
        <v>26</v>
      </c>
      <c r="B490" s="533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>
      <c r="A491" s="127">
        <v>26</v>
      </c>
      <c r="B491" s="534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>
      <c r="A492" s="127">
        <v>27</v>
      </c>
      <c r="B492" s="532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>
      <c r="A493" s="127">
        <v>27</v>
      </c>
      <c r="B493" s="533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>
      <c r="A494" s="127">
        <v>27</v>
      </c>
      <c r="B494" s="533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>
      <c r="A495" s="127">
        <v>27</v>
      </c>
      <c r="B495" s="533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>
      <c r="A496" s="127">
        <v>27</v>
      </c>
      <c r="B496" s="533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>
      <c r="A497" s="127">
        <v>27</v>
      </c>
      <c r="B497" s="534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>
      <c r="A498" s="127">
        <v>27</v>
      </c>
      <c r="B498" s="532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>
      <c r="A499" s="127">
        <v>27</v>
      </c>
      <c r="B499" s="533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>
      <c r="A500" s="127">
        <v>27</v>
      </c>
      <c r="B500" s="534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>
      <c r="A501" s="127">
        <v>28</v>
      </c>
      <c r="B501" s="532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>
      <c r="A502" s="127">
        <v>28</v>
      </c>
      <c r="B502" s="533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>
      <c r="A503" s="127">
        <v>28</v>
      </c>
      <c r="B503" s="533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>
      <c r="A504" s="127">
        <v>28</v>
      </c>
      <c r="B504" s="534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>
      <c r="A505" s="127">
        <v>28</v>
      </c>
      <c r="B505" s="53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>
      <c r="A506" s="127">
        <v>28</v>
      </c>
      <c r="B506" s="534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>
      <c r="A507" s="127">
        <v>29</v>
      </c>
      <c r="B507" s="532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>
      <c r="A508" s="127">
        <v>29</v>
      </c>
      <c r="B508" s="533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>
      <c r="A509" s="127">
        <v>29</v>
      </c>
      <c r="B509" s="533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>
      <c r="A510" s="127">
        <v>29</v>
      </c>
      <c r="B510" s="533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>
      <c r="A511" s="127">
        <v>29</v>
      </c>
      <c r="B511" s="53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>
      <c r="A512" s="127">
        <v>29</v>
      </c>
      <c r="B512" s="533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>
      <c r="A513" s="127">
        <v>29</v>
      </c>
      <c r="B513" s="533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>
      <c r="A514" s="127">
        <v>29</v>
      </c>
      <c r="B514" s="533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>
      <c r="A515" s="244">
        <v>29</v>
      </c>
      <c r="B515" s="534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>
      <c r="A516" s="127">
        <v>30</v>
      </c>
      <c r="B516" s="532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>
      <c r="A517" s="127">
        <v>30</v>
      </c>
      <c r="B517" s="533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>
      <c r="A518" s="127">
        <v>30</v>
      </c>
      <c r="B518" s="534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>
      <c r="A519" s="127">
        <v>30</v>
      </c>
      <c r="B519" s="532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>
      <c r="A520" s="127">
        <v>30</v>
      </c>
      <c r="B520" s="53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>
      <c r="A521" s="127">
        <v>30</v>
      </c>
      <c r="B521" s="53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>
      <c r="A522" s="127">
        <v>30</v>
      </c>
      <c r="B522" s="533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>
      <c r="A523" s="127">
        <v>30</v>
      </c>
      <c r="B523" s="534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>
      <c r="A524" s="127">
        <v>31</v>
      </c>
      <c r="B524" s="532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>
      <c r="A525" s="127">
        <v>31</v>
      </c>
      <c r="B525" s="534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>
      <c r="A526" s="127">
        <v>31</v>
      </c>
      <c r="B526" s="532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>
      <c r="A527" s="127">
        <v>31</v>
      </c>
      <c r="B527" s="53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>
      <c r="A528" s="127">
        <v>31</v>
      </c>
      <c r="B528" s="53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>
      <c r="A529" s="127">
        <v>31</v>
      </c>
      <c r="B529" s="533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>
      <c r="A530" s="127">
        <v>31</v>
      </c>
      <c r="B530" s="534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>
      <c r="A531" s="127">
        <v>32</v>
      </c>
      <c r="B531" s="532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>
      <c r="A532" s="127">
        <v>32</v>
      </c>
      <c r="B532" s="533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>
      <c r="A533" s="127">
        <v>32</v>
      </c>
      <c r="B533" s="534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>
      <c r="A534" s="127">
        <v>32</v>
      </c>
      <c r="B534" s="532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>
      <c r="A535" s="127">
        <v>32</v>
      </c>
      <c r="B535" s="533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>
      <c r="A536" s="127">
        <v>32</v>
      </c>
      <c r="B536" s="534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>
      <c r="A537" s="127">
        <v>33</v>
      </c>
      <c r="B537" s="532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>
      <c r="A538" s="127">
        <v>33</v>
      </c>
      <c r="B538" s="533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>
      <c r="A539" s="127">
        <v>33</v>
      </c>
      <c r="B539" s="533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>
      <c r="A540" s="127">
        <v>33</v>
      </c>
      <c r="B540" s="533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>
      <c r="A541" s="127">
        <v>33</v>
      </c>
      <c r="B541" s="534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>
      <c r="A542" s="127">
        <v>33</v>
      </c>
      <c r="B542" s="532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>
      <c r="A543" s="127">
        <v>33</v>
      </c>
      <c r="B543" s="533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>
      <c r="A544" s="127">
        <v>33</v>
      </c>
      <c r="B544" s="533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>
      <c r="A545" s="127">
        <v>33</v>
      </c>
      <c r="B545" s="534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>
      <c r="A546" s="127">
        <v>34</v>
      </c>
      <c r="B546" s="532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>
      <c r="A547" s="127">
        <v>34</v>
      </c>
      <c r="B547" s="533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>
      <c r="A548" s="127">
        <v>34</v>
      </c>
      <c r="B548" s="533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>
      <c r="A549" s="127">
        <v>34</v>
      </c>
      <c r="B549" s="534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>
      <c r="A551" s="127">
        <v>35</v>
      </c>
      <c r="B551" s="532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>
      <c r="A552" s="127">
        <v>35</v>
      </c>
      <c r="B552" s="533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>
      <c r="A553" s="127">
        <v>35</v>
      </c>
      <c r="B553" s="534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>
      <c r="A554" s="127">
        <v>35</v>
      </c>
      <c r="B554" s="532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>
      <c r="A555" s="127">
        <v>35</v>
      </c>
      <c r="B555" s="533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>
      <c r="A556" s="127">
        <v>35</v>
      </c>
      <c r="B556" s="533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>
      <c r="A557" s="127">
        <v>35</v>
      </c>
      <c r="B557" s="534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>
      <c r="A558" s="127">
        <v>36</v>
      </c>
      <c r="B558" s="532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>
      <c r="A559" s="127">
        <v>36</v>
      </c>
      <c r="B559" s="533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>
      <c r="A560" s="127">
        <v>36</v>
      </c>
      <c r="B560" s="534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>
      <c r="A561" s="127">
        <v>36</v>
      </c>
      <c r="B561" s="532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>
      <c r="A562" s="127">
        <v>36</v>
      </c>
      <c r="B562" s="533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>
      <c r="A563" s="127">
        <v>36</v>
      </c>
      <c r="B563" s="533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>
      <c r="A564" s="127">
        <v>36</v>
      </c>
      <c r="B564" s="534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>
      <c r="A565" s="127">
        <v>37</v>
      </c>
      <c r="B565" s="532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>
      <c r="A566" s="127">
        <v>37</v>
      </c>
      <c r="B566" s="533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>
      <c r="A567" s="127">
        <v>37</v>
      </c>
      <c r="B567" s="533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>
      <c r="A568" s="127">
        <v>37</v>
      </c>
      <c r="B568" s="533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>
      <c r="A569" s="127">
        <v>37</v>
      </c>
      <c r="B569" s="533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>
      <c r="A570" s="127">
        <v>37</v>
      </c>
      <c r="B570" s="534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>
      <c r="A571" s="127">
        <v>38</v>
      </c>
      <c r="B571" s="557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>
      <c r="A572" s="127">
        <v>38</v>
      </c>
      <c r="B572" s="559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>
      <c r="A574" s="127">
        <v>39</v>
      </c>
      <c r="B574" s="557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>
      <c r="A575" s="127">
        <v>39</v>
      </c>
      <c r="B575" s="558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>
      <c r="A576" s="127">
        <v>39</v>
      </c>
      <c r="B576" s="558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>
      <c r="A577" s="127">
        <v>39</v>
      </c>
      <c r="B577" s="559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>
      <c r="A579" s="127">
        <v>40</v>
      </c>
      <c r="B579" s="532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>
      <c r="A580" s="127">
        <v>40</v>
      </c>
      <c r="B580" s="534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>
      <c r="A582" s="127">
        <v>41</v>
      </c>
      <c r="B582" s="557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>
      <c r="A583" s="127">
        <v>41</v>
      </c>
      <c r="B583" s="558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>
      <c r="A584" s="127">
        <v>41</v>
      </c>
      <c r="B584" s="558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>
      <c r="A585" s="127">
        <v>41</v>
      </c>
      <c r="B585" s="559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>
      <c r="A586" s="127">
        <v>41</v>
      </c>
      <c r="B586" s="532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>
      <c r="A587" s="127">
        <v>41</v>
      </c>
      <c r="B587" s="533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>
      <c r="A588" s="127">
        <v>41</v>
      </c>
      <c r="B588" s="533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>
      <c r="A589" s="127">
        <v>41</v>
      </c>
      <c r="B589" s="534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>
      <c r="A590" s="127">
        <v>42</v>
      </c>
      <c r="B590" s="532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>
      <c r="A591" s="127">
        <v>42</v>
      </c>
      <c r="B591" s="533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>
      <c r="A592" s="127">
        <v>42</v>
      </c>
      <c r="B592" s="533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>
      <c r="A593" s="127">
        <v>42</v>
      </c>
      <c r="B593" s="533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>
      <c r="A594" s="127">
        <v>42</v>
      </c>
      <c r="B594" s="533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>
      <c r="A595" s="127">
        <v>42</v>
      </c>
      <c r="B595" s="534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>
      <c r="A596" s="127">
        <v>42</v>
      </c>
      <c r="B596" s="532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>
      <c r="A597" s="127">
        <v>42</v>
      </c>
      <c r="B597" s="533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>
      <c r="A598" s="127">
        <v>42</v>
      </c>
      <c r="B598" s="534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>
      <c r="A599" s="127">
        <v>43</v>
      </c>
      <c r="B599" s="532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>
      <c r="A600" s="127">
        <v>43</v>
      </c>
      <c r="B600" s="533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>
      <c r="A601" s="127">
        <v>43</v>
      </c>
      <c r="B601" s="534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>
      <c r="A602" s="127">
        <v>43</v>
      </c>
      <c r="B602" s="532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>
      <c r="A603" s="127">
        <v>43</v>
      </c>
      <c r="B603" s="533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>
      <c r="A604" s="127">
        <v>43</v>
      </c>
      <c r="B604" s="533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>
      <c r="A605" s="127">
        <v>43</v>
      </c>
      <c r="B605" s="534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>
      <c r="A606" s="127">
        <v>44</v>
      </c>
      <c r="B606" s="532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>
      <c r="A607" s="127">
        <v>44</v>
      </c>
      <c r="B607" s="534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>
      <c r="A609" s="127">
        <v>45</v>
      </c>
      <c r="B609" s="557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>
      <c r="A610" s="127">
        <v>45</v>
      </c>
      <c r="B610" s="558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>
      <c r="A611" s="127">
        <v>45</v>
      </c>
      <c r="B611" s="559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>
      <c r="A612" s="127">
        <v>45</v>
      </c>
      <c r="B612" s="532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>
      <c r="A613" s="127">
        <v>45</v>
      </c>
      <c r="B613" s="533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>
      <c r="A614" s="127">
        <v>45</v>
      </c>
      <c r="B614" s="533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>
      <c r="A615" s="127">
        <v>45</v>
      </c>
      <c r="B615" s="534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>
      <c r="A616" s="127">
        <v>46</v>
      </c>
      <c r="B616" s="532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>
      <c r="A617" s="127">
        <v>46</v>
      </c>
      <c r="B617" s="534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>
      <c r="A618" s="127">
        <v>46</v>
      </c>
      <c r="B618" s="532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>
      <c r="A619" s="127">
        <v>46</v>
      </c>
      <c r="B619" s="533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>
      <c r="A620" s="127">
        <v>46</v>
      </c>
      <c r="B620" s="533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>
      <c r="A621" s="127">
        <v>46</v>
      </c>
      <c r="B621" s="534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>
      <c r="A622" s="127">
        <v>47</v>
      </c>
      <c r="B622" s="639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>
      <c r="A623" s="127">
        <v>47</v>
      </c>
      <c r="B623" s="640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>
      <c r="A624" s="127">
        <v>47</v>
      </c>
      <c r="B624" s="640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>
      <c r="A625" s="127">
        <v>47</v>
      </c>
      <c r="B625" s="640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>
      <c r="A626" s="127">
        <v>47</v>
      </c>
      <c r="B626" s="641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>
      <c r="A628" s="127">
        <v>48</v>
      </c>
      <c r="B628" s="532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>
      <c r="A629" s="127">
        <v>48</v>
      </c>
      <c r="B629" s="533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>
      <c r="A630" s="127">
        <v>48</v>
      </c>
      <c r="B630" s="534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>
      <c r="A632" s="127">
        <v>49</v>
      </c>
      <c r="B632" s="532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>
      <c r="A633" s="127">
        <v>49</v>
      </c>
      <c r="B633" s="533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>
      <c r="A634" s="127">
        <v>49</v>
      </c>
      <c r="B634" s="534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>
      <c r="A635" s="127">
        <v>49</v>
      </c>
      <c r="B635" s="532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>
      <c r="A636" s="127">
        <v>49</v>
      </c>
      <c r="B636" s="533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>
      <c r="A637" s="127">
        <v>49</v>
      </c>
      <c r="B637" s="534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>
      <c r="A638" s="127">
        <v>50</v>
      </c>
      <c r="B638" s="532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>
      <c r="A639" s="127">
        <v>50</v>
      </c>
      <c r="B639" s="534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>
      <c r="A640" s="127">
        <v>50</v>
      </c>
      <c r="B640" s="532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>
      <c r="A641" s="127">
        <v>50</v>
      </c>
      <c r="B641" s="533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>
      <c r="A642" s="127">
        <v>50</v>
      </c>
      <c r="B642" s="534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>
      <c r="A643" s="127">
        <v>51</v>
      </c>
      <c r="B643" s="532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>
      <c r="A644" s="127">
        <v>51</v>
      </c>
      <c r="B644" s="533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>
      <c r="A645" s="127">
        <v>51</v>
      </c>
      <c r="B645" s="533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>
      <c r="A646" s="127">
        <v>51</v>
      </c>
      <c r="B646" s="533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>
      <c r="A647" s="127">
        <v>51</v>
      </c>
      <c r="B647" s="533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>
      <c r="A648" s="127">
        <v>51</v>
      </c>
      <c r="B648" s="533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>
      <c r="A649" s="127">
        <v>51</v>
      </c>
      <c r="B649" s="533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>
      <c r="A650" s="127">
        <v>52</v>
      </c>
      <c r="B650" s="533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>
      <c r="A651" s="127">
        <v>52</v>
      </c>
      <c r="B651" s="533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>
      <c r="A652" s="127">
        <v>52</v>
      </c>
      <c r="B652" s="533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>
      <c r="A654" s="127">
        <v>1</v>
      </c>
      <c r="B654" s="533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>
      <c r="A655" s="127">
        <v>1</v>
      </c>
      <c r="B655" s="533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>
      <c r="A656" s="127">
        <v>1</v>
      </c>
      <c r="B656" s="533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>
      <c r="A657" s="127">
        <v>1</v>
      </c>
      <c r="B657" s="533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>
      <c r="A658" s="127">
        <v>2</v>
      </c>
      <c r="B658" s="533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>
      <c r="A659" s="127">
        <v>2</v>
      </c>
      <c r="B659" s="533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>
      <c r="A660" s="127">
        <v>2</v>
      </c>
      <c r="B660" s="533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>
      <c r="A661" s="127">
        <v>2</v>
      </c>
      <c r="B661" s="533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>
      <c r="A663" s="127">
        <v>3</v>
      </c>
      <c r="B663" s="533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>
      <c r="A664" s="127">
        <v>3</v>
      </c>
      <c r="B664" s="533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>
      <c r="A665" s="127">
        <v>3</v>
      </c>
      <c r="B665" s="533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>
      <c r="A666" s="127">
        <v>3</v>
      </c>
      <c r="B666" s="533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>
      <c r="A668" s="127">
        <v>4</v>
      </c>
      <c r="B668" s="532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>
      <c r="A669" s="127">
        <v>4</v>
      </c>
      <c r="B669" s="533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>
      <c r="A670" s="127">
        <v>4</v>
      </c>
      <c r="B670" s="533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>
      <c r="A671" s="127">
        <v>4</v>
      </c>
      <c r="B671" s="534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>
      <c r="A673" s="372">
        <v>6</v>
      </c>
      <c r="B673" s="638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>
      <c r="A674" s="127">
        <v>6</v>
      </c>
      <c r="B674" s="533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>
      <c r="A675" s="127">
        <v>6</v>
      </c>
      <c r="B675" s="534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>
      <c r="A676" s="127">
        <v>6</v>
      </c>
      <c r="B676" s="532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>
      <c r="A677" s="127">
        <v>6</v>
      </c>
      <c r="B677" s="534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>
      <c r="A678" s="127">
        <v>7</v>
      </c>
      <c r="B678" s="532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>
      <c r="A679" s="127">
        <v>7</v>
      </c>
      <c r="B679" s="533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>
      <c r="A680" s="127">
        <v>7</v>
      </c>
      <c r="B680" s="533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>
      <c r="A681" s="127">
        <v>7</v>
      </c>
      <c r="B681" s="533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>
      <c r="A682" s="127">
        <v>7</v>
      </c>
      <c r="B682" s="534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>
      <c r="A683" s="127">
        <v>7</v>
      </c>
      <c r="B683" s="532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>
      <c r="A684" s="127">
        <v>7</v>
      </c>
      <c r="B684" s="534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>
      <c r="A685" s="127">
        <v>8</v>
      </c>
      <c r="B685" s="532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>
      <c r="A686" s="127">
        <v>8</v>
      </c>
      <c r="B686" s="533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>
      <c r="A687" s="127">
        <v>8</v>
      </c>
      <c r="B687" s="533"/>
      <c r="C687" s="152" t="s">
        <v>2735</v>
      </c>
      <c r="D687" s="548" t="s">
        <v>307</v>
      </c>
      <c r="E687" s="548" t="s">
        <v>323</v>
      </c>
      <c r="F687" s="548" t="s">
        <v>308</v>
      </c>
      <c r="G687" s="553" t="s">
        <v>2728</v>
      </c>
      <c r="H687" s="548" t="s">
        <v>1048</v>
      </c>
      <c r="I687" s="553" t="s">
        <v>705</v>
      </c>
      <c r="J687" s="548" t="s">
        <v>665</v>
      </c>
      <c r="K687" s="642" t="s">
        <v>1770</v>
      </c>
      <c r="L687" s="548"/>
      <c r="M687" s="548" t="s">
        <v>459</v>
      </c>
      <c r="N687" s="548" t="s">
        <v>666</v>
      </c>
    </row>
    <row r="688" spans="1:14" hidden="1">
      <c r="A688" s="127">
        <v>8</v>
      </c>
      <c r="B688" s="533"/>
      <c r="C688" s="152" t="s">
        <v>2736</v>
      </c>
      <c r="D688" s="549"/>
      <c r="E688" s="549"/>
      <c r="F688" s="549"/>
      <c r="G688" s="554"/>
      <c r="H688" s="549"/>
      <c r="I688" s="554"/>
      <c r="J688" s="549"/>
      <c r="K688" s="643"/>
      <c r="L688" s="549"/>
      <c r="M688" s="549"/>
      <c r="N688" s="549"/>
    </row>
    <row r="689" spans="1:14" hidden="1">
      <c r="A689" s="127">
        <v>8</v>
      </c>
      <c r="B689" s="533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>
      <c r="A690" s="127">
        <v>8</v>
      </c>
      <c r="B690" s="533"/>
      <c r="C690" s="152" t="s">
        <v>2739</v>
      </c>
      <c r="D690" s="548" t="s">
        <v>307</v>
      </c>
      <c r="E690" s="548" t="s">
        <v>323</v>
      </c>
      <c r="F690" s="548" t="s">
        <v>308</v>
      </c>
      <c r="G690" s="553" t="s">
        <v>2740</v>
      </c>
      <c r="H690" s="548" t="s">
        <v>641</v>
      </c>
      <c r="I690" s="553" t="s">
        <v>669</v>
      </c>
      <c r="J690" s="548" t="s">
        <v>350</v>
      </c>
      <c r="K690" s="644" t="s">
        <v>2741</v>
      </c>
      <c r="L690" s="548"/>
      <c r="M690" s="548" t="s">
        <v>2778</v>
      </c>
      <c r="N690" s="548" t="s">
        <v>426</v>
      </c>
    </row>
    <row r="691" spans="1:14" hidden="1">
      <c r="A691" s="127">
        <v>8</v>
      </c>
      <c r="B691" s="534"/>
      <c r="C691" s="152" t="s">
        <v>2732</v>
      </c>
      <c r="D691" s="549"/>
      <c r="E691" s="549"/>
      <c r="F691" s="549"/>
      <c r="G691" s="554"/>
      <c r="H691" s="549"/>
      <c r="I691" s="554"/>
      <c r="J691" s="549"/>
      <c r="K691" s="645"/>
      <c r="L691" s="549"/>
      <c r="M691" s="549"/>
      <c r="N691" s="549"/>
    </row>
    <row r="692" spans="1:14" hidden="1">
      <c r="A692" s="127">
        <v>8</v>
      </c>
      <c r="B692" s="532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>
      <c r="A693" s="127">
        <v>8</v>
      </c>
      <c r="B693" s="533"/>
      <c r="C693" s="548" t="s">
        <v>2777</v>
      </c>
      <c r="D693" s="548" t="s">
        <v>312</v>
      </c>
      <c r="E693" s="548" t="s">
        <v>676</v>
      </c>
      <c r="F693" s="153" t="s">
        <v>1813</v>
      </c>
      <c r="G693" s="553" t="s">
        <v>690</v>
      </c>
      <c r="H693" s="553" t="s">
        <v>663</v>
      </c>
      <c r="I693" s="553" t="s">
        <v>2748</v>
      </c>
      <c r="J693" s="553"/>
      <c r="K693" s="553" t="s">
        <v>699</v>
      </c>
      <c r="L693" s="548" t="s">
        <v>310</v>
      </c>
      <c r="M693" s="548" t="s">
        <v>673</v>
      </c>
      <c r="N693" s="548" t="s">
        <v>2749</v>
      </c>
    </row>
    <row r="694" spans="1:14" hidden="1">
      <c r="A694" s="127">
        <v>8</v>
      </c>
      <c r="B694" s="534"/>
      <c r="C694" s="549"/>
      <c r="D694" s="549"/>
      <c r="E694" s="549"/>
      <c r="F694" s="153" t="s">
        <v>2747</v>
      </c>
      <c r="G694" s="554"/>
      <c r="H694" s="554"/>
      <c r="I694" s="554"/>
      <c r="J694" s="554"/>
      <c r="K694" s="554"/>
      <c r="L694" s="549"/>
      <c r="M694" s="549"/>
      <c r="N694" s="613"/>
    </row>
    <row r="695" spans="1:14" hidden="1">
      <c r="A695" s="127">
        <v>9</v>
      </c>
      <c r="B695" s="532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>
      <c r="A696" s="127">
        <v>9</v>
      </c>
      <c r="B696" s="533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>
      <c r="A697" s="127">
        <v>9</v>
      </c>
      <c r="B697" s="533"/>
      <c r="C697" s="256" t="s">
        <v>2754</v>
      </c>
      <c r="D697" s="535" t="s">
        <v>307</v>
      </c>
      <c r="E697" s="535" t="s">
        <v>323</v>
      </c>
      <c r="F697" s="535" t="s">
        <v>308</v>
      </c>
      <c r="G697" s="537" t="s">
        <v>2755</v>
      </c>
      <c r="H697" s="535" t="s">
        <v>406</v>
      </c>
      <c r="I697" s="537" t="s">
        <v>2756</v>
      </c>
      <c r="J697" s="535" t="s">
        <v>665</v>
      </c>
      <c r="K697" s="646" t="s">
        <v>1764</v>
      </c>
      <c r="L697" s="535"/>
      <c r="M697" s="648">
        <v>750000</v>
      </c>
      <c r="N697" s="535" t="s">
        <v>666</v>
      </c>
    </row>
    <row r="698" spans="1:14" hidden="1">
      <c r="A698" s="127">
        <v>9</v>
      </c>
      <c r="B698" s="533"/>
      <c r="C698" s="256" t="s">
        <v>2757</v>
      </c>
      <c r="D698" s="536"/>
      <c r="E698" s="536"/>
      <c r="F698" s="536"/>
      <c r="G698" s="538"/>
      <c r="H698" s="536"/>
      <c r="I698" s="538"/>
      <c r="J698" s="536"/>
      <c r="K698" s="647"/>
      <c r="L698" s="536"/>
      <c r="M698" s="649"/>
      <c r="N698" s="536"/>
    </row>
    <row r="699" spans="1:14" hidden="1">
      <c r="A699" s="127">
        <v>9</v>
      </c>
      <c r="B699" s="533"/>
      <c r="C699" s="256" t="s">
        <v>2754</v>
      </c>
      <c r="D699" s="535" t="s">
        <v>307</v>
      </c>
      <c r="E699" s="535" t="s">
        <v>323</v>
      </c>
      <c r="F699" s="535" t="s">
        <v>308</v>
      </c>
      <c r="G699" s="537" t="s">
        <v>2758</v>
      </c>
      <c r="H699" s="535" t="s">
        <v>663</v>
      </c>
      <c r="I699" s="537" t="s">
        <v>669</v>
      </c>
      <c r="J699" s="535" t="s">
        <v>350</v>
      </c>
      <c r="K699" s="650" t="s">
        <v>2741</v>
      </c>
      <c r="L699" s="535"/>
      <c r="M699" s="648">
        <v>1000000</v>
      </c>
      <c r="N699" s="535" t="s">
        <v>426</v>
      </c>
    </row>
    <row r="700" spans="1:14" hidden="1">
      <c r="A700" s="127">
        <v>9</v>
      </c>
      <c r="B700" s="533"/>
      <c r="C700" s="256" t="s">
        <v>2759</v>
      </c>
      <c r="D700" s="536"/>
      <c r="E700" s="536"/>
      <c r="F700" s="536"/>
      <c r="G700" s="538"/>
      <c r="H700" s="536"/>
      <c r="I700" s="538"/>
      <c r="J700" s="536"/>
      <c r="K700" s="651"/>
      <c r="L700" s="536"/>
      <c r="M700" s="649"/>
      <c r="N700" s="536"/>
    </row>
    <row r="701" spans="1:14" hidden="1">
      <c r="A701" s="127">
        <v>9</v>
      </c>
      <c r="B701" s="534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>
      <c r="A702" s="127">
        <v>10</v>
      </c>
      <c r="B702" s="532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>
      <c r="A703" s="127">
        <v>10</v>
      </c>
      <c r="B703" s="533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>
      <c r="A704" s="127">
        <v>10</v>
      </c>
      <c r="B704" s="534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>
      <c r="A706" s="127">
        <v>11</v>
      </c>
      <c r="B706" s="532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>
      <c r="A707" s="127">
        <v>11</v>
      </c>
      <c r="B707" s="533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>
      <c r="A708" s="127">
        <v>11</v>
      </c>
      <c r="B708" s="534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>
      <c r="A710" s="127">
        <v>12</v>
      </c>
      <c r="B710" s="532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>
      <c r="A711" s="127">
        <v>12</v>
      </c>
      <c r="B711" s="533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>
      <c r="A712" s="127">
        <v>12</v>
      </c>
      <c r="B712" s="533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>
      <c r="A713" s="127">
        <v>12</v>
      </c>
      <c r="B713" s="534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>
      <c r="A714" s="127">
        <v>13</v>
      </c>
      <c r="B714" s="532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>
      <c r="A715" s="127">
        <v>13</v>
      </c>
      <c r="B715" s="534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>
      <c r="A716" s="127">
        <v>13</v>
      </c>
      <c r="B716" s="532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>
      <c r="A717" s="127">
        <v>13</v>
      </c>
      <c r="B717" s="534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>
      <c r="A718" s="127">
        <v>14</v>
      </c>
      <c r="B718" s="532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>
      <c r="A719" s="127">
        <v>14</v>
      </c>
      <c r="B719" s="533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>
      <c r="A720" s="127">
        <v>14</v>
      </c>
      <c r="B720" s="533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>
      <c r="A721" s="127">
        <v>14</v>
      </c>
      <c r="B721" s="533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>
      <c r="A722" s="127">
        <v>14</v>
      </c>
      <c r="B722" s="534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>
      <c r="A723" s="127">
        <v>14</v>
      </c>
      <c r="B723" s="532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>
      <c r="A724" s="127">
        <v>14</v>
      </c>
      <c r="B724" s="533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>
      <c r="A725" s="127">
        <v>14</v>
      </c>
      <c r="B725" s="533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>
      <c r="A726" s="127">
        <v>14</v>
      </c>
      <c r="B726" s="534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>
      <c r="A727" s="127">
        <v>15</v>
      </c>
      <c r="B727" s="532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>
      <c r="A728" s="127">
        <v>15</v>
      </c>
      <c r="B728" s="533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>
      <c r="A729" s="127">
        <v>15</v>
      </c>
      <c r="B729" s="533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>
      <c r="A730" s="127">
        <v>15</v>
      </c>
      <c r="B730" s="533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>
      <c r="A731" s="127">
        <v>15</v>
      </c>
      <c r="B731" s="533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>
      <c r="A732" s="127">
        <v>15</v>
      </c>
      <c r="B732" s="533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>
      <c r="A733" s="127">
        <v>15</v>
      </c>
      <c r="B733" s="533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652" t="s">
        <v>2837</v>
      </c>
    </row>
    <row r="734" spans="1:14" ht="27" hidden="1">
      <c r="A734" s="127">
        <v>15</v>
      </c>
      <c r="B734" s="533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653"/>
    </row>
    <row r="735" spans="1:14" hidden="1">
      <c r="A735" s="127">
        <v>15</v>
      </c>
      <c r="B735" s="533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>
      <c r="A736" s="127">
        <v>15</v>
      </c>
      <c r="B736" s="533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>
      <c r="A737" s="127">
        <v>16</v>
      </c>
      <c r="B737" s="533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>
      <c r="A738" s="127">
        <v>16</v>
      </c>
      <c r="B738" s="533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>
      <c r="A739" s="127">
        <v>16</v>
      </c>
      <c r="B739" s="533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>
      <c r="A740" s="127">
        <v>16</v>
      </c>
      <c r="B740" s="533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>
      <c r="A741" s="127">
        <v>16</v>
      </c>
      <c r="B741" s="533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>
      <c r="A742" s="127">
        <v>16</v>
      </c>
      <c r="B742" s="533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>
      <c r="A743" s="127">
        <v>16</v>
      </c>
      <c r="B743" s="533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>
      <c r="A744" s="127">
        <v>16</v>
      </c>
      <c r="B744" s="533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>
      <c r="A745" s="244">
        <v>16</v>
      </c>
      <c r="B745" s="534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>
      <c r="A746" s="127">
        <v>17</v>
      </c>
      <c r="B746" s="532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>
      <c r="A747" s="127">
        <v>17</v>
      </c>
      <c r="B747" s="533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>
      <c r="A748" s="127">
        <v>17</v>
      </c>
      <c r="B748" s="533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>
      <c r="A749" s="127">
        <v>17</v>
      </c>
      <c r="B749" s="533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>
      <c r="A750" s="127">
        <v>17</v>
      </c>
      <c r="B750" s="534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>
      <c r="A751" s="127">
        <v>17</v>
      </c>
      <c r="B751" s="532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>
      <c r="A752" s="127">
        <v>17</v>
      </c>
      <c r="B752" s="533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>
      <c r="A753" s="127">
        <v>17</v>
      </c>
      <c r="B753" s="533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>
      <c r="A754" s="127">
        <v>17</v>
      </c>
      <c r="B754" s="533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>
      <c r="A755" s="127">
        <v>17</v>
      </c>
      <c r="B755" s="534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>
      <c r="A756" s="127">
        <v>18</v>
      </c>
      <c r="B756" s="532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>
      <c r="A757" s="127">
        <v>18</v>
      </c>
      <c r="B757" s="533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>
      <c r="A758" s="127">
        <v>18</v>
      </c>
      <c r="B758" s="533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>
      <c r="A759" s="127">
        <v>18</v>
      </c>
      <c r="B759" s="534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>
      <c r="A761" s="127">
        <v>19</v>
      </c>
      <c r="B761" s="532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>
      <c r="A762" s="127">
        <v>19</v>
      </c>
      <c r="B762" s="533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>
      <c r="A763" s="127">
        <v>19</v>
      </c>
      <c r="B763" s="533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>
      <c r="A764" s="127">
        <v>20</v>
      </c>
      <c r="B764" s="533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>
      <c r="A765" s="127">
        <v>20</v>
      </c>
      <c r="B765" s="533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>
      <c r="A766" s="127">
        <v>20</v>
      </c>
      <c r="B766" s="533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>
      <c r="A767" s="127">
        <v>20</v>
      </c>
      <c r="B767" s="533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>
      <c r="A768" s="127">
        <v>20</v>
      </c>
      <c r="B768" s="533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>
      <c r="A769" s="127">
        <v>20</v>
      </c>
      <c r="B769" s="533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>
      <c r="A770" s="244">
        <v>20</v>
      </c>
      <c r="B770" s="534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>
      <c r="A771" s="127">
        <v>21</v>
      </c>
      <c r="B771" s="532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>
      <c r="A772" s="127">
        <v>21</v>
      </c>
      <c r="B772" s="533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>
      <c r="A773" s="127">
        <v>21</v>
      </c>
      <c r="B773" s="534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>
      <c r="A774" s="400">
        <v>21</v>
      </c>
      <c r="B774" s="532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>
      <c r="A775" s="400">
        <v>21</v>
      </c>
      <c r="B775" s="533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>
      <c r="A776" s="127">
        <v>21</v>
      </c>
      <c r="B776" s="534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>
      <c r="A777" s="127">
        <v>22</v>
      </c>
      <c r="B777" s="532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>
      <c r="A778" s="127">
        <v>22</v>
      </c>
      <c r="B778" s="533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>
      <c r="A779" s="127">
        <v>22</v>
      </c>
      <c r="B779" s="533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>
      <c r="A780" s="127">
        <v>22</v>
      </c>
      <c r="B780" s="534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>
      <c r="A782" s="127">
        <v>23</v>
      </c>
      <c r="B782" s="532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>
      <c r="A783" s="127">
        <v>23</v>
      </c>
      <c r="B783" s="533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>
      <c r="A784" s="127">
        <v>23</v>
      </c>
      <c r="B784" s="533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>
      <c r="A785" s="127">
        <v>23</v>
      </c>
      <c r="B785" s="534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>
      <c r="A786" s="127">
        <v>23</v>
      </c>
      <c r="B786" s="532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>
      <c r="A787" s="127">
        <v>23</v>
      </c>
      <c r="B787" s="534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>
      <c r="A788" s="127">
        <v>24</v>
      </c>
      <c r="B788" s="532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>
      <c r="A789" s="127">
        <v>24</v>
      </c>
      <c r="B789" s="533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>
      <c r="A790" s="127">
        <v>24</v>
      </c>
      <c r="B790" s="533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>
      <c r="A791" s="127">
        <v>24</v>
      </c>
      <c r="B791" s="534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>
      <c r="A792" s="127">
        <v>24</v>
      </c>
      <c r="B792" s="532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>
      <c r="A793" s="127">
        <v>24</v>
      </c>
      <c r="B793" s="534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>
      <c r="A794" s="127">
        <v>25</v>
      </c>
      <c r="B794" s="557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>
      <c r="A795" s="127">
        <v>25</v>
      </c>
      <c r="B795" s="558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>
      <c r="A796" s="127">
        <v>25</v>
      </c>
      <c r="B796" s="559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>
      <c r="A798" s="127">
        <v>26</v>
      </c>
      <c r="B798" s="532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>
      <c r="A799" s="127">
        <v>26</v>
      </c>
      <c r="B799" s="533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>
      <c r="A800" s="127">
        <v>26</v>
      </c>
      <c r="B800" s="533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>
      <c r="A801" s="127">
        <v>26</v>
      </c>
      <c r="B801" s="533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>
      <c r="A802" s="127">
        <v>26</v>
      </c>
      <c r="B802" s="534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>
      <c r="A803" s="127">
        <v>26</v>
      </c>
      <c r="B803" s="532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>
      <c r="A804" s="127">
        <v>26</v>
      </c>
      <c r="B804" s="533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>
      <c r="A805" s="127">
        <v>26</v>
      </c>
      <c r="B805" s="533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>
      <c r="A806" s="127">
        <v>26</v>
      </c>
      <c r="B806" s="534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>
      <c r="A807" s="127">
        <v>27</v>
      </c>
      <c r="B807" s="532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>
      <c r="A808" s="127">
        <v>27</v>
      </c>
      <c r="B808" s="533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>
      <c r="A809" s="127">
        <v>27</v>
      </c>
      <c r="B809" s="534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>
      <c r="A810" s="127">
        <v>27</v>
      </c>
      <c r="B810" s="532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>
      <c r="A811" s="127">
        <v>27</v>
      </c>
      <c r="B811" s="533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>
      <c r="A812" s="127">
        <v>27</v>
      </c>
      <c r="B812" s="533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>
      <c r="A813" s="127">
        <v>27</v>
      </c>
      <c r="B813" s="534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>
      <c r="A814" s="127">
        <v>27</v>
      </c>
      <c r="B814" s="532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>
      <c r="A815" s="127">
        <v>27</v>
      </c>
      <c r="B815" s="533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>
      <c r="A816" s="127">
        <v>27</v>
      </c>
      <c r="B816" s="533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>
      <c r="A817" s="127">
        <v>27</v>
      </c>
      <c r="B817" s="533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>
      <c r="A818" s="127">
        <v>27</v>
      </c>
      <c r="B818" s="533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>
      <c r="A819" s="127">
        <v>27</v>
      </c>
      <c r="B819" s="534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>
      <c r="A820" s="410">
        <v>28</v>
      </c>
      <c r="B820" s="532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>
      <c r="A821" s="127">
        <v>28</v>
      </c>
      <c r="B821" s="533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>
      <c r="A822" s="127">
        <v>28</v>
      </c>
      <c r="B822" s="533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>
      <c r="A823" s="127">
        <v>28</v>
      </c>
      <c r="B823" s="533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>
      <c r="A824" s="127">
        <v>28</v>
      </c>
      <c r="B824" s="533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>
      <c r="A825" s="127">
        <v>28</v>
      </c>
      <c r="B825" s="533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>
      <c r="A826" s="127">
        <v>28</v>
      </c>
      <c r="B826" s="533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>
      <c r="A827" s="127">
        <v>28</v>
      </c>
      <c r="B827" s="533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>
      <c r="A828" s="127">
        <v>28</v>
      </c>
      <c r="B828" s="534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>
      <c r="A829" s="127">
        <v>28</v>
      </c>
      <c r="B829" s="532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>
      <c r="A830" s="127">
        <v>28</v>
      </c>
      <c r="B830" s="533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>
      <c r="A831" s="127">
        <v>28</v>
      </c>
      <c r="B831" s="533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>
      <c r="A832" s="127">
        <v>28</v>
      </c>
      <c r="B832" s="533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>
      <c r="A833" s="127">
        <v>28</v>
      </c>
      <c r="B833" s="533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>
      <c r="A834" s="127">
        <v>28</v>
      </c>
      <c r="B834" s="534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>
      <c r="A835" s="127">
        <v>29</v>
      </c>
      <c r="B835" s="532" t="s">
        <v>3138</v>
      </c>
      <c r="C835" s="152" t="s">
        <v>3120</v>
      </c>
      <c r="D835" s="548" t="s">
        <v>307</v>
      </c>
      <c r="E835" s="548" t="s">
        <v>323</v>
      </c>
      <c r="F835" s="548" t="s">
        <v>308</v>
      </c>
      <c r="G835" s="553" t="s">
        <v>3088</v>
      </c>
      <c r="H835" s="548" t="s">
        <v>2000</v>
      </c>
      <c r="I835" s="553" t="s">
        <v>3089</v>
      </c>
      <c r="J835" s="548" t="s">
        <v>665</v>
      </c>
      <c r="K835" s="152" t="s">
        <v>3122</v>
      </c>
      <c r="L835" s="548"/>
      <c r="M835" s="655" t="s">
        <v>3123</v>
      </c>
      <c r="N835" s="152" t="s">
        <v>3124</v>
      </c>
    </row>
    <row r="836" spans="1:14" hidden="1">
      <c r="A836" s="127">
        <v>29</v>
      </c>
      <c r="B836" s="533"/>
      <c r="C836" s="152" t="s">
        <v>3121</v>
      </c>
      <c r="D836" s="613"/>
      <c r="E836" s="613"/>
      <c r="F836" s="613"/>
      <c r="G836" s="654"/>
      <c r="H836" s="613"/>
      <c r="I836" s="654"/>
      <c r="J836" s="613"/>
      <c r="K836" s="152" t="s">
        <v>708</v>
      </c>
      <c r="L836" s="613"/>
      <c r="M836" s="656"/>
      <c r="N836" s="152"/>
    </row>
    <row r="837" spans="1:14" hidden="1">
      <c r="A837" s="127">
        <v>29</v>
      </c>
      <c r="B837" s="533"/>
      <c r="C837" s="152"/>
      <c r="D837" s="549"/>
      <c r="E837" s="549"/>
      <c r="F837" s="549"/>
      <c r="G837" s="554"/>
      <c r="H837" s="549"/>
      <c r="I837" s="554"/>
      <c r="J837" s="549"/>
      <c r="K837" s="152"/>
      <c r="L837" s="549"/>
      <c r="M837" s="657"/>
      <c r="N837" s="152" t="s">
        <v>3125</v>
      </c>
    </row>
    <row r="838" spans="1:14" hidden="1">
      <c r="A838" s="127">
        <v>29</v>
      </c>
      <c r="B838" s="533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>
      <c r="A839" s="127">
        <v>29</v>
      </c>
      <c r="B839" s="534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>
      <c r="A840" s="127">
        <v>29</v>
      </c>
      <c r="B840" s="532" t="s">
        <v>21</v>
      </c>
      <c r="C840" s="115" t="s">
        <v>3128</v>
      </c>
      <c r="D840" s="548" t="s">
        <v>312</v>
      </c>
      <c r="E840" s="548" t="s">
        <v>321</v>
      </c>
      <c r="F840" s="553" t="s">
        <v>2610</v>
      </c>
      <c r="G840" s="553" t="s">
        <v>3096</v>
      </c>
      <c r="H840" s="553" t="s">
        <v>3097</v>
      </c>
      <c r="I840" s="553" t="s">
        <v>3098</v>
      </c>
      <c r="J840" s="553" t="s">
        <v>703</v>
      </c>
      <c r="K840" s="553" t="s">
        <v>3099</v>
      </c>
      <c r="L840" s="548" t="s">
        <v>310</v>
      </c>
      <c r="M840" s="655" t="s">
        <v>1823</v>
      </c>
      <c r="N840" s="548" t="s">
        <v>3129</v>
      </c>
    </row>
    <row r="841" spans="1:14" hidden="1">
      <c r="A841" s="127">
        <v>29</v>
      </c>
      <c r="B841" s="533"/>
      <c r="C841" s="115" t="s">
        <v>3102</v>
      </c>
      <c r="D841" s="549"/>
      <c r="E841" s="549"/>
      <c r="F841" s="554"/>
      <c r="G841" s="554"/>
      <c r="H841" s="554"/>
      <c r="I841" s="554"/>
      <c r="J841" s="554"/>
      <c r="K841" s="554"/>
      <c r="L841" s="549"/>
      <c r="M841" s="657"/>
      <c r="N841" s="549"/>
    </row>
    <row r="842" spans="1:14" hidden="1">
      <c r="A842" s="127">
        <v>29</v>
      </c>
      <c r="B842" s="533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>
      <c r="A843" s="127">
        <v>29</v>
      </c>
      <c r="B843" s="533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>
      <c r="A844" s="127">
        <v>29</v>
      </c>
      <c r="B844" s="533"/>
      <c r="C844" s="115" t="s">
        <v>3120</v>
      </c>
      <c r="D844" s="548" t="s">
        <v>312</v>
      </c>
      <c r="E844" s="548" t="s">
        <v>321</v>
      </c>
      <c r="F844" s="553" t="s">
        <v>3105</v>
      </c>
      <c r="G844" s="553" t="s">
        <v>1926</v>
      </c>
      <c r="H844" s="553" t="s">
        <v>3106</v>
      </c>
      <c r="I844" s="153" t="s">
        <v>3131</v>
      </c>
      <c r="J844" s="553"/>
      <c r="K844" s="553" t="s">
        <v>3107</v>
      </c>
      <c r="L844" s="548" t="s">
        <v>310</v>
      </c>
      <c r="M844" s="553" t="s">
        <v>3133</v>
      </c>
      <c r="N844" s="548" t="s">
        <v>1208</v>
      </c>
    </row>
    <row r="845" spans="1:14" hidden="1">
      <c r="A845" s="127">
        <v>29</v>
      </c>
      <c r="B845" s="533"/>
      <c r="C845" s="115" t="s">
        <v>3130</v>
      </c>
      <c r="D845" s="549"/>
      <c r="E845" s="549"/>
      <c r="F845" s="554"/>
      <c r="G845" s="554"/>
      <c r="H845" s="554"/>
      <c r="I845" s="153" t="s">
        <v>3132</v>
      </c>
      <c r="J845" s="554"/>
      <c r="K845" s="554"/>
      <c r="L845" s="549"/>
      <c r="M845" s="554"/>
      <c r="N845" s="549"/>
    </row>
    <row r="846" spans="1:14" hidden="1">
      <c r="A846" s="127">
        <v>29</v>
      </c>
      <c r="B846" s="533"/>
      <c r="C846" s="115" t="s">
        <v>3120</v>
      </c>
      <c r="D846" s="548" t="s">
        <v>312</v>
      </c>
      <c r="E846" s="548" t="s">
        <v>321</v>
      </c>
      <c r="F846" s="553" t="s">
        <v>2610</v>
      </c>
      <c r="G846" s="553" t="s">
        <v>3096</v>
      </c>
      <c r="H846" s="553" t="s">
        <v>3097</v>
      </c>
      <c r="I846" s="553" t="s">
        <v>3108</v>
      </c>
      <c r="J846" s="553" t="s">
        <v>703</v>
      </c>
      <c r="K846" s="553" t="s">
        <v>1055</v>
      </c>
      <c r="L846" s="548" t="s">
        <v>310</v>
      </c>
      <c r="M846" s="655" t="s">
        <v>3135</v>
      </c>
      <c r="N846" s="548" t="s">
        <v>3136</v>
      </c>
    </row>
    <row r="847" spans="1:14" hidden="1">
      <c r="A847" s="127">
        <v>29</v>
      </c>
      <c r="B847" s="533"/>
      <c r="C847" s="115"/>
      <c r="D847" s="613"/>
      <c r="E847" s="613"/>
      <c r="F847" s="654"/>
      <c r="G847" s="654"/>
      <c r="H847" s="654"/>
      <c r="I847" s="654"/>
      <c r="J847" s="654"/>
      <c r="K847" s="654"/>
      <c r="L847" s="613"/>
      <c r="M847" s="656"/>
      <c r="N847" s="613"/>
    </row>
    <row r="848" spans="1:14" hidden="1">
      <c r="A848" s="127">
        <v>29</v>
      </c>
      <c r="B848" s="533"/>
      <c r="C848" s="115" t="s">
        <v>3134</v>
      </c>
      <c r="D848" s="549"/>
      <c r="E848" s="549"/>
      <c r="F848" s="554"/>
      <c r="G848" s="554"/>
      <c r="H848" s="554"/>
      <c r="I848" s="554"/>
      <c r="J848" s="554"/>
      <c r="K848" s="554"/>
      <c r="L848" s="549"/>
      <c r="M848" s="657"/>
      <c r="N848" s="549"/>
    </row>
    <row r="849" spans="1:14" hidden="1">
      <c r="A849" s="127">
        <v>29</v>
      </c>
      <c r="B849" s="533"/>
      <c r="C849" s="115" t="s">
        <v>3137</v>
      </c>
      <c r="D849" s="548" t="s">
        <v>312</v>
      </c>
      <c r="E849" s="548" t="s">
        <v>321</v>
      </c>
      <c r="F849" s="553" t="s">
        <v>338</v>
      </c>
      <c r="G849" s="553" t="s">
        <v>3109</v>
      </c>
      <c r="H849" s="553" t="s">
        <v>355</v>
      </c>
      <c r="I849" s="553" t="s">
        <v>311</v>
      </c>
      <c r="J849" s="553" t="s">
        <v>639</v>
      </c>
      <c r="K849" s="553" t="s">
        <v>3110</v>
      </c>
      <c r="L849" s="548" t="s">
        <v>310</v>
      </c>
      <c r="M849" s="655" t="s">
        <v>1823</v>
      </c>
      <c r="N849" s="548" t="s">
        <v>3136</v>
      </c>
    </row>
    <row r="850" spans="1:14" hidden="1">
      <c r="A850" s="127">
        <v>29</v>
      </c>
      <c r="B850" s="534"/>
      <c r="C850" s="115" t="s">
        <v>3130</v>
      </c>
      <c r="D850" s="549"/>
      <c r="E850" s="549"/>
      <c r="F850" s="554"/>
      <c r="G850" s="554"/>
      <c r="H850" s="554"/>
      <c r="I850" s="554"/>
      <c r="J850" s="554"/>
      <c r="K850" s="554"/>
      <c r="L850" s="549"/>
      <c r="M850" s="657"/>
      <c r="N850" s="549"/>
    </row>
    <row r="851" spans="1:14" hidden="1">
      <c r="A851" s="127">
        <v>30</v>
      </c>
      <c r="B851" s="660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>
      <c r="A852" s="127">
        <v>30</v>
      </c>
      <c r="B852" s="661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>
      <c r="A853" s="127">
        <v>30</v>
      </c>
      <c r="B853" s="661"/>
      <c r="C853" s="152" t="s">
        <v>3147</v>
      </c>
      <c r="D853" s="548" t="s">
        <v>307</v>
      </c>
      <c r="E853" s="548" t="s">
        <v>323</v>
      </c>
      <c r="F853" s="548" t="s">
        <v>308</v>
      </c>
      <c r="G853" s="553" t="s">
        <v>3088</v>
      </c>
      <c r="H853" s="548" t="s">
        <v>2000</v>
      </c>
      <c r="I853" s="553" t="s">
        <v>3149</v>
      </c>
      <c r="J853" s="548" t="s">
        <v>665</v>
      </c>
      <c r="K853" s="152" t="s">
        <v>3150</v>
      </c>
      <c r="L853" s="548"/>
      <c r="M853" s="548" t="s">
        <v>3151</v>
      </c>
      <c r="N853" s="548" t="s">
        <v>666</v>
      </c>
    </row>
    <row r="854" spans="1:14" hidden="1">
      <c r="A854" s="127">
        <v>30</v>
      </c>
      <c r="B854" s="661"/>
      <c r="C854" s="152" t="s">
        <v>3148</v>
      </c>
      <c r="D854" s="549"/>
      <c r="E854" s="549"/>
      <c r="F854" s="549"/>
      <c r="G854" s="554"/>
      <c r="H854" s="549"/>
      <c r="I854" s="554"/>
      <c r="J854" s="549"/>
      <c r="K854" s="152" t="s">
        <v>656</v>
      </c>
      <c r="L854" s="549"/>
      <c r="M854" s="549"/>
      <c r="N854" s="549"/>
    </row>
    <row r="855" spans="1:14" hidden="1">
      <c r="A855" s="127">
        <v>30</v>
      </c>
      <c r="B855" s="662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>
      <c r="A856" s="127">
        <v>30</v>
      </c>
      <c r="B856" s="532" t="s">
        <v>3157</v>
      </c>
      <c r="C856" s="658" t="s">
        <v>3158</v>
      </c>
      <c r="D856" s="548" t="s">
        <v>312</v>
      </c>
      <c r="E856" s="548" t="s">
        <v>321</v>
      </c>
      <c r="F856" s="553" t="s">
        <v>2610</v>
      </c>
      <c r="G856" s="553" t="s">
        <v>2758</v>
      </c>
      <c r="H856" s="553" t="s">
        <v>348</v>
      </c>
      <c r="I856" s="553" t="s">
        <v>3159</v>
      </c>
      <c r="J856" s="553" t="s">
        <v>639</v>
      </c>
      <c r="K856" s="553" t="s">
        <v>699</v>
      </c>
      <c r="L856" s="548" t="s">
        <v>310</v>
      </c>
      <c r="M856" s="548" t="s">
        <v>1817</v>
      </c>
      <c r="N856" s="152" t="s">
        <v>3160</v>
      </c>
    </row>
    <row r="857" spans="1:14" hidden="1">
      <c r="A857" s="127">
        <v>30</v>
      </c>
      <c r="B857" s="533"/>
      <c r="C857" s="659"/>
      <c r="D857" s="549"/>
      <c r="E857" s="549"/>
      <c r="F857" s="554"/>
      <c r="G857" s="554"/>
      <c r="H857" s="554"/>
      <c r="I857" s="554"/>
      <c r="J857" s="554"/>
      <c r="K857" s="554"/>
      <c r="L857" s="549"/>
      <c r="M857" s="549"/>
      <c r="N857" s="152" t="s">
        <v>3161</v>
      </c>
    </row>
    <row r="858" spans="1:14" ht="16.5" hidden="1" customHeight="1">
      <c r="A858" s="127">
        <v>30</v>
      </c>
      <c r="B858" s="533"/>
      <c r="C858" s="658" t="s">
        <v>3158</v>
      </c>
      <c r="D858" s="548" t="s">
        <v>312</v>
      </c>
      <c r="E858" s="548" t="s">
        <v>321</v>
      </c>
      <c r="F858" s="553" t="s">
        <v>710</v>
      </c>
      <c r="G858" s="153" t="s">
        <v>3162</v>
      </c>
      <c r="H858" s="553" t="s">
        <v>641</v>
      </c>
      <c r="I858" s="553" t="s">
        <v>3163</v>
      </c>
      <c r="J858" s="553"/>
      <c r="K858" s="553" t="s">
        <v>693</v>
      </c>
      <c r="L858" s="548" t="s">
        <v>310</v>
      </c>
      <c r="M858" s="548" t="s">
        <v>1538</v>
      </c>
      <c r="N858" s="548" t="s">
        <v>1779</v>
      </c>
    </row>
    <row r="859" spans="1:14" hidden="1">
      <c r="A859" s="127">
        <v>30</v>
      </c>
      <c r="B859" s="533"/>
      <c r="C859" s="659"/>
      <c r="D859" s="549"/>
      <c r="E859" s="549"/>
      <c r="F859" s="554"/>
      <c r="G859" s="153">
        <v>2651</v>
      </c>
      <c r="H859" s="554"/>
      <c r="I859" s="554"/>
      <c r="J859" s="554"/>
      <c r="K859" s="554"/>
      <c r="L859" s="549"/>
      <c r="M859" s="549"/>
      <c r="N859" s="549"/>
    </row>
    <row r="860" spans="1:14" hidden="1">
      <c r="A860" s="127">
        <v>30</v>
      </c>
      <c r="B860" s="533"/>
      <c r="C860" s="658" t="s">
        <v>3164</v>
      </c>
      <c r="D860" s="548" t="s">
        <v>312</v>
      </c>
      <c r="E860" s="548" t="s">
        <v>321</v>
      </c>
      <c r="F860" s="553" t="s">
        <v>721</v>
      </c>
      <c r="G860" s="553" t="s">
        <v>1763</v>
      </c>
      <c r="H860" s="553" t="s">
        <v>348</v>
      </c>
      <c r="I860" s="153" t="s">
        <v>3165</v>
      </c>
      <c r="J860" s="553"/>
      <c r="K860" s="553" t="s">
        <v>3167</v>
      </c>
      <c r="L860" s="548" t="s">
        <v>310</v>
      </c>
      <c r="M860" s="548" t="s">
        <v>1940</v>
      </c>
      <c r="N860" s="548" t="s">
        <v>1208</v>
      </c>
    </row>
    <row r="861" spans="1:14" hidden="1">
      <c r="A861" s="127">
        <v>30</v>
      </c>
      <c r="B861" s="533"/>
      <c r="C861" s="659"/>
      <c r="D861" s="549"/>
      <c r="E861" s="549"/>
      <c r="F861" s="554"/>
      <c r="G861" s="554"/>
      <c r="H861" s="554"/>
      <c r="I861" s="153" t="s">
        <v>3166</v>
      </c>
      <c r="J861" s="554"/>
      <c r="K861" s="554"/>
      <c r="L861" s="549"/>
      <c r="M861" s="549"/>
      <c r="N861" s="549"/>
    </row>
    <row r="862" spans="1:14" hidden="1">
      <c r="A862" s="127">
        <v>30</v>
      </c>
      <c r="B862" s="533"/>
      <c r="C862" s="115" t="s">
        <v>3168</v>
      </c>
      <c r="D862" s="548" t="s">
        <v>312</v>
      </c>
      <c r="E862" s="548" t="s">
        <v>321</v>
      </c>
      <c r="F862" s="553" t="s">
        <v>691</v>
      </c>
      <c r="G862" s="553" t="s">
        <v>3103</v>
      </c>
      <c r="H862" s="553" t="s">
        <v>355</v>
      </c>
      <c r="I862" s="553" t="s">
        <v>3170</v>
      </c>
      <c r="J862" s="553" t="s">
        <v>639</v>
      </c>
      <c r="K862" s="553" t="s">
        <v>656</v>
      </c>
      <c r="L862" s="548" t="s">
        <v>310</v>
      </c>
      <c r="M862" s="548" t="s">
        <v>1538</v>
      </c>
      <c r="N862" s="548" t="s">
        <v>1208</v>
      </c>
    </row>
    <row r="863" spans="1:14" hidden="1">
      <c r="A863" s="127">
        <v>30</v>
      </c>
      <c r="B863" s="533"/>
      <c r="C863" s="115" t="s">
        <v>3169</v>
      </c>
      <c r="D863" s="549"/>
      <c r="E863" s="549"/>
      <c r="F863" s="554"/>
      <c r="G863" s="554"/>
      <c r="H863" s="554"/>
      <c r="I863" s="554"/>
      <c r="J863" s="554"/>
      <c r="K863" s="554"/>
      <c r="L863" s="549"/>
      <c r="M863" s="549"/>
      <c r="N863" s="549"/>
    </row>
    <row r="864" spans="1:14" hidden="1">
      <c r="A864" s="127">
        <v>30</v>
      </c>
      <c r="B864" s="533"/>
      <c r="C864" s="115" t="s">
        <v>3171</v>
      </c>
      <c r="D864" s="548" t="s">
        <v>312</v>
      </c>
      <c r="E864" s="548" t="s">
        <v>321</v>
      </c>
      <c r="F864" s="553" t="s">
        <v>338</v>
      </c>
      <c r="G864" s="553" t="s">
        <v>3109</v>
      </c>
      <c r="H864" s="553" t="s">
        <v>355</v>
      </c>
      <c r="I864" s="553" t="s">
        <v>3172</v>
      </c>
      <c r="J864" s="553" t="s">
        <v>639</v>
      </c>
      <c r="K864" s="553" t="s">
        <v>714</v>
      </c>
      <c r="L864" s="548" t="s">
        <v>310</v>
      </c>
      <c r="M864" s="548" t="s">
        <v>1817</v>
      </c>
      <c r="N864" s="548" t="s">
        <v>1208</v>
      </c>
    </row>
    <row r="865" spans="1:14" hidden="1">
      <c r="A865" s="127">
        <v>30</v>
      </c>
      <c r="B865" s="533"/>
      <c r="C865" s="115" t="s">
        <v>3148</v>
      </c>
      <c r="D865" s="549"/>
      <c r="E865" s="549"/>
      <c r="F865" s="554"/>
      <c r="G865" s="554"/>
      <c r="H865" s="554"/>
      <c r="I865" s="554"/>
      <c r="J865" s="554"/>
      <c r="K865" s="554"/>
      <c r="L865" s="549"/>
      <c r="M865" s="549"/>
      <c r="N865" s="549"/>
    </row>
    <row r="866" spans="1:14" ht="25.5" hidden="1">
      <c r="A866" s="127">
        <v>30</v>
      </c>
      <c r="B866" s="533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>
      <c r="A867" s="127">
        <v>30</v>
      </c>
      <c r="B867" s="533"/>
      <c r="C867" s="658" t="s">
        <v>3152</v>
      </c>
      <c r="D867" s="548" t="s">
        <v>312</v>
      </c>
      <c r="E867" s="548" t="s">
        <v>676</v>
      </c>
      <c r="F867" s="553" t="s">
        <v>661</v>
      </c>
      <c r="G867" s="553" t="s">
        <v>662</v>
      </c>
      <c r="H867" s="553" t="s">
        <v>663</v>
      </c>
      <c r="I867" s="153" t="s">
        <v>3175</v>
      </c>
      <c r="J867" s="553" t="s">
        <v>639</v>
      </c>
      <c r="K867" s="553" t="s">
        <v>732</v>
      </c>
      <c r="L867" s="548" t="s">
        <v>310</v>
      </c>
      <c r="M867" s="548" t="s">
        <v>1835</v>
      </c>
      <c r="N867" s="548" t="s">
        <v>3177</v>
      </c>
    </row>
    <row r="868" spans="1:14" hidden="1">
      <c r="A868" s="127">
        <v>30</v>
      </c>
      <c r="B868" s="534"/>
      <c r="C868" s="659"/>
      <c r="D868" s="549"/>
      <c r="E868" s="549"/>
      <c r="F868" s="554"/>
      <c r="G868" s="554"/>
      <c r="H868" s="554"/>
      <c r="I868" s="153" t="s">
        <v>3176</v>
      </c>
      <c r="J868" s="554"/>
      <c r="K868" s="554"/>
      <c r="L868" s="549"/>
      <c r="M868" s="549"/>
      <c r="N868" s="549"/>
    </row>
    <row r="869" spans="1:14" ht="25.5" hidden="1">
      <c r="A869" s="127">
        <v>31</v>
      </c>
      <c r="B869" s="532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>
      <c r="A870" s="127">
        <v>31</v>
      </c>
      <c r="B870" s="533"/>
      <c r="C870" s="152" t="s">
        <v>3181</v>
      </c>
      <c r="D870" s="548" t="s">
        <v>307</v>
      </c>
      <c r="E870" s="548" t="s">
        <v>323</v>
      </c>
      <c r="F870" s="548" t="s">
        <v>308</v>
      </c>
      <c r="G870" s="553">
        <v>1566</v>
      </c>
      <c r="H870" s="548" t="s">
        <v>1918</v>
      </c>
      <c r="I870" s="553" t="s">
        <v>3183</v>
      </c>
      <c r="J870" s="548" t="s">
        <v>665</v>
      </c>
      <c r="K870" s="548" t="s">
        <v>3184</v>
      </c>
      <c r="L870" s="548"/>
      <c r="M870" s="548" t="s">
        <v>3185</v>
      </c>
      <c r="N870" s="548" t="s">
        <v>666</v>
      </c>
    </row>
    <row r="871" spans="1:14" hidden="1">
      <c r="A871" s="127">
        <v>31</v>
      </c>
      <c r="B871" s="533"/>
      <c r="C871" s="152" t="s">
        <v>3182</v>
      </c>
      <c r="D871" s="549"/>
      <c r="E871" s="549"/>
      <c r="F871" s="549"/>
      <c r="G871" s="554"/>
      <c r="H871" s="549"/>
      <c r="I871" s="554"/>
      <c r="J871" s="549"/>
      <c r="K871" s="549"/>
      <c r="L871" s="549"/>
      <c r="M871" s="549"/>
      <c r="N871" s="549"/>
    </row>
    <row r="872" spans="1:14" ht="25.5" hidden="1">
      <c r="A872" s="127">
        <v>31</v>
      </c>
      <c r="B872" s="533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>
      <c r="A873" s="127">
        <v>31</v>
      </c>
      <c r="B873" s="533"/>
      <c r="C873" s="412" t="s">
        <v>3181</v>
      </c>
      <c r="D873" s="548" t="s">
        <v>307</v>
      </c>
      <c r="E873" s="548" t="s">
        <v>323</v>
      </c>
      <c r="F873" s="548" t="s">
        <v>308</v>
      </c>
      <c r="G873" s="553" t="s">
        <v>3188</v>
      </c>
      <c r="H873" s="548" t="s">
        <v>3189</v>
      </c>
      <c r="I873" s="553" t="s">
        <v>333</v>
      </c>
      <c r="J873" s="548" t="s">
        <v>1537</v>
      </c>
      <c r="K873" s="548" t="s">
        <v>1159</v>
      </c>
      <c r="L873" s="548"/>
      <c r="M873" s="548" t="s">
        <v>3190</v>
      </c>
      <c r="N873" s="548" t="s">
        <v>426</v>
      </c>
    </row>
    <row r="874" spans="1:14" hidden="1">
      <c r="A874" s="127">
        <v>31</v>
      </c>
      <c r="B874" s="534"/>
      <c r="C874" s="412" t="s">
        <v>3187</v>
      </c>
      <c r="D874" s="549"/>
      <c r="E874" s="549"/>
      <c r="F874" s="549"/>
      <c r="G874" s="554"/>
      <c r="H874" s="549"/>
      <c r="I874" s="554"/>
      <c r="J874" s="549"/>
      <c r="K874" s="549"/>
      <c r="L874" s="549"/>
      <c r="M874" s="549"/>
      <c r="N874" s="549"/>
    </row>
    <row r="875" spans="1:14" ht="25.5" hidden="1">
      <c r="A875" s="127">
        <v>31</v>
      </c>
      <c r="B875" s="532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>
      <c r="A876" s="127">
        <v>31</v>
      </c>
      <c r="B876" s="533"/>
      <c r="C876" s="548" t="s">
        <v>3169</v>
      </c>
      <c r="D876" s="548" t="s">
        <v>312</v>
      </c>
      <c r="E876" s="548" t="s">
        <v>676</v>
      </c>
      <c r="F876" s="553" t="s">
        <v>661</v>
      </c>
      <c r="G876" s="553" t="s">
        <v>662</v>
      </c>
      <c r="H876" s="553" t="s">
        <v>663</v>
      </c>
      <c r="I876" s="153" t="s">
        <v>3175</v>
      </c>
      <c r="J876" s="553"/>
      <c r="K876" s="553" t="s">
        <v>699</v>
      </c>
      <c r="L876" s="548" t="s">
        <v>310</v>
      </c>
      <c r="M876" s="548" t="s">
        <v>3180</v>
      </c>
      <c r="N876" s="548" t="s">
        <v>3193</v>
      </c>
    </row>
    <row r="877" spans="1:14" hidden="1">
      <c r="A877" s="127">
        <v>31</v>
      </c>
      <c r="B877" s="533"/>
      <c r="C877" s="549"/>
      <c r="D877" s="549"/>
      <c r="E877" s="549"/>
      <c r="F877" s="554"/>
      <c r="G877" s="554"/>
      <c r="H877" s="554"/>
      <c r="I877" s="153" t="s">
        <v>3176</v>
      </c>
      <c r="J877" s="554"/>
      <c r="K877" s="554"/>
      <c r="L877" s="549"/>
      <c r="M877" s="549"/>
      <c r="N877" s="549"/>
    </row>
    <row r="878" spans="1:14" ht="16.5" hidden="1" customHeight="1">
      <c r="A878" s="127">
        <v>31</v>
      </c>
      <c r="B878" s="533"/>
      <c r="C878" s="152" t="s">
        <v>3194</v>
      </c>
      <c r="D878" s="548" t="s">
        <v>312</v>
      </c>
      <c r="E878" s="548" t="s">
        <v>321</v>
      </c>
      <c r="F878" s="553" t="s">
        <v>3105</v>
      </c>
      <c r="G878" s="553" t="s">
        <v>1926</v>
      </c>
      <c r="H878" s="553" t="s">
        <v>3106</v>
      </c>
      <c r="I878" s="553" t="s">
        <v>3195</v>
      </c>
      <c r="J878" s="553"/>
      <c r="K878" s="553" t="s">
        <v>3196</v>
      </c>
      <c r="L878" s="548" t="s">
        <v>310</v>
      </c>
      <c r="M878" s="548" t="s">
        <v>3197</v>
      </c>
      <c r="N878" s="548" t="s">
        <v>3192</v>
      </c>
    </row>
    <row r="879" spans="1:14" hidden="1">
      <c r="A879" s="127">
        <v>31</v>
      </c>
      <c r="B879" s="533"/>
      <c r="C879" s="152" t="s">
        <v>3152</v>
      </c>
      <c r="D879" s="549"/>
      <c r="E879" s="549"/>
      <c r="F879" s="554"/>
      <c r="G879" s="554"/>
      <c r="H879" s="554"/>
      <c r="I879" s="554"/>
      <c r="J879" s="554"/>
      <c r="K879" s="554"/>
      <c r="L879" s="549"/>
      <c r="M879" s="549"/>
      <c r="N879" s="549"/>
    </row>
    <row r="880" spans="1:14" ht="25.5" hidden="1">
      <c r="A880" s="127">
        <v>31</v>
      </c>
      <c r="B880" s="533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>
      <c r="A881" s="127">
        <v>31</v>
      </c>
      <c r="B881" s="533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>
      <c r="A882" s="127">
        <v>31</v>
      </c>
      <c r="B882" s="533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>
      <c r="A883" s="127">
        <v>31</v>
      </c>
      <c r="B883" s="533"/>
      <c r="C883" s="115" t="s">
        <v>3207</v>
      </c>
      <c r="D883" s="548" t="s">
        <v>312</v>
      </c>
      <c r="E883" s="548" t="s">
        <v>321</v>
      </c>
      <c r="F883" s="553" t="s">
        <v>338</v>
      </c>
      <c r="G883" s="553" t="s">
        <v>3209</v>
      </c>
      <c r="H883" s="553" t="s">
        <v>3210</v>
      </c>
      <c r="I883" s="553" t="s">
        <v>3211</v>
      </c>
      <c r="J883" s="553" t="s">
        <v>3212</v>
      </c>
      <c r="K883" s="553" t="s">
        <v>3213</v>
      </c>
      <c r="L883" s="548" t="s">
        <v>310</v>
      </c>
      <c r="M883" s="548" t="s">
        <v>3214</v>
      </c>
      <c r="N883" s="548" t="s">
        <v>3177</v>
      </c>
    </row>
    <row r="884" spans="1:14" hidden="1">
      <c r="A884" s="127">
        <v>31</v>
      </c>
      <c r="B884" s="534"/>
      <c r="C884" s="115" t="s">
        <v>3208</v>
      </c>
      <c r="D884" s="549"/>
      <c r="E884" s="549"/>
      <c r="F884" s="554"/>
      <c r="G884" s="554"/>
      <c r="H884" s="554"/>
      <c r="I884" s="554"/>
      <c r="J884" s="554"/>
      <c r="K884" s="554"/>
      <c r="L884" s="549"/>
      <c r="M884" s="549"/>
      <c r="N884" s="549"/>
    </row>
    <row r="885" spans="1:14" ht="27" hidden="1">
      <c r="A885" s="127">
        <v>32</v>
      </c>
      <c r="B885" s="663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>
      <c r="A886" s="127">
        <v>32</v>
      </c>
      <c r="B886" s="664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>
      <c r="A887" s="127">
        <v>32</v>
      </c>
      <c r="B887" s="664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>
      <c r="A888" s="127">
        <v>32</v>
      </c>
      <c r="B888" s="665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>
      <c r="A889" s="127">
        <v>32</v>
      </c>
      <c r="B889" s="663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>
      <c r="A890" s="127">
        <v>32</v>
      </c>
      <c r="B890" s="664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>
      <c r="A891" s="127">
        <v>32</v>
      </c>
      <c r="B891" s="664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>
      <c r="A892" s="127">
        <v>32</v>
      </c>
      <c r="B892" s="665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>
      <c r="A893" s="127">
        <v>33</v>
      </c>
      <c r="B893" s="663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>
      <c r="A894" s="127">
        <v>33</v>
      </c>
      <c r="B894" s="664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>
      <c r="A895" s="127">
        <v>33</v>
      </c>
      <c r="B895" s="665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>
      <c r="A896" s="127">
        <v>33</v>
      </c>
      <c r="B896" s="663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>
      <c r="A897" s="127">
        <v>33</v>
      </c>
      <c r="B897" s="664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>
      <c r="A898" s="127">
        <v>33</v>
      </c>
      <c r="B898" s="665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>
      <c r="A899" s="127">
        <v>34</v>
      </c>
      <c r="B899" s="541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>
      <c r="A900" s="127">
        <v>34</v>
      </c>
      <c r="B900" s="542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>
      <c r="A901" s="127">
        <v>34</v>
      </c>
      <c r="B901" s="542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>
      <c r="A902" s="127">
        <v>34</v>
      </c>
      <c r="B902" s="543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>
      <c r="A903" s="127">
        <v>34</v>
      </c>
      <c r="B903" s="541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>
      <c r="A904" s="127">
        <v>34</v>
      </c>
      <c r="B904" s="542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>
      <c r="A905" s="127">
        <v>34</v>
      </c>
      <c r="B905" s="542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>
      <c r="A906" s="127">
        <v>34</v>
      </c>
      <c r="B906" s="542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>
      <c r="A907" s="127">
        <v>34</v>
      </c>
      <c r="B907" s="542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>
      <c r="A908" s="127">
        <v>34</v>
      </c>
      <c r="B908" s="542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>
      <c r="A909" s="127">
        <v>34</v>
      </c>
      <c r="B909" s="542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>
      <c r="A910" s="127">
        <v>34</v>
      </c>
      <c r="B910" s="543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>
      <c r="A911" s="127">
        <v>35</v>
      </c>
      <c r="B911" s="541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>
      <c r="A912" s="127">
        <v>35</v>
      </c>
      <c r="B912" s="542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>
      <c r="A913" s="127">
        <v>35</v>
      </c>
      <c r="B913" s="542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>
      <c r="A914" s="127">
        <v>35</v>
      </c>
      <c r="B914" s="542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>
      <c r="A915" s="127">
        <v>35</v>
      </c>
      <c r="B915" s="542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>
      <c r="A916" s="127">
        <v>35</v>
      </c>
      <c r="B916" s="543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>
      <c r="A917" s="127">
        <v>35</v>
      </c>
      <c r="B917" s="541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>
      <c r="A918" s="127">
        <v>35</v>
      </c>
      <c r="B918" s="542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>
      <c r="A919" s="127">
        <v>35</v>
      </c>
      <c r="B919" s="542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>
      <c r="A920" s="127">
        <v>35</v>
      </c>
      <c r="B920" s="542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>
      <c r="A921" s="127">
        <v>35</v>
      </c>
      <c r="B921" s="542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>
      <c r="A922" s="127">
        <v>35</v>
      </c>
      <c r="B922" s="542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>
      <c r="A923" s="127">
        <v>35</v>
      </c>
      <c r="B923" s="542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>
      <c r="A924" s="127">
        <v>35</v>
      </c>
      <c r="B924" s="542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>
      <c r="A925" s="127">
        <v>35</v>
      </c>
      <c r="B925" s="542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>
      <c r="A926" s="127">
        <v>35</v>
      </c>
      <c r="B926" s="543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>
      <c r="A927" s="127">
        <v>36</v>
      </c>
      <c r="B927" s="531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>
      <c r="A928" s="127">
        <v>36</v>
      </c>
      <c r="B928" s="531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>
      <c r="A929" s="127">
        <v>36</v>
      </c>
      <c r="B929" s="531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>
      <c r="A930" s="127">
        <v>36</v>
      </c>
      <c r="B930" s="531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>
      <c r="A931" s="127">
        <v>36</v>
      </c>
      <c r="B931" s="531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>
      <c r="A932" s="127">
        <v>36</v>
      </c>
      <c r="B932" s="531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>
      <c r="A933" s="127">
        <v>36</v>
      </c>
      <c r="B933" s="531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>
      <c r="A934" s="127">
        <v>36</v>
      </c>
      <c r="B934" s="531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>
      <c r="A935" s="127">
        <v>36</v>
      </c>
      <c r="B935" s="531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>
      <c r="A936" s="127">
        <v>36</v>
      </c>
      <c r="B936" s="531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>
      <c r="A937" s="127">
        <v>36</v>
      </c>
      <c r="B937" s="531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>
      <c r="A938" s="127">
        <v>36</v>
      </c>
      <c r="B938" s="531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>
      <c r="A939" s="127">
        <v>37</v>
      </c>
      <c r="B939" s="531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>
      <c r="A940" s="127">
        <v>37</v>
      </c>
      <c r="B940" s="531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>
      <c r="A941" s="127">
        <v>37</v>
      </c>
      <c r="B941" s="531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>
      <c r="A942" s="127">
        <v>37</v>
      </c>
      <c r="B942" s="531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>
      <c r="A943" s="127">
        <v>37</v>
      </c>
      <c r="B943" s="531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>
      <c r="A944" s="127">
        <v>37</v>
      </c>
      <c r="B944" s="531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>
      <c r="A945" s="127">
        <v>37</v>
      </c>
      <c r="B945" s="531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>
      <c r="A946" s="127">
        <v>37</v>
      </c>
      <c r="B946" s="531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>
      <c r="A947" s="127">
        <v>37</v>
      </c>
      <c r="B947" s="531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>
      <c r="A948" s="127">
        <v>37</v>
      </c>
      <c r="B948" s="531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>
      <c r="A949" s="127">
        <v>37</v>
      </c>
      <c r="B949" s="531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>
      <c r="A950" s="127">
        <v>37</v>
      </c>
      <c r="B950" s="531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>
      <c r="A951" s="127">
        <v>37</v>
      </c>
      <c r="B951" s="531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>
      <c r="A952" s="127">
        <v>37</v>
      </c>
      <c r="B952" s="531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>
      <c r="A953" s="127">
        <v>37</v>
      </c>
      <c r="B953" s="531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>
      <c r="A954" s="127">
        <v>38</v>
      </c>
      <c r="B954" s="531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>
      <c r="A955" s="127">
        <v>38</v>
      </c>
      <c r="B955" s="531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>
      <c r="A956" s="127">
        <v>38</v>
      </c>
      <c r="B956" s="531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>
      <c r="A957" s="127">
        <v>38</v>
      </c>
      <c r="B957" s="531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>
      <c r="A958" s="127">
        <v>38</v>
      </c>
      <c r="B958" s="531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>
      <c r="A959" s="127">
        <v>38</v>
      </c>
      <c r="B959" s="531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>
      <c r="A960" s="127">
        <v>38</v>
      </c>
      <c r="B960" s="531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>
      <c r="A961" s="127">
        <v>38</v>
      </c>
      <c r="B961" s="531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>
      <c r="A962" s="127">
        <v>38</v>
      </c>
      <c r="B962" s="531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>
      <c r="A963" s="127">
        <v>38</v>
      </c>
      <c r="B963" s="531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>
      <c r="A964" s="127">
        <v>38</v>
      </c>
      <c r="B964" s="531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>
      <c r="A965" s="127">
        <v>39</v>
      </c>
      <c r="B965" s="531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>
      <c r="A966" s="127">
        <v>39</v>
      </c>
      <c r="B966" s="531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>
      <c r="A967" s="127">
        <v>39</v>
      </c>
      <c r="B967" s="531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>
      <c r="A968" s="127">
        <v>39</v>
      </c>
      <c r="B968" s="531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>
      <c r="A969" s="127">
        <v>39</v>
      </c>
      <c r="B969" s="531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>
      <c r="A970" s="127">
        <v>39</v>
      </c>
      <c r="B970" s="531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>
      <c r="A971" s="127">
        <v>39</v>
      </c>
      <c r="B971" s="531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>
      <c r="A972" s="127">
        <v>39</v>
      </c>
      <c r="B972" s="531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>
      <c r="A973" s="127">
        <v>39</v>
      </c>
      <c r="B973" s="531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>
      <c r="A974" s="127">
        <v>39</v>
      </c>
      <c r="B974" s="531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>
      <c r="A975" s="127">
        <v>39</v>
      </c>
      <c r="B975" s="531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>
      <c r="A976" s="127">
        <v>40</v>
      </c>
      <c r="B976" s="531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>
      <c r="A977" s="127">
        <v>40</v>
      </c>
      <c r="B977" s="531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>
      <c r="A978" s="127">
        <v>40</v>
      </c>
      <c r="B978" s="531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>
      <c r="A979" s="127">
        <v>40</v>
      </c>
      <c r="B979" s="531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>
      <c r="A980" s="127">
        <v>40</v>
      </c>
      <c r="B980" s="531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>
      <c r="A981" s="127">
        <v>40</v>
      </c>
      <c r="B981" s="531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>
      <c r="A982" s="127">
        <v>40</v>
      </c>
      <c r="B982" s="531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>
      <c r="A983" s="127">
        <v>40</v>
      </c>
      <c r="B983" s="531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>
      <c r="A984" s="127">
        <v>40</v>
      </c>
      <c r="B984" s="531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>
      <c r="A985" s="127">
        <v>41</v>
      </c>
      <c r="B985" s="531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>
      <c r="A986" s="127">
        <v>41</v>
      </c>
      <c r="B986" s="531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>
      <c r="A987" s="127">
        <v>41</v>
      </c>
      <c r="B987" s="531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>
      <c r="A988" s="127">
        <v>41</v>
      </c>
      <c r="B988" s="531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>
      <c r="A989" s="127">
        <v>42</v>
      </c>
      <c r="B989" s="531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>
      <c r="A990" s="127">
        <v>42</v>
      </c>
      <c r="B990" s="531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>
      <c r="A991" s="127">
        <v>42</v>
      </c>
      <c r="B991" s="531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>
      <c r="A992" s="127">
        <v>42</v>
      </c>
      <c r="B992" s="531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>
      <c r="A993" s="127">
        <v>42</v>
      </c>
      <c r="B993" s="531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>
      <c r="A994" s="127">
        <v>42</v>
      </c>
      <c r="B994" s="531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>
      <c r="A995" s="127">
        <v>42</v>
      </c>
      <c r="B995" s="531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>
      <c r="A996" s="127">
        <v>43</v>
      </c>
      <c r="B996" s="531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>
      <c r="A997" s="127">
        <v>43</v>
      </c>
      <c r="B997" s="531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>
      <c r="A998" s="127">
        <v>43</v>
      </c>
      <c r="B998" s="531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>
      <c r="A999" s="127">
        <v>43</v>
      </c>
      <c r="B999" s="531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>
      <c r="A1000" s="127">
        <v>43</v>
      </c>
      <c r="B1000" s="531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>
      <c r="A1001" s="127">
        <v>43</v>
      </c>
      <c r="B1001" s="531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>
      <c r="A1002" s="127">
        <v>43</v>
      </c>
      <c r="B1002" s="531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>
      <c r="A1003" s="127">
        <v>43</v>
      </c>
      <c r="B1003" s="531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>
      <c r="A1004" s="127">
        <v>43</v>
      </c>
      <c r="B1004" s="531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>
      <c r="A1005" s="127">
        <v>43</v>
      </c>
      <c r="B1005" s="531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>
      <c r="A1006" s="127">
        <v>44</v>
      </c>
      <c r="B1006" s="531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>
      <c r="A1007" s="127">
        <v>44</v>
      </c>
      <c r="B1007" s="531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>
      <c r="A1008" s="127">
        <v>44</v>
      </c>
      <c r="B1008" s="531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>
      <c r="A1009" s="127">
        <v>44</v>
      </c>
      <c r="B1009" s="531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>
      <c r="A1010" s="127">
        <v>44</v>
      </c>
      <c r="B1010" s="531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>
      <c r="A1011" s="127">
        <v>44</v>
      </c>
      <c r="B1011" s="531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>
      <c r="A1012" s="127">
        <v>44</v>
      </c>
      <c r="B1012" s="531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>
      <c r="A1013" s="127">
        <v>44</v>
      </c>
      <c r="B1013" s="531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>
      <c r="A1014" s="127">
        <v>44</v>
      </c>
      <c r="B1014" s="531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>
      <c r="A1015" s="127">
        <v>44</v>
      </c>
      <c r="B1015" s="531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>
      <c r="A1016" s="127">
        <v>44</v>
      </c>
      <c r="B1016" s="531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>
      <c r="A1017" s="127">
        <v>44</v>
      </c>
      <c r="B1017" s="531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>
      <c r="A1018" s="127">
        <v>44</v>
      </c>
      <c r="B1018" s="531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>
      <c r="A1019" s="127">
        <v>44</v>
      </c>
      <c r="B1019" s="531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>
      <c r="A1020" s="127">
        <v>44</v>
      </c>
      <c r="B1020" s="531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>
      <c r="A1021" s="127">
        <v>44</v>
      </c>
      <c r="B1021" s="531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>
      <c r="A1022" s="127">
        <v>45</v>
      </c>
      <c r="B1022" s="531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>
      <c r="A1023" s="127">
        <v>45</v>
      </c>
      <c r="B1023" s="531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>
      <c r="A1024" s="127">
        <v>45</v>
      </c>
      <c r="B1024" s="531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>
      <c r="A1025" s="127">
        <v>45</v>
      </c>
      <c r="B1025" s="531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>
      <c r="A1026" s="127">
        <v>45</v>
      </c>
      <c r="B1026" s="531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>
      <c r="A1027" s="127">
        <v>45</v>
      </c>
      <c r="B1027" s="531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>
      <c r="A1028" s="127">
        <v>45</v>
      </c>
      <c r="B1028" s="531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>
      <c r="A1029" s="127">
        <v>45</v>
      </c>
      <c r="B1029" s="531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>
      <c r="A1030" s="127">
        <v>45</v>
      </c>
      <c r="B1030" s="531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>
      <c r="A1031" s="127">
        <v>45</v>
      </c>
      <c r="B1031" s="531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>
      <c r="A1032" s="127">
        <v>45</v>
      </c>
      <c r="B1032" s="531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>
      <c r="A1033" s="127">
        <v>45</v>
      </c>
      <c r="B1033" s="531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>
      <c r="A1034" s="127">
        <v>45</v>
      </c>
      <c r="B1034" s="531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>
      <c r="A1035" s="127">
        <v>45</v>
      </c>
      <c r="B1035" s="531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>
      <c r="A1036" s="127">
        <v>46</v>
      </c>
      <c r="B1036" s="531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>
      <c r="A1037" s="127">
        <v>46</v>
      </c>
      <c r="B1037" s="531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>
      <c r="A1038" s="127">
        <v>46</v>
      </c>
      <c r="B1038" s="531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>
      <c r="A1039" s="127">
        <v>46</v>
      </c>
      <c r="B1039" s="531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>
      <c r="A1040" s="127">
        <v>46</v>
      </c>
      <c r="B1040" s="531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>
      <c r="A1041" s="127">
        <v>46</v>
      </c>
      <c r="B1041" s="531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>
      <c r="A1042" s="127">
        <v>46</v>
      </c>
      <c r="B1042" s="531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>
      <c r="A1043" s="127">
        <v>46</v>
      </c>
      <c r="B1043" s="531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>
      <c r="A1044" s="127">
        <v>46</v>
      </c>
      <c r="B1044" s="531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>
      <c r="A1045" s="127">
        <v>46</v>
      </c>
      <c r="B1045" s="531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>
      <c r="A1046" s="127">
        <v>46</v>
      </c>
      <c r="B1046" s="531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>
      <c r="A1047" s="127">
        <v>46</v>
      </c>
      <c r="B1047" s="531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>
      <c r="A1048" s="127">
        <v>46</v>
      </c>
      <c r="B1048" s="531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>
      <c r="A1049" s="127">
        <v>47</v>
      </c>
      <c r="B1049" s="531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>
      <c r="A1050" s="127">
        <v>47</v>
      </c>
      <c r="B1050" s="531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>
      <c r="A1051" s="127">
        <v>47</v>
      </c>
      <c r="B1051" s="531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>
      <c r="A1052" s="127">
        <v>47</v>
      </c>
      <c r="B1052" s="531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>
      <c r="A1053" s="127">
        <v>47</v>
      </c>
      <c r="B1053" s="531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>
      <c r="A1054" s="127">
        <v>47</v>
      </c>
      <c r="B1054" s="531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>
      <c r="A1055" s="127">
        <v>47</v>
      </c>
      <c r="B1055" s="531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>
      <c r="A1056" s="127">
        <v>47</v>
      </c>
      <c r="B1056" s="531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>
      <c r="A1057" s="127">
        <v>47</v>
      </c>
      <c r="B1057" s="531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>
      <c r="A1058" s="127">
        <v>47</v>
      </c>
      <c r="B1058" s="531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>
      <c r="A1059" s="127">
        <v>47</v>
      </c>
      <c r="B1059" s="531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>
      <c r="A1060" s="127">
        <v>47</v>
      </c>
      <c r="B1060" s="531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>
      <c r="A1061" s="127">
        <v>47</v>
      </c>
      <c r="B1061" s="531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>
      <c r="A1062" s="127">
        <v>47</v>
      </c>
      <c r="B1062" s="531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>
      <c r="A1063" s="127">
        <v>47</v>
      </c>
      <c r="B1063" s="531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>
      <c r="A1064" s="127">
        <v>47</v>
      </c>
      <c r="B1064" s="531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>
      <c r="A1065" s="127">
        <v>47</v>
      </c>
      <c r="B1065" s="531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>
      <c r="A1066" s="127">
        <v>47</v>
      </c>
      <c r="B1066" s="531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>
      <c r="A1067" s="127">
        <v>47</v>
      </c>
      <c r="B1067" s="531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>
      <c r="A1068" s="127">
        <v>47</v>
      </c>
      <c r="B1068" s="531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>
      <c r="A1069" s="127">
        <v>47</v>
      </c>
      <c r="B1069" s="531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>
      <c r="A1070" s="127">
        <v>47</v>
      </c>
      <c r="B1070" s="531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>
      <c r="A1071" s="127">
        <v>47</v>
      </c>
      <c r="B1071" s="531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>
      <c r="A1072" s="127">
        <v>48</v>
      </c>
      <c r="B1072" s="531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>
      <c r="A1073" s="127">
        <v>48</v>
      </c>
      <c r="B1073" s="531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>
      <c r="A1074" s="127">
        <v>48</v>
      </c>
      <c r="B1074" s="531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>
      <c r="A1075" s="127">
        <v>48</v>
      </c>
      <c r="B1075" s="531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>
      <c r="A1076" s="127">
        <v>48</v>
      </c>
      <c r="B1076" s="531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>
      <c r="A1077" s="127">
        <v>48</v>
      </c>
      <c r="B1077" s="531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>
      <c r="A1078" s="127">
        <v>48</v>
      </c>
      <c r="B1078" s="531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>
      <c r="A1079" s="127">
        <v>48</v>
      </c>
      <c r="B1079" s="531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>
      <c r="A1080" s="127">
        <v>48</v>
      </c>
      <c r="B1080" s="531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>
      <c r="A1081" s="127">
        <v>48</v>
      </c>
      <c r="B1081" s="531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>
      <c r="A1082" s="127">
        <v>48</v>
      </c>
      <c r="B1082" s="531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>
      <c r="A1083" s="127">
        <v>48</v>
      </c>
      <c r="B1083" s="531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>
      <c r="A1084" s="127">
        <v>48</v>
      </c>
      <c r="B1084" s="531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>
      <c r="A1085" s="127">
        <v>48</v>
      </c>
      <c r="B1085" s="531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>
      <c r="A1086" s="127">
        <v>48</v>
      </c>
      <c r="B1086" s="531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>
      <c r="A1087" s="127">
        <v>48</v>
      </c>
      <c r="B1087" s="531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>
      <c r="A1088" s="127">
        <v>48</v>
      </c>
      <c r="B1088" s="531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>
      <c r="A1089" s="127">
        <v>48</v>
      </c>
      <c r="B1089" s="531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>
      <c r="A1090" s="127">
        <v>48</v>
      </c>
      <c r="B1090" s="531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>
      <c r="A1091" s="127">
        <v>49</v>
      </c>
      <c r="B1091" s="531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>
      <c r="A1092" s="127">
        <v>49</v>
      </c>
      <c r="B1092" s="531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>
      <c r="A1093" s="127">
        <v>49</v>
      </c>
      <c r="B1093" s="531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>
      <c r="A1094" s="127">
        <v>49</v>
      </c>
      <c r="B1094" s="531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>
      <c r="A1095" s="127">
        <v>49</v>
      </c>
      <c r="B1095" s="531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>
      <c r="A1096" s="127">
        <v>49</v>
      </c>
      <c r="B1096" s="531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>
      <c r="A1097" s="127">
        <v>49</v>
      </c>
      <c r="B1097" s="531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>
      <c r="A1098" s="127">
        <v>49</v>
      </c>
      <c r="B1098" s="531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>
      <c r="A1099" s="127">
        <v>49</v>
      </c>
      <c r="B1099" s="531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>
      <c r="A1100" s="127">
        <v>49</v>
      </c>
      <c r="B1100" s="531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>
      <c r="A1101" s="127">
        <v>49</v>
      </c>
      <c r="B1101" s="531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>
      <c r="A1102" s="127">
        <v>49</v>
      </c>
      <c r="B1102" s="531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>
      <c r="A1103" s="127">
        <v>49</v>
      </c>
      <c r="B1103" s="531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>
      <c r="A1104" s="127">
        <v>49</v>
      </c>
      <c r="B1104" s="531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>
      <c r="A1105" s="127">
        <v>49</v>
      </c>
      <c r="B1105" s="531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>
      <c r="A1106" s="127">
        <v>49</v>
      </c>
      <c r="B1106" s="531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>
      <c r="A1107" s="127">
        <v>49</v>
      </c>
      <c r="B1107" s="531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>
      <c r="A1108" s="127">
        <v>49</v>
      </c>
      <c r="B1108" s="531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>
      <c r="A1109" s="127">
        <v>49</v>
      </c>
      <c r="B1109" s="531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>
      <c r="A1110" s="127">
        <v>49</v>
      </c>
      <c r="B1110" s="531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>
      <c r="A1111" s="127">
        <v>49</v>
      </c>
      <c r="B1111" s="531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>
      <c r="A1112" s="127">
        <v>49</v>
      </c>
      <c r="B1112" s="531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>
      <c r="A1113" s="127">
        <v>49</v>
      </c>
      <c r="B1113" s="531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>
      <c r="A1114" s="127">
        <v>49</v>
      </c>
      <c r="B1114" s="531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>
      <c r="A1115" s="127">
        <v>50</v>
      </c>
      <c r="B1115" s="531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>
      <c r="A1116" s="127">
        <v>50</v>
      </c>
      <c r="B1116" s="531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>
      <c r="A1117" s="127">
        <v>50</v>
      </c>
      <c r="B1117" s="531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>
      <c r="A1118" s="127">
        <v>50</v>
      </c>
      <c r="B1118" s="531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>
      <c r="A1119" s="127">
        <v>50</v>
      </c>
      <c r="B1119" s="531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>
      <c r="A1120" s="127">
        <v>50</v>
      </c>
      <c r="B1120" s="531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>
      <c r="A1121" s="127">
        <v>50</v>
      </c>
      <c r="B1121" s="531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>
      <c r="A1122" s="127">
        <v>50</v>
      </c>
      <c r="B1122" s="531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>
      <c r="A1123" s="127">
        <v>50</v>
      </c>
      <c r="B1123" s="531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>
      <c r="A1124" s="127">
        <v>50</v>
      </c>
      <c r="B1124" s="531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>
      <c r="A1125" s="127">
        <v>50</v>
      </c>
      <c r="B1125" s="531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>
      <c r="A1126" s="127">
        <v>50</v>
      </c>
      <c r="B1126" s="531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>
      <c r="A1127" s="127">
        <v>50</v>
      </c>
      <c r="B1127" s="531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>
      <c r="A1128" s="127">
        <v>50</v>
      </c>
      <c r="B1128" s="531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>
      <c r="A1129" s="127">
        <v>50</v>
      </c>
      <c r="B1129" s="531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>
      <c r="A1130" s="127">
        <v>50</v>
      </c>
      <c r="B1130" s="531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>
      <c r="A1131" s="127">
        <v>50</v>
      </c>
      <c r="B1131" s="531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>
      <c r="A1132" s="127">
        <v>51</v>
      </c>
      <c r="B1132" s="531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>
      <c r="A1133" s="127">
        <v>51</v>
      </c>
      <c r="B1133" s="531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>
      <c r="A1134" s="127">
        <v>51</v>
      </c>
      <c r="B1134" s="531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>
      <c r="A1135" s="127">
        <v>51</v>
      </c>
      <c r="B1135" s="531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>
      <c r="A1136" s="127">
        <v>51</v>
      </c>
      <c r="B1136" s="531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>
      <c r="A1137" s="127">
        <v>51</v>
      </c>
      <c r="B1137" s="531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>
      <c r="A1138" s="127">
        <v>51</v>
      </c>
      <c r="B1138" s="531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>
      <c r="A1139" s="127">
        <v>51</v>
      </c>
      <c r="B1139" s="531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>
      <c r="A1140" s="127">
        <v>51</v>
      </c>
      <c r="B1140" s="531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>
      <c r="A1141" s="127">
        <v>51</v>
      </c>
      <c r="B1141" s="531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>
      <c r="A1142" s="127">
        <v>51</v>
      </c>
      <c r="B1142" s="531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>
      <c r="A1143" s="127">
        <v>51</v>
      </c>
      <c r="B1143" s="531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>
      <c r="A1144" s="127">
        <v>51</v>
      </c>
      <c r="B1144" s="531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>
      <c r="A1145" s="127">
        <v>51</v>
      </c>
      <c r="B1145" s="531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>
      <c r="A1146" s="127">
        <v>51</v>
      </c>
      <c r="B1146" s="531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>
      <c r="A1147" s="127">
        <v>51</v>
      </c>
      <c r="B1147" s="531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>
      <c r="A1148" s="127">
        <v>51</v>
      </c>
      <c r="B1148" s="531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>
      <c r="A1149" s="127">
        <v>51</v>
      </c>
      <c r="B1149" s="531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>
      <c r="A1150" s="127">
        <v>52</v>
      </c>
      <c r="B1150" s="531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>
      <c r="A1151" s="127">
        <v>52</v>
      </c>
      <c r="B1151" s="531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>
      <c r="A1152" s="127">
        <v>52</v>
      </c>
      <c r="B1152" s="531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>
      <c r="A1153" s="127">
        <v>52</v>
      </c>
      <c r="B1153" s="531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>
      <c r="A1154" s="127">
        <v>52</v>
      </c>
      <c r="B1154" s="531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>
      <c r="A1155" s="127">
        <v>52</v>
      </c>
      <c r="B1155" s="531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>
      <c r="A1156" s="127">
        <v>52</v>
      </c>
      <c r="B1156" s="531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>
      <c r="A1157" s="127">
        <v>52</v>
      </c>
      <c r="B1157" s="531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>
      <c r="A1158" s="127">
        <v>52</v>
      </c>
      <c r="B1158" s="531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>
      <c r="A1159" s="127">
        <v>52</v>
      </c>
      <c r="B1159" s="531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>
      <c r="A1160" s="127">
        <v>52</v>
      </c>
      <c r="B1160" s="531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>
      <c r="A1161" s="127">
        <v>52</v>
      </c>
      <c r="B1161" s="531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>
      <c r="A1162" s="127">
        <v>52</v>
      </c>
      <c r="B1162" s="531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>
      <c r="A1163" s="127">
        <v>52</v>
      </c>
      <c r="B1163" s="531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>
      <c r="A1164" s="127">
        <v>52</v>
      </c>
      <c r="B1164" s="531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>
      <c r="A1165" s="127">
        <v>52</v>
      </c>
      <c r="B1165" s="531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>
      <c r="A1166" s="127">
        <v>52</v>
      </c>
      <c r="B1166" s="531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>
      <c r="A1167" s="127">
        <v>52</v>
      </c>
      <c r="B1167" s="531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>
      <c r="A1168" s="127">
        <v>52</v>
      </c>
      <c r="B1168" s="531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>
      <c r="A1169" s="127">
        <v>53</v>
      </c>
      <c r="B1169" s="531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>
      <c r="A1170" s="127">
        <v>53</v>
      </c>
      <c r="B1170" s="531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>
      <c r="A1171" s="127">
        <v>53</v>
      </c>
      <c r="B1171" s="531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>
      <c r="A1172" s="127">
        <v>53</v>
      </c>
      <c r="B1172" s="531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>
      <c r="A1173" s="127">
        <v>53</v>
      </c>
      <c r="B1173" s="531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>
      <c r="A1174" s="127">
        <v>53</v>
      </c>
      <c r="B1174" s="531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>
      <c r="A1175" s="127">
        <v>53</v>
      </c>
      <c r="B1175" s="531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>
      <c r="A1176" s="127">
        <v>53</v>
      </c>
      <c r="B1176" s="531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>
      <c r="A1177" s="127">
        <v>53</v>
      </c>
      <c r="B1177" s="531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>
      <c r="A1178" s="127">
        <v>53</v>
      </c>
      <c r="B1178" s="531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>
      <c r="A1179" s="127">
        <v>53</v>
      </c>
      <c r="B1179" s="531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>
      <c r="A1180" s="127">
        <v>53</v>
      </c>
      <c r="B1180" s="531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>
      <c r="A1181" s="127">
        <v>53</v>
      </c>
      <c r="B1181" s="531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>
      <c r="A1182" s="127">
        <v>53</v>
      </c>
      <c r="B1182" s="531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>
      <c r="A1183" s="127">
        <v>53</v>
      </c>
      <c r="B1183" s="531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>
      <c r="A1184" s="127">
        <v>53</v>
      </c>
      <c r="B1184" s="531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>
      <c r="A1185" s="127">
        <v>1</v>
      </c>
      <c r="B1185" s="531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>
      <c r="A1186" s="127">
        <v>1</v>
      </c>
      <c r="B1186" s="531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>
      <c r="A1187" s="127">
        <v>1</v>
      </c>
      <c r="B1187" s="531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>
      <c r="A1188" s="127">
        <v>1</v>
      </c>
      <c r="B1188" s="531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>
      <c r="A1189" s="732">
        <v>2</v>
      </c>
    </row>
    <row r="1190" spans="1:14">
      <c r="A1190" s="732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677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68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68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68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68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68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68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6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6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6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6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6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6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6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6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67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71" t="s">
        <v>53</v>
      </c>
      <c r="B21" s="671"/>
      <c r="C21" s="671"/>
      <c r="D21" s="671"/>
      <c r="E21" s="671"/>
      <c r="F21" s="671"/>
      <c r="G21" s="671"/>
      <c r="H21" s="671"/>
      <c r="I21" s="67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>
      <c r="A26" s="672" t="s">
        <v>53</v>
      </c>
      <c r="B26" s="673"/>
      <c r="C26" s="673"/>
      <c r="D26" s="673"/>
      <c r="E26" s="673"/>
      <c r="F26" s="673"/>
      <c r="G26" s="673"/>
      <c r="H26" s="673"/>
      <c r="I26" s="67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68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68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68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68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68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672" t="s">
        <v>53</v>
      </c>
      <c r="B35" s="673"/>
      <c r="C35" s="673"/>
      <c r="D35" s="673"/>
      <c r="E35" s="673"/>
      <c r="F35" s="673"/>
      <c r="G35" s="673"/>
      <c r="H35" s="673"/>
      <c r="I35" s="67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677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687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678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672" t="s">
        <v>53</v>
      </c>
      <c r="B42" s="673"/>
      <c r="C42" s="673"/>
      <c r="D42" s="673"/>
      <c r="E42" s="673"/>
      <c r="F42" s="673"/>
      <c r="G42" s="673"/>
      <c r="H42" s="673"/>
      <c r="I42" s="67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672" t="s">
        <v>53</v>
      </c>
      <c r="B48" s="673"/>
      <c r="C48" s="673"/>
      <c r="D48" s="673"/>
      <c r="E48" s="673"/>
      <c r="F48" s="673"/>
      <c r="G48" s="673"/>
      <c r="H48" s="673"/>
      <c r="I48" s="67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68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67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672" t="s">
        <v>53</v>
      </c>
      <c r="B54" s="673"/>
      <c r="C54" s="673"/>
      <c r="D54" s="673"/>
      <c r="E54" s="673"/>
      <c r="F54" s="673"/>
      <c r="G54" s="673"/>
      <c r="H54" s="673"/>
      <c r="I54" s="67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677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68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68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687"/>
      <c r="B61" s="692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687"/>
      <c r="B62" s="693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687"/>
      <c r="B63" s="694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672" t="s">
        <v>53</v>
      </c>
      <c r="B64" s="673"/>
      <c r="C64" s="673"/>
      <c r="D64" s="673"/>
      <c r="E64" s="673"/>
      <c r="F64" s="673"/>
      <c r="G64" s="673"/>
      <c r="H64" s="673"/>
      <c r="I64" s="67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698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699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672" t="s">
        <v>53</v>
      </c>
      <c r="B70" s="673"/>
      <c r="C70" s="673"/>
      <c r="D70" s="673"/>
      <c r="E70" s="673"/>
      <c r="F70" s="673"/>
      <c r="G70" s="673"/>
      <c r="H70" s="673"/>
      <c r="I70" s="67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677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687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>
      <c r="A78" s="671" t="s">
        <v>53</v>
      </c>
      <c r="B78" s="671"/>
      <c r="C78" s="671"/>
      <c r="D78" s="671"/>
      <c r="E78" s="671"/>
      <c r="F78" s="671"/>
      <c r="G78" s="671"/>
      <c r="H78" s="671"/>
      <c r="I78" s="67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687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>
      <c r="A83" s="687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>
      <c r="A84" s="687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>
      <c r="A85" s="687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>
      <c r="A86" s="672" t="s">
        <v>53</v>
      </c>
      <c r="B86" s="673"/>
      <c r="C86" s="673"/>
      <c r="D86" s="673"/>
      <c r="E86" s="673"/>
      <c r="F86" s="673"/>
      <c r="G86" s="673"/>
      <c r="H86" s="673"/>
      <c r="I86" s="67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672" t="s">
        <v>53</v>
      </c>
      <c r="B92" s="673"/>
      <c r="C92" s="673"/>
      <c r="D92" s="673"/>
      <c r="E92" s="673"/>
      <c r="F92" s="673"/>
      <c r="G92" s="673"/>
      <c r="H92" s="673"/>
      <c r="I92" s="67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687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>
      <c r="A98" s="687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>
      <c r="A99" s="687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>
      <c r="A100" s="687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>
      <c r="A101" s="672" t="s">
        <v>53</v>
      </c>
      <c r="B101" s="673"/>
      <c r="C101" s="673"/>
      <c r="D101" s="673"/>
      <c r="E101" s="673"/>
      <c r="F101" s="673"/>
      <c r="G101" s="673"/>
      <c r="H101" s="673"/>
      <c r="I101" s="67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677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687"/>
      <c r="B107" s="69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687"/>
      <c r="B108" s="697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68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68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67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71" t="s">
        <v>53</v>
      </c>
      <c r="B112" s="671"/>
      <c r="C112" s="671"/>
      <c r="D112" s="671"/>
      <c r="E112" s="671"/>
      <c r="F112" s="671"/>
      <c r="G112" s="671"/>
      <c r="H112" s="671"/>
      <c r="I112" s="67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32" t="s">
        <v>955</v>
      </c>
      <c r="B119" s="557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>
      <c r="A120" s="533"/>
      <c r="B120" s="55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>
      <c r="A121" s="671" t="s">
        <v>53</v>
      </c>
      <c r="B121" s="671"/>
      <c r="C121" s="671"/>
      <c r="D121" s="671"/>
      <c r="E121" s="671"/>
      <c r="F121" s="671"/>
      <c r="G121" s="671"/>
      <c r="H121" s="671"/>
      <c r="I121" s="67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3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>
      <c r="A127" s="53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>
      <c r="A128" s="53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33"/>
      <c r="B129" s="69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696" t="s">
        <v>90</v>
      </c>
      <c r="J129" s="689">
        <v>2</v>
      </c>
      <c r="K129" s="25" t="s">
        <v>52</v>
      </c>
      <c r="L129" s="25" t="s">
        <v>51</v>
      </c>
    </row>
    <row r="130" spans="1:12">
      <c r="A130" s="533"/>
      <c r="B130" s="69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696"/>
      <c r="J130" s="691"/>
      <c r="K130" s="25" t="s">
        <v>52</v>
      </c>
      <c r="L130" s="25" t="s">
        <v>51</v>
      </c>
    </row>
    <row r="131" spans="1:12">
      <c r="A131" s="533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33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33"/>
      <c r="B133" s="560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535" t="s">
        <v>1279</v>
      </c>
      <c r="J133" s="689">
        <v>1</v>
      </c>
      <c r="K133" s="25" t="s">
        <v>52</v>
      </c>
      <c r="L133" s="25" t="s">
        <v>51</v>
      </c>
    </row>
    <row r="134" spans="1:12">
      <c r="A134" s="533"/>
      <c r="B134" s="561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49"/>
      <c r="J134" s="691"/>
      <c r="K134" s="25" t="s">
        <v>52</v>
      </c>
      <c r="L134" s="25" t="s">
        <v>51</v>
      </c>
    </row>
    <row r="135" spans="1:12">
      <c r="A135" s="533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34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>
      <c r="A137" s="671" t="s">
        <v>53</v>
      </c>
      <c r="B137" s="671"/>
      <c r="C137" s="671"/>
      <c r="D137" s="671"/>
      <c r="E137" s="671"/>
      <c r="F137" s="671"/>
      <c r="G137" s="671"/>
      <c r="H137" s="671"/>
      <c r="I137" s="67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33" t="s">
        <v>1008</v>
      </c>
      <c r="B142" s="560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>
      <c r="A143" s="533"/>
      <c r="B143" s="5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33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71" t="s">
        <v>53</v>
      </c>
      <c r="B145" s="671"/>
      <c r="C145" s="671"/>
      <c r="D145" s="671"/>
      <c r="E145" s="671"/>
      <c r="F145" s="671"/>
      <c r="G145" s="671"/>
      <c r="H145" s="671"/>
      <c r="I145" s="67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676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>
      <c r="A150" s="676"/>
      <c r="B150" s="557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676"/>
      <c r="B151" s="559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676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676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669" t="s">
        <v>53</v>
      </c>
      <c r="B154" s="669"/>
      <c r="C154" s="669"/>
      <c r="D154" s="669"/>
      <c r="E154" s="669"/>
      <c r="F154" s="669"/>
      <c r="G154" s="669"/>
      <c r="H154" s="669"/>
      <c r="I154" s="66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32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33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33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33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34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71" t="s">
        <v>53</v>
      </c>
      <c r="B163" s="671"/>
      <c r="C163" s="671"/>
      <c r="D163" s="671"/>
      <c r="E163" s="671"/>
      <c r="F163" s="671"/>
      <c r="G163" s="671"/>
      <c r="H163" s="671"/>
      <c r="I163" s="67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>
      <c r="A167" s="669" t="s">
        <v>53</v>
      </c>
      <c r="B167" s="669"/>
      <c r="C167" s="669"/>
      <c r="D167" s="669"/>
      <c r="E167" s="669"/>
      <c r="F167" s="669"/>
      <c r="G167" s="669"/>
      <c r="H167" s="669"/>
      <c r="I167" s="66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3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3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3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3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3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3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3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3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3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3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71" t="s">
        <v>53</v>
      </c>
      <c r="B183" s="671"/>
      <c r="C183" s="671"/>
      <c r="D183" s="671"/>
      <c r="E183" s="671"/>
      <c r="F183" s="671"/>
      <c r="G183" s="671"/>
      <c r="H183" s="671"/>
      <c r="I183" s="67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39" t="s">
        <v>1062</v>
      </c>
      <c r="B189" s="55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40"/>
      <c r="B190" s="5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40"/>
      <c r="B191" s="55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40"/>
      <c r="B192" s="5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71" t="s">
        <v>53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685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686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686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686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669" t="s">
        <v>53</v>
      </c>
      <c r="B203" s="669"/>
      <c r="C203" s="669"/>
      <c r="D203" s="669"/>
      <c r="E203" s="669"/>
      <c r="F203" s="669"/>
      <c r="G203" s="669"/>
      <c r="H203" s="669"/>
      <c r="I203" s="66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669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>
      <c r="A208" s="669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669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669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669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669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669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669" t="s">
        <v>53</v>
      </c>
      <c r="B214" s="669"/>
      <c r="C214" s="669"/>
      <c r="D214" s="669"/>
      <c r="E214" s="669"/>
      <c r="F214" s="669"/>
      <c r="G214" s="669"/>
      <c r="H214" s="669"/>
      <c r="I214" s="669"/>
      <c r="J214" s="25">
        <f>SUM(J207:J213)</f>
        <v>14</v>
      </c>
      <c r="K214" s="25"/>
      <c r="L214" s="25"/>
    </row>
    <row r="217" spans="1:12">
      <c r="A217" t="s">
        <v>1503</v>
      </c>
    </row>
    <row r="219" spans="1:12" ht="27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>
      <c r="A220" s="669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>
      <c r="A221" s="669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>
      <c r="A222" s="669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>
      <c r="A223" s="669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>
      <c r="A224" s="669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>
      <c r="A225" s="669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>
      <c r="A226" s="669" t="s">
        <v>1461</v>
      </c>
      <c r="B226" s="669"/>
      <c r="C226" s="669"/>
      <c r="D226" s="669"/>
      <c r="E226" s="669"/>
      <c r="F226" s="669"/>
      <c r="G226" s="669"/>
      <c r="H226" s="669"/>
      <c r="I226" s="66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>
      <c r="A229" s="669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>
      <c r="A230" s="669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>
      <c r="A231" s="669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>
      <c r="A232" s="669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>
      <c r="A233" s="669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>
      <c r="A234" s="669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>
      <c r="A235" s="669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>
      <c r="A236" s="669" t="s">
        <v>1502</v>
      </c>
      <c r="B236" s="669"/>
      <c r="C236" s="669"/>
      <c r="D236" s="669"/>
      <c r="E236" s="669"/>
      <c r="F236" s="669"/>
      <c r="G236" s="669"/>
      <c r="H236" s="669"/>
      <c r="I236" s="66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687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>
      <c r="A241" s="687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>
      <c r="A242" s="687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>
      <c r="A243" s="687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>
      <c r="A244" s="672" t="s">
        <v>53</v>
      </c>
      <c r="B244" s="673"/>
      <c r="C244" s="673"/>
      <c r="D244" s="673"/>
      <c r="E244" s="673"/>
      <c r="F244" s="673"/>
      <c r="G244" s="673"/>
      <c r="H244" s="673"/>
      <c r="I244" s="67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68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68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68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672" t="s">
        <v>53</v>
      </c>
      <c r="B250" s="673"/>
      <c r="C250" s="673"/>
      <c r="D250" s="673"/>
      <c r="E250" s="673"/>
      <c r="F250" s="673"/>
      <c r="G250" s="673"/>
      <c r="H250" s="673"/>
      <c r="I250" s="67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687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>
      <c r="A254" s="687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>
      <c r="A255" s="687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>
      <c r="A256" s="687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>
      <c r="A257" s="672" t="s">
        <v>53</v>
      </c>
      <c r="B257" s="673"/>
      <c r="C257" s="673"/>
      <c r="D257" s="673"/>
      <c r="E257" s="673"/>
      <c r="F257" s="673"/>
      <c r="G257" s="673"/>
      <c r="H257" s="673"/>
      <c r="I257" s="67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688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>
      <c r="A261" s="688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>
      <c r="A262" s="672" t="s">
        <v>53</v>
      </c>
      <c r="B262" s="673"/>
      <c r="C262" s="673"/>
      <c r="D262" s="673"/>
      <c r="E262" s="673"/>
      <c r="F262" s="673"/>
      <c r="G262" s="673"/>
      <c r="H262" s="673"/>
      <c r="I262" s="67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677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>
      <c r="A266" s="68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689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>
      <c r="A267" s="68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0"/>
      <c r="I267" s="117"/>
      <c r="J267" s="25">
        <v>2</v>
      </c>
      <c r="K267" s="25" t="s">
        <v>50</v>
      </c>
      <c r="L267" s="25" t="s">
        <v>51</v>
      </c>
    </row>
    <row r="268" spans="1:13" ht="16.5" customHeight="1">
      <c r="A268" s="68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1"/>
      <c r="I268" s="117"/>
      <c r="J268" s="114">
        <v>2</v>
      </c>
      <c r="K268" s="25" t="s">
        <v>50</v>
      </c>
      <c r="L268" s="25" t="s">
        <v>51</v>
      </c>
    </row>
    <row r="269" spans="1:13" ht="16.5" customHeight="1">
      <c r="A269" s="687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>
      <c r="A270" s="678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>
      <c r="A271" s="672" t="s">
        <v>53</v>
      </c>
      <c r="B271" s="673"/>
      <c r="C271" s="673"/>
      <c r="D271" s="673"/>
      <c r="E271" s="673"/>
      <c r="F271" s="673"/>
      <c r="G271" s="673"/>
      <c r="H271" s="673"/>
      <c r="I271" s="67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>
      <c r="A275" s="672" t="s">
        <v>53</v>
      </c>
      <c r="B275" s="673"/>
      <c r="C275" s="673"/>
      <c r="D275" s="673"/>
      <c r="E275" s="673"/>
      <c r="F275" s="673"/>
      <c r="G275" s="673"/>
      <c r="H275" s="673"/>
      <c r="I275" s="674"/>
      <c r="J275" s="25">
        <f>SUM(J274:J274)</f>
        <v>3</v>
      </c>
      <c r="K275" s="26"/>
      <c r="L275" s="25"/>
    </row>
    <row r="276" spans="1:14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>
      <c r="A279" s="683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>
      <c r="A280" s="684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>
      <c r="A281" s="684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>
      <c r="A282" s="684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>
      <c r="A283" s="684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>
      <c r="K284" s="194">
        <v>25</v>
      </c>
      <c r="L284" s="388">
        <v>6250000</v>
      </c>
    </row>
    <row r="287" spans="1:14" ht="27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>
      <c r="A288" s="557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>
      <c r="A289" s="558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>
      <c r="A290" s="558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>
      <c r="A291" s="558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>
      <c r="A292" s="558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>
      <c r="A293" s="558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>
      <c r="A294" s="558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>
      <c r="A295" s="559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>
      <c r="A296" s="672" t="s">
        <v>1653</v>
      </c>
      <c r="B296" s="673"/>
      <c r="C296" s="673"/>
      <c r="D296" s="673"/>
      <c r="E296" s="673"/>
      <c r="F296" s="673"/>
      <c r="G296" s="673"/>
      <c r="H296" s="673"/>
      <c r="I296" s="673"/>
      <c r="J296" s="55">
        <v>21</v>
      </c>
      <c r="K296" s="57"/>
      <c r="L296" s="390"/>
      <c r="M296" s="26"/>
    </row>
    <row r="300" spans="1:13" ht="27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>
      <c r="A301" s="669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>
      <c r="A302" s="669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>
      <c r="A303" s="669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>
      <c r="A304" s="669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>
      <c r="A305" s="669" t="s">
        <v>1666</v>
      </c>
      <c r="B305" s="669"/>
      <c r="C305" s="669"/>
      <c r="D305" s="669"/>
      <c r="E305" s="669"/>
      <c r="F305" s="669"/>
      <c r="G305" s="669"/>
      <c r="H305" s="669"/>
      <c r="I305" s="66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>
      <c r="A309" s="669" t="s">
        <v>53</v>
      </c>
      <c r="B309" s="669"/>
      <c r="C309" s="669"/>
      <c r="D309" s="669"/>
      <c r="E309" s="669"/>
      <c r="F309" s="669"/>
      <c r="G309" s="669"/>
      <c r="H309" s="669"/>
      <c r="I309" s="669"/>
      <c r="J309" s="25">
        <v>1</v>
      </c>
      <c r="K309" s="25"/>
      <c r="L309" s="25"/>
    </row>
    <row r="311" spans="1:12" ht="27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>
      <c r="A312" s="669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>
      <c r="A313" s="669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>
      <c r="A314" s="669" t="s">
        <v>1666</v>
      </c>
      <c r="B314" s="669"/>
      <c r="C314" s="669"/>
      <c r="D314" s="669"/>
      <c r="E314" s="669"/>
      <c r="F314" s="669"/>
      <c r="G314" s="669"/>
      <c r="H314" s="669"/>
      <c r="I314" s="66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>
      <c r="A318" s="669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669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669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669" t="s">
        <v>1666</v>
      </c>
      <c r="B321" s="669"/>
      <c r="C321" s="669"/>
      <c r="D321" s="669"/>
      <c r="E321" s="669"/>
      <c r="F321" s="669"/>
      <c r="G321" s="669"/>
      <c r="H321" s="669"/>
      <c r="I321" s="66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>
      <c r="A325" s="669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>
      <c r="A326" s="669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>
      <c r="A327" s="669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669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>
      <c r="A329" s="669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669" t="s">
        <v>1666</v>
      </c>
      <c r="B330" s="669"/>
      <c r="C330" s="669"/>
      <c r="D330" s="669"/>
      <c r="E330" s="669"/>
      <c r="F330" s="669"/>
      <c r="G330" s="669"/>
      <c r="H330" s="669"/>
      <c r="I330" s="669"/>
      <c r="J330" s="25">
        <f>SUM(J325:J329)</f>
        <v>8</v>
      </c>
      <c r="K330" s="25"/>
      <c r="L330" s="25"/>
    </row>
    <row r="332" spans="1:14" ht="27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>
      <c r="A333" s="683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>
      <c r="A334" s="684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>
      <c r="A335" s="684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>
      <c r="A336" s="684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>
      <c r="A337" s="684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>
      <c r="A338" s="669" t="s">
        <v>1666</v>
      </c>
      <c r="B338" s="669"/>
      <c r="C338" s="669"/>
      <c r="D338" s="669"/>
      <c r="E338" s="669"/>
      <c r="F338" s="669"/>
      <c r="G338" s="669"/>
      <c r="H338" s="669"/>
      <c r="I338" s="66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680" t="s">
        <v>1524</v>
      </c>
      <c r="B343" s="132" t="s">
        <v>1534</v>
      </c>
      <c r="C343" s="567" t="s">
        <v>307</v>
      </c>
      <c r="D343" s="567" t="s">
        <v>323</v>
      </c>
      <c r="E343" s="548" t="s">
        <v>308</v>
      </c>
      <c r="F343" s="679">
        <v>4266</v>
      </c>
      <c r="G343" s="567" t="s">
        <v>641</v>
      </c>
      <c r="H343" s="679" t="s">
        <v>1536</v>
      </c>
      <c r="I343" s="567" t="s">
        <v>1537</v>
      </c>
      <c r="J343" s="548">
        <v>2</v>
      </c>
      <c r="K343" s="677" t="s">
        <v>50</v>
      </c>
      <c r="L343" s="677" t="s">
        <v>51</v>
      </c>
    </row>
    <row r="344" spans="1:14">
      <c r="A344" s="681"/>
      <c r="B344" s="133" t="s">
        <v>1535</v>
      </c>
      <c r="C344" s="549"/>
      <c r="D344" s="549"/>
      <c r="E344" s="549"/>
      <c r="F344" s="554"/>
      <c r="G344" s="549"/>
      <c r="H344" s="554"/>
      <c r="I344" s="549"/>
      <c r="J344" s="549"/>
      <c r="K344" s="678"/>
      <c r="L344" s="678"/>
    </row>
    <row r="345" spans="1:14">
      <c r="A345" s="681"/>
      <c r="B345" s="132" t="s">
        <v>1539</v>
      </c>
      <c r="C345" s="548" t="s">
        <v>307</v>
      </c>
      <c r="D345" s="548" t="s">
        <v>323</v>
      </c>
      <c r="E345" s="548" t="s">
        <v>308</v>
      </c>
      <c r="F345" s="553">
        <v>3306</v>
      </c>
      <c r="G345" s="548" t="s">
        <v>1155</v>
      </c>
      <c r="H345" s="553" t="s">
        <v>1541</v>
      </c>
      <c r="I345" s="548" t="s">
        <v>1537</v>
      </c>
      <c r="J345" s="548">
        <v>2</v>
      </c>
      <c r="K345" s="677" t="s">
        <v>50</v>
      </c>
      <c r="L345" s="677" t="s">
        <v>51</v>
      </c>
    </row>
    <row r="346" spans="1:14">
      <c r="A346" s="682"/>
      <c r="B346" s="133" t="s">
        <v>1540</v>
      </c>
      <c r="C346" s="549"/>
      <c r="D346" s="549"/>
      <c r="E346" s="549"/>
      <c r="F346" s="554"/>
      <c r="G346" s="549"/>
      <c r="H346" s="554"/>
      <c r="I346" s="549"/>
      <c r="J346" s="549"/>
      <c r="K346" s="678"/>
      <c r="L346" s="678"/>
    </row>
    <row r="347" spans="1:14">
      <c r="A347" s="672" t="s">
        <v>53</v>
      </c>
      <c r="B347" s="673"/>
      <c r="C347" s="673"/>
      <c r="D347" s="673"/>
      <c r="E347" s="673"/>
      <c r="F347" s="673"/>
      <c r="G347" s="673"/>
      <c r="H347" s="673"/>
      <c r="I347" s="67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3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3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3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3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3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3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>
      <c r="A356" s="53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>
      <c r="A357" s="671" t="s">
        <v>53</v>
      </c>
      <c r="B357" s="671"/>
      <c r="C357" s="671"/>
      <c r="D357" s="671"/>
      <c r="E357" s="671"/>
      <c r="F357" s="671"/>
      <c r="G357" s="671"/>
      <c r="H357" s="671"/>
      <c r="I357" s="671"/>
      <c r="J357" s="25">
        <f>SUM(J350:J356)</f>
        <v>10</v>
      </c>
      <c r="K357" s="25"/>
      <c r="L357" s="25"/>
    </row>
    <row r="359" spans="1:12" ht="27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>
      <c r="A361" s="669" t="s">
        <v>1461</v>
      </c>
      <c r="B361" s="669"/>
      <c r="C361" s="669"/>
      <c r="D361" s="669"/>
      <c r="E361" s="669"/>
      <c r="F361" s="669"/>
      <c r="G361" s="669"/>
      <c r="H361" s="669"/>
      <c r="I361" s="66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>
      <c r="A364" s="676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669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669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669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669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669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669" t="s">
        <v>1666</v>
      </c>
      <c r="B370" s="669"/>
      <c r="C370" s="669"/>
      <c r="D370" s="669"/>
      <c r="E370" s="669"/>
      <c r="F370" s="669"/>
      <c r="G370" s="669"/>
      <c r="H370" s="669"/>
      <c r="I370" s="669"/>
      <c r="J370" s="25">
        <f>SUM(J364:J369)</f>
        <v>13</v>
      </c>
      <c r="K370" s="25"/>
      <c r="L370" s="25"/>
    </row>
    <row r="372" spans="1:13" ht="27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683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>
      <c r="A374" s="684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>
      <c r="A375" s="684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>
      <c r="A376" s="684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>
      <c r="A377" s="684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>
      <c r="A378" s="671" t="s">
        <v>1653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5"/>
    </row>
    <row r="381" spans="1:13">
      <c r="B381" s="700" t="s">
        <v>1</v>
      </c>
      <c r="C381" s="700" t="s">
        <v>2</v>
      </c>
      <c r="D381" s="700" t="s">
        <v>3</v>
      </c>
      <c r="E381" s="36" t="s">
        <v>54</v>
      </c>
      <c r="F381" s="700" t="s">
        <v>5</v>
      </c>
      <c r="G381" s="700" t="s">
        <v>6</v>
      </c>
      <c r="H381" s="700" t="s">
        <v>7</v>
      </c>
      <c r="I381" s="700" t="s">
        <v>55</v>
      </c>
      <c r="J381" s="700" t="s">
        <v>9</v>
      </c>
      <c r="K381" s="702" t="s">
        <v>56</v>
      </c>
      <c r="L381" s="700" t="s">
        <v>57</v>
      </c>
    </row>
    <row r="382" spans="1:13">
      <c r="B382" s="701"/>
      <c r="C382" s="701"/>
      <c r="D382" s="701"/>
      <c r="E382" s="37" t="s">
        <v>59</v>
      </c>
      <c r="F382" s="701"/>
      <c r="G382" s="701"/>
      <c r="H382" s="701"/>
      <c r="I382" s="701"/>
      <c r="J382" s="701"/>
      <c r="K382" s="703"/>
      <c r="L382" s="701"/>
    </row>
    <row r="383" spans="1:13" ht="27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>
      <c r="A390" t="s">
        <v>1909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>
      <c r="A394" s="669" t="s">
        <v>53</v>
      </c>
      <c r="B394" s="669"/>
      <c r="C394" s="669"/>
      <c r="D394" s="669"/>
      <c r="E394" s="669"/>
      <c r="F394" s="669"/>
      <c r="G394" s="669"/>
      <c r="H394" s="669"/>
      <c r="I394" s="669"/>
      <c r="J394" s="25">
        <v>1</v>
      </c>
      <c r="K394" s="25"/>
      <c r="L394" s="25"/>
    </row>
    <row r="396" spans="1:13" ht="27" customHeight="1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>
      <c r="A397" s="683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>
      <c r="A398" s="684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>
      <c r="A399" s="684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>
      <c r="A400" s="684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>
      <c r="A401" s="669" t="s">
        <v>53</v>
      </c>
      <c r="B401" s="669"/>
      <c r="C401" s="669"/>
      <c r="D401" s="669"/>
      <c r="E401" s="669"/>
      <c r="F401" s="669"/>
      <c r="G401" s="669"/>
      <c r="H401" s="669"/>
      <c r="I401" s="66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668" t="s">
        <v>230</v>
      </c>
      <c r="B405" s="675" t="s">
        <v>1812</v>
      </c>
      <c r="C405" s="675" t="s">
        <v>701</v>
      </c>
      <c r="D405" s="704" t="s">
        <v>676</v>
      </c>
      <c r="E405" s="675" t="s">
        <v>1813</v>
      </c>
      <c r="F405" s="675" t="s">
        <v>1814</v>
      </c>
      <c r="G405" s="675" t="s">
        <v>663</v>
      </c>
      <c r="H405" s="705" t="s">
        <v>1815</v>
      </c>
      <c r="I405" s="704"/>
      <c r="J405" s="705">
        <v>1</v>
      </c>
      <c r="K405" s="677" t="s">
        <v>632</v>
      </c>
      <c r="L405" s="663" t="s">
        <v>51</v>
      </c>
      <c r="M405">
        <v>19</v>
      </c>
    </row>
    <row r="406" spans="1:13" ht="13.5" customHeight="1">
      <c r="A406" s="668"/>
      <c r="B406" s="675"/>
      <c r="C406" s="675"/>
      <c r="D406" s="704"/>
      <c r="E406" s="675"/>
      <c r="F406" s="675"/>
      <c r="G406" s="675"/>
      <c r="H406" s="705"/>
      <c r="I406" s="704"/>
      <c r="J406" s="705"/>
      <c r="K406" s="678"/>
      <c r="L406" s="665"/>
      <c r="M406">
        <v>18</v>
      </c>
    </row>
    <row r="407" spans="1:13" ht="27" customHeight="1">
      <c r="A407" s="668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>
      <c r="A408" s="668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>
      <c r="A409" s="668" t="s">
        <v>1653</v>
      </c>
      <c r="B409" s="668"/>
      <c r="C409" s="668"/>
      <c r="D409" s="668"/>
      <c r="E409" s="668"/>
      <c r="F409" s="668"/>
      <c r="G409" s="668"/>
      <c r="H409" s="668"/>
      <c r="I409" s="66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>
      <c r="A412" s="668" t="s">
        <v>2015</v>
      </c>
      <c r="B412" s="706" t="s">
        <v>2016</v>
      </c>
      <c r="C412" s="677" t="s">
        <v>21</v>
      </c>
      <c r="D412" s="562" t="s">
        <v>14</v>
      </c>
      <c r="E412" s="677" t="s">
        <v>78</v>
      </c>
      <c r="F412" s="675" t="s">
        <v>2017</v>
      </c>
      <c r="G412" s="675" t="s">
        <v>40</v>
      </c>
      <c r="H412" s="705" t="s">
        <v>615</v>
      </c>
      <c r="I412" s="704"/>
      <c r="J412" s="705">
        <v>1</v>
      </c>
      <c r="K412" s="677" t="s">
        <v>2018</v>
      </c>
      <c r="L412" s="663" t="s">
        <v>2004</v>
      </c>
      <c r="M412">
        <v>19</v>
      </c>
    </row>
    <row r="413" spans="1:13" ht="20.100000000000001" customHeight="1">
      <c r="A413" s="668"/>
      <c r="B413" s="675"/>
      <c r="C413" s="678"/>
      <c r="D413" s="563"/>
      <c r="E413" s="678"/>
      <c r="F413" s="675"/>
      <c r="G413" s="675"/>
      <c r="H413" s="705"/>
      <c r="I413" s="704"/>
      <c r="J413" s="705"/>
      <c r="K413" s="678"/>
      <c r="L413" s="665"/>
      <c r="M413">
        <v>18</v>
      </c>
    </row>
    <row r="414" spans="1:13" ht="20.100000000000001" customHeight="1">
      <c r="A414" s="668" t="s">
        <v>1653</v>
      </c>
      <c r="B414" s="668"/>
      <c r="C414" s="668"/>
      <c r="D414" s="668"/>
      <c r="E414" s="668"/>
      <c r="F414" s="668"/>
      <c r="G414" s="668"/>
      <c r="H414" s="668"/>
      <c r="I414" s="66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>
      <c r="A417" s="663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>
      <c r="A418" s="664"/>
      <c r="B418" s="80" t="s">
        <v>1755</v>
      </c>
      <c r="C418" s="704" t="s">
        <v>307</v>
      </c>
      <c r="D418" s="704" t="s">
        <v>323</v>
      </c>
      <c r="E418" s="704" t="s">
        <v>308</v>
      </c>
      <c r="F418" s="705">
        <v>3306</v>
      </c>
      <c r="G418" s="704" t="s">
        <v>1155</v>
      </c>
      <c r="H418" s="705" t="s">
        <v>1756</v>
      </c>
      <c r="I418" s="704" t="s">
        <v>665</v>
      </c>
      <c r="J418" s="704">
        <v>4</v>
      </c>
      <c r="K418" s="677" t="s">
        <v>632</v>
      </c>
      <c r="L418" s="663" t="s">
        <v>51</v>
      </c>
      <c r="M418">
        <v>18</v>
      </c>
    </row>
    <row r="419" spans="1:13" ht="13.5" customHeight="1">
      <c r="A419" s="664"/>
      <c r="B419" s="81" t="s">
        <v>1758</v>
      </c>
      <c r="C419" s="704"/>
      <c r="D419" s="704"/>
      <c r="E419" s="704"/>
      <c r="F419" s="705"/>
      <c r="G419" s="704"/>
      <c r="H419" s="705"/>
      <c r="I419" s="704"/>
      <c r="J419" s="704"/>
      <c r="K419" s="678"/>
      <c r="L419" s="665"/>
    </row>
    <row r="420" spans="1:13" ht="13.5" customHeight="1">
      <c r="A420" s="664"/>
      <c r="B420" s="80" t="s">
        <v>1807</v>
      </c>
      <c r="C420" s="704" t="s">
        <v>307</v>
      </c>
      <c r="D420" s="704" t="s">
        <v>323</v>
      </c>
      <c r="E420" s="704" t="s">
        <v>308</v>
      </c>
      <c r="F420" s="705" t="s">
        <v>1808</v>
      </c>
      <c r="G420" s="704" t="s">
        <v>1809</v>
      </c>
      <c r="H420" s="705" t="s">
        <v>1810</v>
      </c>
      <c r="I420" s="704" t="s">
        <v>665</v>
      </c>
      <c r="J420" s="704">
        <v>5</v>
      </c>
      <c r="K420" s="677" t="s">
        <v>632</v>
      </c>
      <c r="L420" s="663" t="s">
        <v>51</v>
      </c>
      <c r="M420">
        <v>19</v>
      </c>
    </row>
    <row r="421" spans="1:13" ht="13.5" customHeight="1">
      <c r="A421" s="664"/>
      <c r="B421" s="81" t="s">
        <v>1802</v>
      </c>
      <c r="C421" s="704"/>
      <c r="D421" s="704"/>
      <c r="E421" s="704"/>
      <c r="F421" s="705"/>
      <c r="G421" s="704"/>
      <c r="H421" s="705"/>
      <c r="I421" s="704"/>
      <c r="J421" s="704"/>
      <c r="K421" s="678"/>
      <c r="L421" s="665"/>
    </row>
    <row r="422" spans="1:13" ht="27" customHeight="1">
      <c r="A422" s="665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>
      <c r="A423" s="668" t="s">
        <v>1653</v>
      </c>
      <c r="B423" s="668"/>
      <c r="C423" s="668"/>
      <c r="D423" s="668"/>
      <c r="E423" s="668"/>
      <c r="F423" s="668"/>
      <c r="G423" s="668"/>
      <c r="H423" s="668"/>
      <c r="I423" s="66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>
      <c r="A427" s="707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>
      <c r="A428" s="708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>
      <c r="A429" s="708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>
      <c r="A430" s="708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>
      <c r="A431" s="669" t="s">
        <v>1653</v>
      </c>
      <c r="B431" s="669"/>
      <c r="C431" s="669"/>
      <c r="D431" s="669"/>
      <c r="E431" s="669"/>
      <c r="F431" s="669"/>
      <c r="G431" s="669"/>
      <c r="H431" s="669"/>
      <c r="I431" s="669"/>
      <c r="J431" s="25">
        <f>SUM(J427:J430)</f>
        <v>8</v>
      </c>
      <c r="K431" s="25"/>
      <c r="L431" s="25"/>
    </row>
    <row r="432" spans="1:13" ht="20.100000000000001" customHeight="1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>
      <c r="A433" s="708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>
      <c r="A434" s="709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>
      <c r="A435" s="669" t="s">
        <v>1653</v>
      </c>
      <c r="B435" s="669"/>
      <c r="C435" s="669"/>
      <c r="D435" s="669"/>
      <c r="E435" s="669"/>
      <c r="F435" s="669"/>
      <c r="G435" s="669"/>
      <c r="H435" s="669"/>
      <c r="I435" s="66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>
      <c r="A438" s="557" t="s">
        <v>2034</v>
      </c>
      <c r="B438" s="265" t="s">
        <v>1767</v>
      </c>
      <c r="C438" s="617" t="s">
        <v>307</v>
      </c>
      <c r="D438" s="617" t="s">
        <v>323</v>
      </c>
      <c r="E438" s="617" t="s">
        <v>308</v>
      </c>
      <c r="F438" s="710" t="s">
        <v>1768</v>
      </c>
      <c r="G438" s="617" t="s">
        <v>330</v>
      </c>
      <c r="H438" s="689" t="s">
        <v>1769</v>
      </c>
      <c r="I438" s="568" t="s">
        <v>665</v>
      </c>
      <c r="J438" s="712">
        <v>2</v>
      </c>
      <c r="K438" s="677" t="s">
        <v>2003</v>
      </c>
      <c r="L438" s="677" t="s">
        <v>51</v>
      </c>
      <c r="M438">
        <v>18</v>
      </c>
    </row>
    <row r="439" spans="1:13" ht="13.5" customHeight="1">
      <c r="A439" s="558"/>
      <c r="B439" s="266" t="s">
        <v>2035</v>
      </c>
      <c r="C439" s="618"/>
      <c r="D439" s="618"/>
      <c r="E439" s="618"/>
      <c r="F439" s="711"/>
      <c r="G439" s="618"/>
      <c r="H439" s="691"/>
      <c r="I439" s="569"/>
      <c r="J439" s="713"/>
      <c r="K439" s="678"/>
      <c r="L439" s="678"/>
    </row>
    <row r="440" spans="1:13" ht="13.5" customHeight="1">
      <c r="A440" s="558"/>
      <c r="B440" s="267" t="s">
        <v>1801</v>
      </c>
      <c r="C440" s="714" t="s">
        <v>307</v>
      </c>
      <c r="D440" s="714" t="s">
        <v>323</v>
      </c>
      <c r="E440" s="714" t="s">
        <v>308</v>
      </c>
      <c r="F440" s="715" t="s">
        <v>1803</v>
      </c>
      <c r="G440" s="714" t="s">
        <v>1804</v>
      </c>
      <c r="H440" s="715" t="s">
        <v>1799</v>
      </c>
      <c r="I440" s="714" t="s">
        <v>665</v>
      </c>
      <c r="J440" s="548">
        <v>4</v>
      </c>
      <c r="K440" s="677" t="s">
        <v>632</v>
      </c>
      <c r="L440" s="677" t="s">
        <v>2004</v>
      </c>
      <c r="M440">
        <v>19</v>
      </c>
    </row>
    <row r="441" spans="1:13" ht="13.5" customHeight="1">
      <c r="A441" s="558"/>
      <c r="B441" s="268" t="s">
        <v>1802</v>
      </c>
      <c r="C441" s="714"/>
      <c r="D441" s="714"/>
      <c r="E441" s="714"/>
      <c r="F441" s="715"/>
      <c r="G441" s="714"/>
      <c r="H441" s="715"/>
      <c r="I441" s="714"/>
      <c r="J441" s="549"/>
      <c r="K441" s="678"/>
      <c r="L441" s="678"/>
    </row>
    <row r="442" spans="1:13" ht="20.100000000000001" customHeight="1">
      <c r="A442" s="558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>
      <c r="A443" s="558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>
      <c r="A444" s="558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>
      <c r="A445" s="558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>
      <c r="A446" s="558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>
      <c r="A447" s="558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>
      <c r="A448" s="558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>
      <c r="A449" s="559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672" t="s">
        <v>1653</v>
      </c>
      <c r="B450" s="673"/>
      <c r="C450" s="673"/>
      <c r="D450" s="673"/>
      <c r="E450" s="673"/>
      <c r="F450" s="673"/>
      <c r="G450" s="673"/>
      <c r="H450" s="673"/>
      <c r="I450" s="673"/>
      <c r="J450" s="55">
        <v>20</v>
      </c>
      <c r="K450" s="57"/>
      <c r="L450" s="39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>
      <c r="A456" s="532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>
      <c r="A457" s="533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>
      <c r="A458" s="533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>
      <c r="A459" s="671" t="s">
        <v>2066</v>
      </c>
      <c r="B459" s="671"/>
      <c r="C459" s="671"/>
      <c r="D459" s="671"/>
      <c r="E459" s="671"/>
      <c r="F459" s="671"/>
      <c r="G459" s="671"/>
      <c r="H459" s="671"/>
      <c r="I459" s="671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07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08"/>
      <c r="B463" s="716" t="s">
        <v>1774</v>
      </c>
      <c r="C463" s="717" t="s">
        <v>312</v>
      </c>
      <c r="D463" s="717" t="s">
        <v>321</v>
      </c>
      <c r="E463" s="717" t="s">
        <v>710</v>
      </c>
      <c r="F463" s="717" t="s">
        <v>1775</v>
      </c>
      <c r="G463" s="716" t="s">
        <v>1776</v>
      </c>
      <c r="H463" s="271" t="s">
        <v>1777</v>
      </c>
      <c r="I463" s="717"/>
      <c r="J463" s="717">
        <v>1</v>
      </c>
      <c r="K463" s="562" t="s">
        <v>632</v>
      </c>
      <c r="L463" s="591" t="s">
        <v>51</v>
      </c>
      <c r="M463">
        <v>18</v>
      </c>
    </row>
    <row r="464" spans="1:13" ht="13.5" customHeight="1">
      <c r="A464" s="708"/>
      <c r="B464" s="716"/>
      <c r="C464" s="717"/>
      <c r="D464" s="717"/>
      <c r="E464" s="717"/>
      <c r="F464" s="717"/>
      <c r="G464" s="716"/>
      <c r="H464" s="272" t="s">
        <v>1780</v>
      </c>
      <c r="I464" s="717"/>
      <c r="J464" s="717"/>
      <c r="K464" s="563"/>
      <c r="L464" s="592"/>
    </row>
    <row r="465" spans="1:13" ht="13.5" customHeight="1">
      <c r="A465" s="708"/>
      <c r="B465" s="718" t="s">
        <v>1820</v>
      </c>
      <c r="C465" s="675" t="s">
        <v>701</v>
      </c>
      <c r="D465" s="704" t="s">
        <v>321</v>
      </c>
      <c r="E465" s="704" t="s">
        <v>338</v>
      </c>
      <c r="F465" s="675" t="s">
        <v>354</v>
      </c>
      <c r="G465" s="675" t="s">
        <v>1821</v>
      </c>
      <c r="H465" s="705" t="s">
        <v>1822</v>
      </c>
      <c r="I465" s="704" t="s">
        <v>639</v>
      </c>
      <c r="J465" s="705">
        <v>2</v>
      </c>
      <c r="K465" s="677" t="s">
        <v>632</v>
      </c>
      <c r="L465" s="677" t="s">
        <v>51</v>
      </c>
      <c r="M465">
        <v>19</v>
      </c>
    </row>
    <row r="466" spans="1:13" ht="13.5" customHeight="1">
      <c r="A466" s="708"/>
      <c r="B466" s="718"/>
      <c r="C466" s="675"/>
      <c r="D466" s="704"/>
      <c r="E466" s="704"/>
      <c r="F466" s="675"/>
      <c r="G466" s="675"/>
      <c r="H466" s="705"/>
      <c r="I466" s="704"/>
      <c r="J466" s="705"/>
      <c r="K466" s="678"/>
      <c r="L466" s="678"/>
    </row>
    <row r="467" spans="1:13" ht="27" customHeight="1">
      <c r="A467" s="708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08"/>
      <c r="B468" s="675" t="s">
        <v>1827</v>
      </c>
      <c r="C468" s="675" t="s">
        <v>701</v>
      </c>
      <c r="D468" s="704" t="s">
        <v>321</v>
      </c>
      <c r="E468" s="704" t="s">
        <v>710</v>
      </c>
      <c r="F468" s="704" t="s">
        <v>1775</v>
      </c>
      <c r="G468" s="675" t="s">
        <v>1828</v>
      </c>
      <c r="H468" s="274" t="s">
        <v>1829</v>
      </c>
      <c r="I468" s="704" t="s">
        <v>639</v>
      </c>
      <c r="J468" s="704">
        <v>2</v>
      </c>
      <c r="K468" s="677" t="s">
        <v>632</v>
      </c>
      <c r="L468" s="677" t="s">
        <v>51</v>
      </c>
      <c r="M468">
        <v>19</v>
      </c>
    </row>
    <row r="469" spans="1:13" ht="13.5" customHeight="1">
      <c r="A469" s="708"/>
      <c r="B469" s="675"/>
      <c r="C469" s="675"/>
      <c r="D469" s="704"/>
      <c r="E469" s="704"/>
      <c r="F469" s="704"/>
      <c r="G469" s="675"/>
      <c r="H469" s="275" t="s">
        <v>1830</v>
      </c>
      <c r="I469" s="704"/>
      <c r="J469" s="704"/>
      <c r="K469" s="678"/>
      <c r="L469" s="678"/>
    </row>
    <row r="470" spans="1:13" ht="27" customHeight="1">
      <c r="A470" s="708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09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669" t="s">
        <v>53</v>
      </c>
      <c r="B472" s="669"/>
      <c r="C472" s="669"/>
      <c r="D472" s="669"/>
      <c r="E472" s="669"/>
      <c r="F472" s="669"/>
      <c r="G472" s="669"/>
      <c r="H472" s="669"/>
      <c r="I472" s="66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669" t="s">
        <v>229</v>
      </c>
      <c r="B476" s="716" t="s">
        <v>1774</v>
      </c>
      <c r="C476" s="717" t="s">
        <v>312</v>
      </c>
      <c r="D476" s="717" t="s">
        <v>321</v>
      </c>
      <c r="E476" s="717" t="s">
        <v>710</v>
      </c>
      <c r="F476" s="717" t="s">
        <v>1775</v>
      </c>
      <c r="G476" s="716" t="s">
        <v>1776</v>
      </c>
      <c r="H476" s="271" t="s">
        <v>1777</v>
      </c>
      <c r="I476" s="717"/>
      <c r="J476" s="717">
        <v>1</v>
      </c>
      <c r="K476" s="562" t="s">
        <v>632</v>
      </c>
      <c r="L476" s="591" t="s">
        <v>51</v>
      </c>
      <c r="M476">
        <v>18</v>
      </c>
    </row>
    <row r="477" spans="1:13" ht="13.5" customHeight="1">
      <c r="A477" s="669"/>
      <c r="B477" s="716"/>
      <c r="C477" s="717"/>
      <c r="D477" s="717"/>
      <c r="E477" s="717"/>
      <c r="F477" s="717"/>
      <c r="G477" s="716"/>
      <c r="H477" s="272" t="s">
        <v>1780</v>
      </c>
      <c r="I477" s="717"/>
      <c r="J477" s="717"/>
      <c r="K477" s="563"/>
      <c r="L477" s="592"/>
    </row>
    <row r="478" spans="1:13" ht="27" customHeight="1">
      <c r="A478" s="669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669" t="s">
        <v>1653</v>
      </c>
      <c r="B479" s="669"/>
      <c r="C479" s="669"/>
      <c r="D479" s="669"/>
      <c r="E479" s="669"/>
      <c r="F479" s="669"/>
      <c r="G479" s="669"/>
      <c r="H479" s="669"/>
      <c r="I479" s="66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677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>
      <c r="A483" s="687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>
      <c r="A484" s="6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>
      <c r="A485" s="6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>
      <c r="A486" s="678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>
      <c r="A487" s="672" t="s">
        <v>53</v>
      </c>
      <c r="B487" s="673"/>
      <c r="C487" s="673"/>
      <c r="D487" s="673"/>
      <c r="E487" s="673"/>
      <c r="F487" s="673"/>
      <c r="G487" s="673"/>
      <c r="H487" s="673"/>
      <c r="I487" s="674"/>
      <c r="J487" s="25">
        <v>5</v>
      </c>
      <c r="K487" s="26"/>
      <c r="L487" s="55"/>
    </row>
    <row r="490" spans="1:13">
      <c r="A490" t="s">
        <v>2100</v>
      </c>
    </row>
    <row r="492" spans="1:1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>
      <c r="A493" s="720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>
      <c r="A494" s="721"/>
      <c r="B494" s="719" t="s">
        <v>2190</v>
      </c>
      <c r="C494" s="719" t="s">
        <v>307</v>
      </c>
      <c r="D494" s="719" t="s">
        <v>323</v>
      </c>
      <c r="E494" s="719" t="s">
        <v>308</v>
      </c>
      <c r="F494" s="722" t="s">
        <v>1926</v>
      </c>
      <c r="G494" s="719" t="s">
        <v>663</v>
      </c>
      <c r="H494" s="722" t="s">
        <v>1927</v>
      </c>
      <c r="I494" s="719" t="s">
        <v>350</v>
      </c>
      <c r="J494" s="719">
        <v>2</v>
      </c>
      <c r="K494" s="675" t="s">
        <v>50</v>
      </c>
      <c r="L494" s="234">
        <v>23</v>
      </c>
    </row>
    <row r="495" spans="1:13" ht="12.6" customHeight="1">
      <c r="A495" s="721"/>
      <c r="B495" s="719"/>
      <c r="C495" s="719"/>
      <c r="D495" s="719"/>
      <c r="E495" s="719"/>
      <c r="F495" s="722"/>
      <c r="G495" s="719"/>
      <c r="H495" s="722"/>
      <c r="I495" s="719"/>
      <c r="J495" s="719"/>
      <c r="K495" s="675"/>
    </row>
    <row r="496" spans="1:13" ht="24.95" customHeight="1">
      <c r="A496" s="721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>
      <c r="A497" s="721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>
      <c r="A498" s="721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>
      <c r="A499" s="721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>
      <c r="A500" s="669" t="s">
        <v>53</v>
      </c>
      <c r="B500" s="669"/>
      <c r="C500" s="669"/>
      <c r="D500" s="669"/>
      <c r="E500" s="669"/>
      <c r="F500" s="669"/>
      <c r="G500" s="669"/>
      <c r="H500" s="669"/>
      <c r="I500" s="669"/>
      <c r="J500" s="25">
        <v>20</v>
      </c>
      <c r="K500" s="26"/>
    </row>
    <row r="503" spans="1:12">
      <c r="A503" t="s">
        <v>2205</v>
      </c>
    </row>
    <row r="505" spans="1:12" ht="27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>
      <c r="A506" s="671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>
      <c r="A507" s="671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>
      <c r="A508" s="671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>
      <c r="A509" s="671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>
      <c r="A510" s="671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>
      <c r="A511" s="669" t="s">
        <v>2225</v>
      </c>
      <c r="B511" s="669"/>
      <c r="C511" s="669"/>
      <c r="D511" s="669"/>
      <c r="E511" s="669"/>
      <c r="F511" s="669"/>
      <c r="G511" s="669"/>
      <c r="H511" s="669"/>
      <c r="I511" s="669"/>
      <c r="J511" s="25">
        <v>6</v>
      </c>
      <c r="K511" s="26"/>
    </row>
    <row r="514" spans="1:1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>
      <c r="A515" s="671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>
      <c r="A516" s="671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>
      <c r="A517" s="671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>
      <c r="A518" s="671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>
      <c r="A519" s="671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>
      <c r="A520" s="671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>
      <c r="A521" s="671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>
      <c r="A522" s="671" t="s">
        <v>2241</v>
      </c>
      <c r="B522" s="671"/>
      <c r="C522" s="671"/>
      <c r="D522" s="671"/>
      <c r="E522" s="671"/>
      <c r="F522" s="671"/>
      <c r="G522" s="671"/>
      <c r="H522" s="671"/>
      <c r="I522" s="671"/>
      <c r="J522" s="25">
        <v>12</v>
      </c>
      <c r="K522" s="25"/>
    </row>
    <row r="526" spans="1:13" ht="27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>
      <c r="A528" s="669" t="s">
        <v>2246</v>
      </c>
      <c r="B528" s="669"/>
      <c r="C528" s="669"/>
      <c r="D528" s="669"/>
      <c r="E528" s="669"/>
      <c r="F528" s="669"/>
      <c r="G528" s="669"/>
      <c r="H528" s="669"/>
      <c r="I528" s="669"/>
      <c r="J528" s="25">
        <v>1</v>
      </c>
      <c r="K528" s="25"/>
      <c r="L528" s="25"/>
    </row>
    <row r="531" spans="1:13" ht="27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>
      <c r="A532" s="671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>
      <c r="A533" s="671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>
      <c r="A534" s="671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>
      <c r="A535" s="669" t="s">
        <v>2241</v>
      </c>
      <c r="B535" s="669"/>
      <c r="C535" s="669"/>
      <c r="D535" s="669"/>
      <c r="E535" s="669"/>
      <c r="F535" s="669"/>
      <c r="G535" s="669"/>
      <c r="H535" s="669"/>
      <c r="I535" s="669"/>
      <c r="J535" s="25">
        <v>4</v>
      </c>
      <c r="K535" s="26"/>
    </row>
    <row r="538" spans="1:13" ht="27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>
      <c r="A540" s="672" t="s">
        <v>2246</v>
      </c>
      <c r="B540" s="673"/>
      <c r="C540" s="673"/>
      <c r="D540" s="673"/>
      <c r="E540" s="673"/>
      <c r="F540" s="673"/>
      <c r="G540" s="673"/>
      <c r="H540" s="673"/>
      <c r="I540" s="674"/>
      <c r="J540" s="25">
        <v>2</v>
      </c>
      <c r="K540" s="26"/>
      <c r="L540" s="55"/>
    </row>
    <row r="543" spans="1:13" ht="27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>
      <c r="A544" s="669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>
      <c r="A545" s="669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>
      <c r="A546" s="668" t="s">
        <v>2241</v>
      </c>
      <c r="B546" s="668"/>
      <c r="C546" s="668"/>
      <c r="D546" s="668"/>
      <c r="E546" s="668"/>
      <c r="F546" s="668"/>
      <c r="G546" s="668"/>
      <c r="H546" s="668"/>
      <c r="I546" s="668"/>
      <c r="J546" s="25">
        <v>3</v>
      </c>
      <c r="K546" s="25"/>
      <c r="L546" s="25"/>
    </row>
    <row r="548" spans="1:1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>
      <c r="A550" s="669" t="s">
        <v>2241</v>
      </c>
      <c r="B550" s="669"/>
      <c r="C550" s="669"/>
      <c r="D550" s="669"/>
      <c r="E550" s="669"/>
      <c r="F550" s="669"/>
      <c r="G550" s="669"/>
      <c r="H550" s="669"/>
      <c r="I550" s="669"/>
      <c r="J550" s="25">
        <v>2</v>
      </c>
      <c r="K550" s="25"/>
      <c r="L550" s="25"/>
    </row>
    <row r="553" spans="1:13" ht="27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>
      <c r="A554" s="670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>
      <c r="A555" s="670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>
      <c r="A556" s="670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>
      <c r="A557" s="670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>
      <c r="A558" s="670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>
      <c r="A559" s="670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>
      <c r="A560" s="670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>
      <c r="A561" s="670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>
      <c r="A562" s="670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>
      <c r="A563" s="670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>
      <c r="A564" s="670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>
      <c r="A565" s="669" t="s">
        <v>2241</v>
      </c>
      <c r="B565" s="669"/>
      <c r="C565" s="669"/>
      <c r="D565" s="669"/>
      <c r="E565" s="669"/>
      <c r="F565" s="669"/>
      <c r="G565" s="669"/>
      <c r="H565" s="669"/>
      <c r="I565" s="669"/>
      <c r="J565" s="31">
        <v>19</v>
      </c>
      <c r="K565" s="57"/>
      <c r="L565" s="391"/>
    </row>
    <row r="568" spans="1:12" ht="27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>
      <c r="B569" s="256" t="s">
        <v>1913</v>
      </c>
      <c r="C569" s="535" t="s">
        <v>307</v>
      </c>
      <c r="D569" s="535" t="s">
        <v>323</v>
      </c>
      <c r="E569" s="535" t="s">
        <v>308</v>
      </c>
      <c r="F569" s="535">
        <v>3306</v>
      </c>
      <c r="G569" s="535" t="s">
        <v>1155</v>
      </c>
      <c r="H569" s="535" t="s">
        <v>1914</v>
      </c>
      <c r="I569" s="535" t="s">
        <v>1112</v>
      </c>
      <c r="J569" s="535" t="s">
        <v>693</v>
      </c>
      <c r="K569" s="666" t="s">
        <v>2299</v>
      </c>
    </row>
    <row r="570" spans="1:12">
      <c r="B570" s="256" t="s">
        <v>1916</v>
      </c>
      <c r="C570" s="536"/>
      <c r="D570" s="536"/>
      <c r="E570" s="536"/>
      <c r="F570" s="536"/>
      <c r="G570" s="536"/>
      <c r="H570" s="536"/>
      <c r="I570" s="536"/>
      <c r="J570" s="536"/>
      <c r="K570" s="667"/>
    </row>
    <row r="572" spans="1:12">
      <c r="A572" t="s">
        <v>2476</v>
      </c>
    </row>
    <row r="574" spans="1:12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>
      <c r="A575" s="720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>
      <c r="A576" s="721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>
      <c r="A577" s="721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>
      <c r="A578" s="721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>
      <c r="A579" s="721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>
      <c r="A580" s="721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>
      <c r="A581" s="721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>
      <c r="A582" s="669" t="s">
        <v>1461</v>
      </c>
      <c r="B582" s="669"/>
      <c r="C582" s="669"/>
      <c r="D582" s="669"/>
      <c r="E582" s="669"/>
      <c r="F582" s="669"/>
      <c r="G582" s="669"/>
      <c r="H582" s="669"/>
      <c r="I582" s="669"/>
      <c r="J582" s="25">
        <v>24</v>
      </c>
      <c r="K582" s="26"/>
    </row>
    <row r="585" spans="1:12" ht="27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>
      <c r="A586" s="671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>
      <c r="A587" s="671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>
      <c r="A588" s="669" t="s">
        <v>2401</v>
      </c>
      <c r="B588" s="669"/>
      <c r="C588" s="669"/>
      <c r="D588" s="669"/>
      <c r="E588" s="669"/>
      <c r="F588" s="669"/>
      <c r="G588" s="669"/>
      <c r="H588" s="669"/>
      <c r="I588" s="669"/>
      <c r="J588" s="25">
        <v>3</v>
      </c>
      <c r="K588" s="26"/>
    </row>
    <row r="590" spans="1:12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>
      <c r="A592" s="671" t="s">
        <v>2414</v>
      </c>
      <c r="B592" s="671"/>
      <c r="C592" s="671"/>
      <c r="D592" s="671"/>
      <c r="E592" s="671"/>
      <c r="F592" s="671"/>
      <c r="G592" s="671"/>
      <c r="H592" s="671"/>
      <c r="I592" s="671"/>
      <c r="J592" s="25">
        <v>1</v>
      </c>
      <c r="K592" s="25"/>
    </row>
    <row r="594" spans="1:12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>
      <c r="A595" s="671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>
      <c r="A596" s="671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>
      <c r="A597" s="671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>
      <c r="A598" s="671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>
      <c r="A599" s="671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>
      <c r="A600" s="671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>
      <c r="A601" s="671" t="s">
        <v>2414</v>
      </c>
      <c r="B601" s="671"/>
      <c r="C601" s="671"/>
      <c r="D601" s="671"/>
      <c r="E601" s="671"/>
      <c r="F601" s="671"/>
      <c r="G601" s="671"/>
      <c r="H601" s="671"/>
      <c r="I601" s="671"/>
      <c r="J601" s="25">
        <v>9</v>
      </c>
      <c r="K601" s="25"/>
    </row>
    <row r="604" spans="1:12" ht="27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>
      <c r="A606" s="669" t="s">
        <v>2445</v>
      </c>
      <c r="B606" s="669"/>
      <c r="C606" s="669"/>
      <c r="D606" s="669"/>
      <c r="E606" s="669"/>
      <c r="F606" s="669"/>
      <c r="G606" s="669"/>
      <c r="H606" s="669"/>
      <c r="I606" s="669"/>
      <c r="J606" s="25">
        <v>1</v>
      </c>
      <c r="K606" s="25"/>
      <c r="L606" s="25"/>
    </row>
    <row r="609" spans="1:12" ht="27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>
      <c r="A610" s="671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>
      <c r="A611" s="671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>
      <c r="A612" s="671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>
      <c r="A613" s="669" t="s">
        <v>2414</v>
      </c>
      <c r="B613" s="669"/>
      <c r="C613" s="669"/>
      <c r="D613" s="669"/>
      <c r="E613" s="669"/>
      <c r="F613" s="669"/>
      <c r="G613" s="669"/>
      <c r="H613" s="669"/>
      <c r="I613" s="669"/>
      <c r="J613" s="25">
        <v>3</v>
      </c>
      <c r="K613" s="26"/>
    </row>
    <row r="616" spans="1:12" ht="27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>
      <c r="A617" s="670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>
      <c r="A618" s="670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>
      <c r="A619" s="670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>
      <c r="A620" s="670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>
      <c r="A621" s="670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>
      <c r="A622" s="670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>
      <c r="A623" s="670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>
      <c r="A624" s="670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>
      <c r="A625" s="670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>
      <c r="A626" s="670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>
      <c r="A627" s="669" t="s">
        <v>2414</v>
      </c>
      <c r="B627" s="669"/>
      <c r="C627" s="669"/>
      <c r="D627" s="669"/>
      <c r="E627" s="669"/>
      <c r="F627" s="669"/>
      <c r="G627" s="669"/>
      <c r="H627" s="669"/>
      <c r="I627" s="669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topLeftCell="A4" workbookViewId="0">
      <selection activeCell="A10" sqref="A10:D13"/>
    </sheetView>
  </sheetViews>
  <sheetFormatPr defaultRowHeight="13.5"/>
  <cols>
    <col min="1" max="1" width="12" style="734" customWidth="1"/>
    <col min="2" max="2" width="14.375" style="734" customWidth="1"/>
    <col min="3" max="3" width="12.5" style="734" customWidth="1"/>
    <col min="4" max="4" width="13.125" style="734" customWidth="1"/>
    <col min="5" max="7" width="9" style="734"/>
    <col min="8" max="8" width="39.875" style="734" customWidth="1"/>
    <col min="9" max="9" width="14.125" style="734" customWidth="1"/>
    <col min="10" max="10" width="13.5" style="734" customWidth="1"/>
    <col min="11" max="16384" width="9" style="734"/>
  </cols>
  <sheetData>
    <row r="3" spans="1:4" ht="18.75">
      <c r="A3" s="733" t="s">
        <v>5069</v>
      </c>
    </row>
    <row r="4" spans="1:4">
      <c r="A4" s="734" t="s">
        <v>5089</v>
      </c>
    </row>
    <row r="7" spans="1:4" ht="18.75">
      <c r="A7" s="733" t="s">
        <v>5070</v>
      </c>
    </row>
    <row r="8" spans="1:4">
      <c r="A8" s="734" t="s">
        <v>5071</v>
      </c>
    </row>
    <row r="10" spans="1:4">
      <c r="A10" s="738" t="s">
        <v>5060</v>
      </c>
      <c r="B10" s="738" t="s">
        <v>5061</v>
      </c>
      <c r="C10" s="740" t="s">
        <v>5062</v>
      </c>
      <c r="D10" s="740"/>
    </row>
    <row r="11" spans="1:4">
      <c r="A11" s="738" t="s">
        <v>5063</v>
      </c>
      <c r="B11" s="738">
        <v>5</v>
      </c>
      <c r="C11" s="744">
        <v>4050000</v>
      </c>
      <c r="D11" s="744"/>
    </row>
    <row r="12" spans="1:4">
      <c r="A12" s="738" t="s">
        <v>5064</v>
      </c>
      <c r="B12" s="738">
        <v>4</v>
      </c>
      <c r="C12" s="744">
        <f>1250000+800000</f>
        <v>2050000</v>
      </c>
      <c r="D12" s="744"/>
    </row>
    <row r="13" spans="1:4">
      <c r="A13" s="754" t="s">
        <v>53</v>
      </c>
      <c r="B13" s="754">
        <f>SUM(B11:B12)</f>
        <v>9</v>
      </c>
      <c r="C13" s="755">
        <f>SUM(C11:C12)</f>
        <v>6100000</v>
      </c>
      <c r="D13" s="755"/>
    </row>
    <row r="14" spans="1:4">
      <c r="A14" s="735"/>
      <c r="B14" s="735"/>
      <c r="C14" s="735"/>
    </row>
    <row r="15" spans="1:4">
      <c r="A15" s="736" t="s">
        <v>5065</v>
      </c>
      <c r="B15" s="735"/>
      <c r="C15" s="735"/>
    </row>
    <row r="16" spans="1:4">
      <c r="A16" s="739" t="s">
        <v>5092</v>
      </c>
      <c r="B16" s="738" t="s">
        <v>5067</v>
      </c>
      <c r="C16" s="738" t="s">
        <v>5068</v>
      </c>
      <c r="D16" s="739" t="s">
        <v>53</v>
      </c>
    </row>
    <row r="17" spans="1:5">
      <c r="A17" s="739" t="s">
        <v>5038</v>
      </c>
      <c r="B17" s="742">
        <v>300000</v>
      </c>
      <c r="C17" s="742">
        <v>1000000</v>
      </c>
      <c r="D17" s="745">
        <f>SUM(B17:C17)</f>
        <v>1300000</v>
      </c>
    </row>
    <row r="18" spans="1:5">
      <c r="A18" s="739" t="s">
        <v>4544</v>
      </c>
      <c r="B18" s="742">
        <v>3750000</v>
      </c>
      <c r="C18" s="742">
        <f>250000+800000</f>
        <v>1050000</v>
      </c>
      <c r="D18" s="742">
        <f>SUM(B18:C18)</f>
        <v>4800000</v>
      </c>
    </row>
    <row r="19" spans="1:5">
      <c r="A19" s="739" t="s">
        <v>5066</v>
      </c>
      <c r="B19" s="742">
        <f t="shared" ref="B19:C19" si="0">SUM(B17:B18)</f>
        <v>4050000</v>
      </c>
      <c r="C19" s="742">
        <f t="shared" si="0"/>
        <v>2050000</v>
      </c>
      <c r="D19" s="742">
        <f>SUM(D17:D18)</f>
        <v>6100000</v>
      </c>
    </row>
    <row r="20" spans="1:5">
      <c r="A20" s="736"/>
    </row>
    <row r="21" spans="1:5">
      <c r="A21" s="736"/>
    </row>
    <row r="22" spans="1:5" ht="18.75">
      <c r="A22" s="733" t="s">
        <v>5076</v>
      </c>
    </row>
    <row r="24" spans="1:5">
      <c r="A24" s="738" t="s">
        <v>5060</v>
      </c>
      <c r="B24" s="738" t="s">
        <v>5074</v>
      </c>
      <c r="C24" s="740" t="s">
        <v>5079</v>
      </c>
      <c r="D24" s="740"/>
      <c r="E24" s="740"/>
    </row>
    <row r="25" spans="1:5">
      <c r="A25" s="738" t="s">
        <v>5077</v>
      </c>
      <c r="B25" s="738" t="s">
        <v>5078</v>
      </c>
      <c r="C25" s="740" t="s">
        <v>5080</v>
      </c>
      <c r="D25" s="740"/>
      <c r="E25" s="740"/>
    </row>
    <row r="26" spans="1:5">
      <c r="A26" s="738" t="s">
        <v>5081</v>
      </c>
      <c r="B26" s="738" t="s">
        <v>5082</v>
      </c>
      <c r="C26" s="741" t="s">
        <v>5083</v>
      </c>
      <c r="D26" s="740"/>
      <c r="E26" s="740"/>
    </row>
    <row r="27" spans="1:5">
      <c r="A27" s="738" t="s">
        <v>5093</v>
      </c>
      <c r="B27" s="738" t="s">
        <v>5094</v>
      </c>
      <c r="C27" s="740" t="s">
        <v>5095</v>
      </c>
      <c r="D27" s="740"/>
      <c r="E27" s="740"/>
    </row>
    <row r="29" spans="1:5" ht="18.75">
      <c r="A29" s="733" t="s">
        <v>5072</v>
      </c>
    </row>
    <row r="31" spans="1:5">
      <c r="A31" s="734" t="s">
        <v>5084</v>
      </c>
    </row>
    <row r="33" spans="1:12">
      <c r="A33" s="734" t="s">
        <v>5085</v>
      </c>
    </row>
    <row r="35" spans="1:12">
      <c r="A35" s="734" t="s">
        <v>5075</v>
      </c>
    </row>
    <row r="39" spans="1:12" ht="18.75">
      <c r="A39" s="733" t="s">
        <v>5073</v>
      </c>
    </row>
    <row r="41" spans="1:12" ht="27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>
      <c r="A42" s="737" t="s">
        <v>4544</v>
      </c>
      <c r="B42" s="424">
        <v>46097</v>
      </c>
      <c r="C42" s="3" t="s">
        <v>21</v>
      </c>
      <c r="D42" s="3" t="s">
        <v>17</v>
      </c>
      <c r="E42" s="513" t="s">
        <v>5026</v>
      </c>
      <c r="F42" s="508">
        <v>3306</v>
      </c>
      <c r="G42" s="514" t="s">
        <v>5027</v>
      </c>
      <c r="H42" s="513" t="s">
        <v>5035</v>
      </c>
      <c r="I42" s="508" t="s">
        <v>5043</v>
      </c>
      <c r="J42" s="507" t="s">
        <v>5042</v>
      </c>
      <c r="K42" s="140" t="s">
        <v>15</v>
      </c>
      <c r="L42" s="8">
        <v>5</v>
      </c>
    </row>
    <row r="43" spans="1:12">
      <c r="A43" s="737"/>
      <c r="B43" s="424">
        <v>46097</v>
      </c>
      <c r="C43" s="4"/>
      <c r="D43" s="4"/>
      <c r="E43" s="305"/>
      <c r="F43" s="519"/>
      <c r="G43" s="16"/>
      <c r="H43" s="522"/>
      <c r="I43" s="519"/>
      <c r="J43" s="519"/>
      <c r="K43" s="129"/>
      <c r="L43" s="8"/>
    </row>
    <row r="44" spans="1:12">
      <c r="A44" s="737"/>
      <c r="B44" s="746">
        <v>46098</v>
      </c>
      <c r="C44" s="747" t="s">
        <v>21</v>
      </c>
      <c r="D44" s="747" t="s">
        <v>14</v>
      </c>
      <c r="E44" s="748" t="s">
        <v>108</v>
      </c>
      <c r="F44" s="748" t="s">
        <v>1975</v>
      </c>
      <c r="G44" s="749" t="s">
        <v>377</v>
      </c>
      <c r="H44" s="750" t="s">
        <v>5021</v>
      </c>
      <c r="I44" s="748" t="s">
        <v>203</v>
      </c>
      <c r="J44" s="750" t="s">
        <v>5023</v>
      </c>
      <c r="K44" s="751" t="s">
        <v>15</v>
      </c>
      <c r="L44" s="752">
        <v>4</v>
      </c>
    </row>
    <row r="45" spans="1:12" ht="36">
      <c r="A45" s="737"/>
      <c r="B45" s="746">
        <v>46098</v>
      </c>
      <c r="C45" s="747" t="s">
        <v>21</v>
      </c>
      <c r="D45" s="747" t="s">
        <v>14</v>
      </c>
      <c r="E45" s="748" t="s">
        <v>212</v>
      </c>
      <c r="F45" s="748" t="s">
        <v>2935</v>
      </c>
      <c r="G45" s="749" t="s">
        <v>2936</v>
      </c>
      <c r="H45" s="753" t="s">
        <v>5053</v>
      </c>
      <c r="I45" s="748" t="s">
        <v>90</v>
      </c>
      <c r="J45" s="750" t="s">
        <v>687</v>
      </c>
      <c r="K45" s="751" t="s">
        <v>15</v>
      </c>
      <c r="L45" s="752">
        <v>2</v>
      </c>
    </row>
    <row r="46" spans="1:12" ht="27">
      <c r="A46" s="737"/>
      <c r="B46" s="386">
        <v>46098</v>
      </c>
      <c r="C46" s="3" t="s">
        <v>21</v>
      </c>
      <c r="D46" s="3" t="s">
        <v>17</v>
      </c>
      <c r="E46" s="513" t="s">
        <v>5026</v>
      </c>
      <c r="F46" s="508">
        <v>3306</v>
      </c>
      <c r="G46" s="514" t="s">
        <v>5027</v>
      </c>
      <c r="H46" s="513" t="s">
        <v>5035</v>
      </c>
      <c r="I46" s="508" t="s">
        <v>5043</v>
      </c>
      <c r="J46" s="507" t="s">
        <v>5042</v>
      </c>
      <c r="K46" s="140" t="s">
        <v>15</v>
      </c>
      <c r="L46" s="8">
        <v>5</v>
      </c>
    </row>
    <row r="47" spans="1:12">
      <c r="A47" s="737"/>
      <c r="B47" s="386">
        <v>46099</v>
      </c>
      <c r="C47" s="4" t="s">
        <v>21</v>
      </c>
      <c r="D47" s="4" t="s">
        <v>17</v>
      </c>
      <c r="E47" s="521" t="s">
        <v>5010</v>
      </c>
      <c r="F47" s="519" t="s">
        <v>5011</v>
      </c>
      <c r="G47" s="16" t="s">
        <v>149</v>
      </c>
      <c r="H47" s="522" t="s">
        <v>5013</v>
      </c>
      <c r="I47" s="519"/>
      <c r="J47" s="519" t="s">
        <v>5014</v>
      </c>
      <c r="K47" s="129" t="s">
        <v>42</v>
      </c>
      <c r="L47" s="8">
        <v>4</v>
      </c>
    </row>
    <row r="48" spans="1:12" ht="27">
      <c r="A48" s="737"/>
      <c r="B48" s="386">
        <v>46099</v>
      </c>
      <c r="C48" s="3" t="s">
        <v>21</v>
      </c>
      <c r="D48" s="3" t="s">
        <v>17</v>
      </c>
      <c r="E48" s="513" t="s">
        <v>5026</v>
      </c>
      <c r="F48" s="508">
        <v>3306</v>
      </c>
      <c r="G48" s="514" t="s">
        <v>5027</v>
      </c>
      <c r="H48" s="513" t="s">
        <v>5035</v>
      </c>
      <c r="I48" s="508" t="s">
        <v>5043</v>
      </c>
      <c r="J48" s="507" t="s">
        <v>5042</v>
      </c>
      <c r="K48" s="140" t="s">
        <v>15</v>
      </c>
      <c r="L48" s="8">
        <v>5</v>
      </c>
    </row>
    <row r="49" spans="1:12" ht="27">
      <c r="A49" s="737"/>
      <c r="B49" s="386">
        <v>46100</v>
      </c>
      <c r="C49" s="4" t="s">
        <v>21</v>
      </c>
      <c r="D49" s="4" t="s">
        <v>17</v>
      </c>
      <c r="E49" s="521" t="s">
        <v>5010</v>
      </c>
      <c r="F49" s="519" t="s">
        <v>5011</v>
      </c>
      <c r="G49" s="16" t="s">
        <v>149</v>
      </c>
      <c r="H49" s="522" t="s">
        <v>5013</v>
      </c>
      <c r="I49" s="519"/>
      <c r="J49" s="522" t="s">
        <v>5055</v>
      </c>
      <c r="K49" s="129" t="s">
        <v>42</v>
      </c>
      <c r="L49" s="8">
        <v>5</v>
      </c>
    </row>
    <row r="50" spans="1:12" ht="27">
      <c r="A50" s="737"/>
      <c r="B50" s="386">
        <v>46100</v>
      </c>
      <c r="C50" s="3" t="s">
        <v>21</v>
      </c>
      <c r="D50" s="3" t="s">
        <v>17</v>
      </c>
      <c r="E50" s="513" t="s">
        <v>5026</v>
      </c>
      <c r="F50" s="508">
        <v>3306</v>
      </c>
      <c r="G50" s="514" t="s">
        <v>5027</v>
      </c>
      <c r="H50" s="513" t="s">
        <v>5035</v>
      </c>
      <c r="I50" s="508" t="s">
        <v>5043</v>
      </c>
      <c r="J50" s="507" t="s">
        <v>5042</v>
      </c>
      <c r="K50" s="140" t="s">
        <v>15</v>
      </c>
      <c r="L50" s="8"/>
    </row>
    <row r="51" spans="1:12" ht="27">
      <c r="A51" s="737"/>
      <c r="B51" s="386">
        <v>46101</v>
      </c>
      <c r="C51" s="4" t="s">
        <v>21</v>
      </c>
      <c r="D51" s="4" t="s">
        <v>17</v>
      </c>
      <c r="E51" s="521" t="s">
        <v>5010</v>
      </c>
      <c r="F51" s="519" t="s">
        <v>5011</v>
      </c>
      <c r="G51" s="16" t="s">
        <v>149</v>
      </c>
      <c r="H51" s="522" t="s">
        <v>5013</v>
      </c>
      <c r="I51" s="519"/>
      <c r="J51" s="522" t="s">
        <v>5055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4"/>
  <sheetViews>
    <sheetView topLeftCell="A2" zoomScale="85" zoomScaleNormal="85" zoomScaleSheetLayoutView="55" workbookViewId="0">
      <selection activeCell="G18" sqref="G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57" t="s">
        <v>4544</v>
      </c>
      <c r="B2" s="757" t="s">
        <v>1</v>
      </c>
      <c r="C2" s="757" t="s">
        <v>2</v>
      </c>
      <c r="D2" s="757" t="s">
        <v>3</v>
      </c>
      <c r="E2" s="758" t="s">
        <v>2632</v>
      </c>
      <c r="F2" s="757" t="s">
        <v>5</v>
      </c>
      <c r="G2" s="757" t="s">
        <v>6</v>
      </c>
      <c r="H2" s="757" t="s">
        <v>2633</v>
      </c>
      <c r="I2" s="757" t="s">
        <v>55</v>
      </c>
      <c r="J2" s="757" t="s">
        <v>9</v>
      </c>
      <c r="K2" s="759" t="s">
        <v>56</v>
      </c>
      <c r="L2" s="757" t="s">
        <v>57</v>
      </c>
      <c r="M2" s="757" t="s">
        <v>58</v>
      </c>
    </row>
    <row r="3" spans="1:21">
      <c r="A3" s="757"/>
      <c r="B3" s="757"/>
      <c r="C3" s="757"/>
      <c r="D3" s="757"/>
      <c r="E3" s="760" t="s">
        <v>1731</v>
      </c>
      <c r="F3" s="757"/>
      <c r="G3" s="757"/>
      <c r="H3" s="757"/>
      <c r="I3" s="757"/>
      <c r="J3" s="757"/>
      <c r="K3" s="759"/>
      <c r="L3" s="757"/>
      <c r="M3" s="757"/>
    </row>
    <row r="4" spans="1:21" s="743" customFormat="1">
      <c r="A4" s="761" t="s">
        <v>20</v>
      </c>
      <c r="B4" s="762">
        <v>46093</v>
      </c>
      <c r="C4" s="520" t="s">
        <v>19</v>
      </c>
      <c r="D4" s="520" t="s">
        <v>25</v>
      </c>
      <c r="E4" s="520" t="s">
        <v>308</v>
      </c>
      <c r="F4" s="763">
        <v>7062</v>
      </c>
      <c r="G4" s="764" t="s">
        <v>1394</v>
      </c>
      <c r="H4" s="263" t="s">
        <v>397</v>
      </c>
      <c r="I4" s="520" t="s">
        <v>169</v>
      </c>
      <c r="J4" s="520" t="s">
        <v>3116</v>
      </c>
      <c r="K4" s="520"/>
      <c r="L4" s="765">
        <v>300000</v>
      </c>
      <c r="M4" s="766" t="s">
        <v>5039</v>
      </c>
    </row>
    <row r="5" spans="1:21">
      <c r="A5" s="767"/>
      <c r="B5" s="762" t="s">
        <v>5090</v>
      </c>
      <c r="C5" s="520" t="s">
        <v>19</v>
      </c>
      <c r="D5" s="520" t="s">
        <v>25</v>
      </c>
      <c r="E5" s="520" t="s">
        <v>308</v>
      </c>
      <c r="F5" s="763" t="s">
        <v>5096</v>
      </c>
      <c r="G5" s="764" t="s">
        <v>3426</v>
      </c>
      <c r="H5" s="263" t="s">
        <v>379</v>
      </c>
      <c r="I5" s="520" t="s">
        <v>169</v>
      </c>
      <c r="J5" s="520" t="s">
        <v>4470</v>
      </c>
      <c r="K5" s="520"/>
      <c r="L5" s="765">
        <v>750000</v>
      </c>
      <c r="M5" s="766"/>
    </row>
    <row r="6" spans="1:21">
      <c r="A6" s="767"/>
      <c r="B6" s="762" t="s">
        <v>5090</v>
      </c>
      <c r="C6" s="520" t="s">
        <v>19</v>
      </c>
      <c r="D6" s="520" t="s">
        <v>25</v>
      </c>
      <c r="E6" s="520" t="s">
        <v>308</v>
      </c>
      <c r="F6" s="763" t="s">
        <v>5096</v>
      </c>
      <c r="G6" s="764" t="s">
        <v>3426</v>
      </c>
      <c r="H6" s="263" t="s">
        <v>4990</v>
      </c>
      <c r="I6" s="520" t="s">
        <v>169</v>
      </c>
      <c r="J6" s="520" t="s">
        <v>4471</v>
      </c>
      <c r="K6" s="520"/>
      <c r="L6" s="765">
        <v>500000</v>
      </c>
      <c r="M6" s="766"/>
    </row>
    <row r="7" spans="1:21">
      <c r="A7" s="767"/>
      <c r="B7" s="762" t="s">
        <v>5090</v>
      </c>
      <c r="C7" s="520" t="s">
        <v>19</v>
      </c>
      <c r="D7" s="520" t="s">
        <v>25</v>
      </c>
      <c r="E7" s="520" t="s">
        <v>308</v>
      </c>
      <c r="F7" s="763" t="s">
        <v>5097</v>
      </c>
      <c r="G7" s="764" t="s">
        <v>5098</v>
      </c>
      <c r="H7" s="263" t="s">
        <v>1106</v>
      </c>
      <c r="I7" s="520" t="s">
        <v>169</v>
      </c>
      <c r="J7" s="520" t="s">
        <v>3292</v>
      </c>
      <c r="K7" s="520"/>
      <c r="L7" s="765">
        <v>1250000</v>
      </c>
      <c r="M7" s="766"/>
    </row>
    <row r="8" spans="1:21">
      <c r="A8" s="767"/>
      <c r="B8" s="762" t="s">
        <v>5090</v>
      </c>
      <c r="C8" s="520" t="s">
        <v>19</v>
      </c>
      <c r="D8" s="520" t="s">
        <v>25</v>
      </c>
      <c r="E8" s="520" t="s">
        <v>308</v>
      </c>
      <c r="F8" s="763">
        <v>7062</v>
      </c>
      <c r="G8" s="764" t="s">
        <v>23</v>
      </c>
      <c r="H8" s="263" t="s">
        <v>1106</v>
      </c>
      <c r="I8" s="520" t="s">
        <v>169</v>
      </c>
      <c r="J8" s="520" t="s">
        <v>3292</v>
      </c>
      <c r="K8" s="520"/>
      <c r="L8" s="765">
        <v>1250000</v>
      </c>
      <c r="M8" s="766"/>
    </row>
    <row r="9" spans="1:21">
      <c r="A9" s="768"/>
      <c r="B9" s="769" t="s">
        <v>1138</v>
      </c>
      <c r="C9" s="769"/>
      <c r="D9" s="769"/>
      <c r="E9" s="769"/>
      <c r="F9" s="769"/>
      <c r="G9" s="769"/>
      <c r="H9" s="769"/>
      <c r="I9" s="769"/>
      <c r="J9" s="769"/>
      <c r="K9" s="769"/>
      <c r="L9" s="765">
        <f>SUM(L4:L8)</f>
        <v>4050000</v>
      </c>
      <c r="M9" s="520"/>
    </row>
    <row r="10" spans="1:21" ht="24">
      <c r="A10" s="761" t="s">
        <v>21</v>
      </c>
      <c r="B10" s="762">
        <v>46093</v>
      </c>
      <c r="C10" s="520" t="s">
        <v>21</v>
      </c>
      <c r="D10" s="520" t="s">
        <v>17</v>
      </c>
      <c r="E10" s="763" t="s">
        <v>4865</v>
      </c>
      <c r="F10" s="763" t="s">
        <v>4870</v>
      </c>
      <c r="G10" s="764" t="s">
        <v>23</v>
      </c>
      <c r="H10" s="763" t="s">
        <v>4871</v>
      </c>
      <c r="I10" s="770"/>
      <c r="J10" s="763" t="s">
        <v>642</v>
      </c>
      <c r="K10" s="520" t="s">
        <v>15</v>
      </c>
      <c r="L10" s="771">
        <v>500000</v>
      </c>
      <c r="M10" s="772" t="s">
        <v>5040</v>
      </c>
    </row>
    <row r="11" spans="1:21">
      <c r="A11" s="767"/>
      <c r="B11" s="762">
        <v>46095</v>
      </c>
      <c r="C11" s="520" t="s">
        <v>21</v>
      </c>
      <c r="D11" s="520" t="s">
        <v>14</v>
      </c>
      <c r="E11" s="770" t="s">
        <v>1900</v>
      </c>
      <c r="F11" s="770" t="s">
        <v>3638</v>
      </c>
      <c r="G11" s="764" t="s">
        <v>34</v>
      </c>
      <c r="H11" s="763" t="s">
        <v>4966</v>
      </c>
      <c r="I11" s="763" t="s">
        <v>127</v>
      </c>
      <c r="J11" s="763" t="s">
        <v>5036</v>
      </c>
      <c r="K11" s="520" t="s">
        <v>15</v>
      </c>
      <c r="L11" s="773">
        <v>500000</v>
      </c>
      <c r="M11" s="772" t="s">
        <v>5041</v>
      </c>
    </row>
    <row r="12" spans="1:21">
      <c r="A12" s="767"/>
      <c r="B12" s="774">
        <v>46098</v>
      </c>
      <c r="C12" s="775" t="s">
        <v>21</v>
      </c>
      <c r="D12" s="775" t="s">
        <v>14</v>
      </c>
      <c r="E12" s="776" t="s">
        <v>108</v>
      </c>
      <c r="F12" s="776" t="s">
        <v>1975</v>
      </c>
      <c r="G12" s="777" t="s">
        <v>377</v>
      </c>
      <c r="H12" s="778" t="s">
        <v>5021</v>
      </c>
      <c r="I12" s="776" t="s">
        <v>203</v>
      </c>
      <c r="J12" s="778" t="s">
        <v>5023</v>
      </c>
      <c r="K12" s="775" t="s">
        <v>15</v>
      </c>
      <c r="L12" s="773">
        <v>800000</v>
      </c>
      <c r="M12" s="772" t="s">
        <v>979</v>
      </c>
    </row>
    <row r="13" spans="1:21" ht="48">
      <c r="A13" s="767"/>
      <c r="B13" s="779">
        <v>46098</v>
      </c>
      <c r="C13" s="775" t="s">
        <v>21</v>
      </c>
      <c r="D13" s="775" t="s">
        <v>14</v>
      </c>
      <c r="E13" s="776" t="s">
        <v>212</v>
      </c>
      <c r="F13" s="776" t="s">
        <v>2935</v>
      </c>
      <c r="G13" s="777" t="s">
        <v>2936</v>
      </c>
      <c r="H13" s="778" t="s">
        <v>5053</v>
      </c>
      <c r="I13" s="776" t="s">
        <v>90</v>
      </c>
      <c r="J13" s="763" t="s">
        <v>5086</v>
      </c>
      <c r="K13" s="520" t="s">
        <v>5087</v>
      </c>
      <c r="L13" s="771">
        <v>250000</v>
      </c>
      <c r="M13" s="772" t="s">
        <v>5088</v>
      </c>
      <c r="P13" s="523"/>
      <c r="Q13" s="523" t="s">
        <v>20</v>
      </c>
      <c r="R13" s="523" t="s">
        <v>21</v>
      </c>
      <c r="S13" s="523" t="s">
        <v>3430</v>
      </c>
      <c r="T13" s="523" t="s">
        <v>3431</v>
      </c>
    </row>
    <row r="14" spans="1:21">
      <c r="A14" s="768"/>
      <c r="B14" s="769" t="s">
        <v>5091</v>
      </c>
      <c r="C14" s="769"/>
      <c r="D14" s="769"/>
      <c r="E14" s="769"/>
      <c r="F14" s="769"/>
      <c r="G14" s="769"/>
      <c r="H14" s="769"/>
      <c r="I14" s="769"/>
      <c r="J14" s="769"/>
      <c r="K14" s="769"/>
      <c r="L14" s="765">
        <f>SUM(L10:L13)</f>
        <v>2050000</v>
      </c>
      <c r="M14" s="520"/>
    </row>
    <row r="15" spans="1:21" s="756" customFormat="1" ht="13.5">
      <c r="A15" s="731" t="s">
        <v>62</v>
      </c>
      <c r="B15" s="731"/>
      <c r="C15" s="731"/>
      <c r="D15" s="731"/>
      <c r="E15" s="731"/>
      <c r="F15" s="731"/>
      <c r="G15" s="731"/>
      <c r="H15" s="731"/>
      <c r="I15" s="731"/>
      <c r="J15" s="731"/>
      <c r="K15" s="731"/>
      <c r="L15" s="393">
        <f>L9+L14</f>
        <v>6100000</v>
      </c>
      <c r="M15" s="38"/>
      <c r="P15" s="17"/>
      <c r="Q15" s="17"/>
      <c r="R15" s="17"/>
      <c r="S15" s="17"/>
      <c r="T15" s="17"/>
      <c r="U15" s="17"/>
    </row>
    <row r="16" spans="1:21" ht="26.25" customHeight="1">
      <c r="O16" s="17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A18" s="430"/>
      <c r="B18" s="430"/>
      <c r="C18" s="430"/>
      <c r="D18" s="430"/>
      <c r="E18" s="430"/>
      <c r="F18" s="430"/>
      <c r="G18" s="430"/>
      <c r="H18" s="430"/>
      <c r="I18" s="430"/>
      <c r="J18" s="430"/>
      <c r="K18" s="430"/>
      <c r="L18" s="404"/>
      <c r="M18" s="405"/>
      <c r="O18" s="17"/>
      <c r="P18" s="17"/>
      <c r="Q18" s="17"/>
      <c r="R18" s="17"/>
      <c r="S18" s="17"/>
      <c r="T18" s="17"/>
      <c r="U18" s="17"/>
    </row>
    <row r="19" spans="1:27" ht="26.25" hidden="1" customHeight="1"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7" ht="25.5" hidden="1" customHeight="1">
      <c r="B20" s="154" t="s">
        <v>1146</v>
      </c>
      <c r="C20" s="155"/>
      <c r="D20" s="155"/>
      <c r="E20" s="155"/>
      <c r="F20" s="155"/>
      <c r="G20" s="155"/>
      <c r="H20" s="155"/>
      <c r="I20" s="155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6" t="s">
        <v>1142</v>
      </c>
      <c r="C21" s="157">
        <v>45282</v>
      </c>
      <c r="D21" s="155" t="s">
        <v>1153</v>
      </c>
      <c r="E21" s="155"/>
      <c r="F21" s="155"/>
      <c r="G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ht="25.5" hidden="1" customHeight="1">
      <c r="B22" s="156" t="s">
        <v>1143</v>
      </c>
      <c r="C22" s="157">
        <v>45282</v>
      </c>
      <c r="D22" s="155" t="s">
        <v>1145</v>
      </c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6" t="s">
        <v>1147</v>
      </c>
      <c r="C23" s="158" t="s">
        <v>1144</v>
      </c>
      <c r="D23" s="155" t="s">
        <v>1154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0.100000000000001" hidden="1" customHeight="1">
      <c r="B24" s="155"/>
      <c r="C24" s="155" t="s">
        <v>1148</v>
      </c>
      <c r="D24" s="155"/>
      <c r="E24" s="155"/>
      <c r="F24" s="155"/>
      <c r="G24" s="155"/>
      <c r="H24" s="155"/>
      <c r="I24" s="155"/>
      <c r="N24" t="s">
        <v>3438</v>
      </c>
      <c r="O24" s="17"/>
      <c r="P24" s="17"/>
      <c r="Q24" s="17"/>
      <c r="R24" s="17"/>
      <c r="S24" s="17"/>
      <c r="T24" s="17"/>
      <c r="V24" s="17"/>
      <c r="W24" s="17"/>
      <c r="X24" s="17"/>
      <c r="Y24" s="17"/>
      <c r="Z24" s="17"/>
      <c r="AA24" s="17"/>
    </row>
    <row r="25" spans="1:27" ht="16.5" hidden="1" customHeight="1">
      <c r="O25" s="17"/>
      <c r="V25" s="17"/>
      <c r="W25" s="17"/>
      <c r="X25" s="17"/>
      <c r="Y25" s="17"/>
      <c r="Z25" s="17"/>
      <c r="AA25" s="17"/>
    </row>
    <row r="26" spans="1:27" ht="20.100000000000001" hidden="1" customHeight="1">
      <c r="J26" s="155"/>
      <c r="V26" s="17"/>
      <c r="W26" s="17"/>
      <c r="X26" s="17"/>
      <c r="Y26" s="17"/>
      <c r="Z26" s="17"/>
      <c r="AA26" s="17"/>
    </row>
    <row r="27" spans="1:27">
      <c r="V27" s="17"/>
      <c r="W27" s="17"/>
      <c r="X27" s="17"/>
      <c r="Y27" s="17"/>
      <c r="Z27" s="17"/>
      <c r="AA27" s="17"/>
    </row>
    <row r="28" spans="1:27">
      <c r="N28" s="17"/>
    </row>
    <row r="29" spans="1:27" ht="28.5" customHeight="1">
      <c r="A29" s="338" t="s">
        <v>0</v>
      </c>
      <c r="B29" s="339" t="s">
        <v>1</v>
      </c>
      <c r="C29" s="338" t="s">
        <v>2</v>
      </c>
      <c r="D29" s="338" t="s">
        <v>3</v>
      </c>
      <c r="E29" s="338" t="s">
        <v>4</v>
      </c>
      <c r="F29" s="338" t="s">
        <v>5</v>
      </c>
      <c r="G29" s="338" t="s">
        <v>6</v>
      </c>
      <c r="H29" s="340" t="s">
        <v>7</v>
      </c>
      <c r="I29" s="338" t="s">
        <v>8</v>
      </c>
      <c r="J29" s="338" t="s">
        <v>9</v>
      </c>
      <c r="K29" s="341" t="s">
        <v>10</v>
      </c>
      <c r="L29" s="338" t="s">
        <v>12</v>
      </c>
      <c r="M29" s="338" t="s">
        <v>63</v>
      </c>
      <c r="N29" s="17"/>
    </row>
    <row r="30" spans="1:27" ht="33" customHeight="1">
      <c r="A30" s="724"/>
      <c r="B30" s="424"/>
      <c r="C30" s="4"/>
      <c r="D30" s="4"/>
      <c r="E30" s="519"/>
      <c r="F30" s="16"/>
      <c r="G30" s="16"/>
      <c r="H30" s="521"/>
      <c r="I30" s="519"/>
      <c r="J30" s="522"/>
      <c r="K30" s="129"/>
      <c r="L30" s="16"/>
      <c r="M30" s="505"/>
    </row>
    <row r="31" spans="1:27" ht="33" customHeight="1">
      <c r="A31" s="725"/>
      <c r="B31" s="424"/>
      <c r="C31" s="4"/>
      <c r="D31" s="4"/>
      <c r="E31" s="519"/>
      <c r="F31" s="519"/>
      <c r="G31" s="16"/>
      <c r="H31" s="522"/>
      <c r="I31" s="519"/>
      <c r="J31" s="522"/>
      <c r="K31" s="129"/>
      <c r="L31" s="16"/>
      <c r="M31" s="505"/>
    </row>
    <row r="32" spans="1:27" ht="33" customHeight="1">
      <c r="A32" s="725"/>
      <c r="B32" s="424"/>
      <c r="C32" s="4"/>
      <c r="D32" s="4"/>
      <c r="E32" s="519"/>
      <c r="F32" s="519"/>
      <c r="G32" s="16"/>
      <c r="H32" s="522"/>
      <c r="I32" s="519"/>
      <c r="J32" s="519"/>
      <c r="K32" s="129"/>
      <c r="L32" s="16"/>
      <c r="M32" s="505"/>
    </row>
    <row r="33" spans="1:21" ht="33" customHeight="1">
      <c r="A33" s="725"/>
      <c r="B33" s="424"/>
      <c r="C33" s="4"/>
      <c r="D33" s="4"/>
      <c r="E33" s="519"/>
      <c r="F33" s="519"/>
      <c r="G33" s="16"/>
      <c r="H33" s="522"/>
      <c r="I33" s="519"/>
      <c r="J33" s="522"/>
      <c r="K33" s="129"/>
      <c r="L33" s="16"/>
      <c r="M33" s="505"/>
    </row>
    <row r="34" spans="1:21" ht="33" customHeight="1">
      <c r="A34" s="725"/>
      <c r="B34" s="424"/>
      <c r="C34" s="4"/>
      <c r="D34" s="4"/>
      <c r="E34" s="519"/>
      <c r="F34" s="16"/>
      <c r="G34" s="16"/>
      <c r="H34" s="521"/>
      <c r="I34" s="519"/>
      <c r="J34" s="522"/>
      <c r="K34" s="129"/>
      <c r="L34" s="16"/>
      <c r="M34" s="505"/>
    </row>
    <row r="35" spans="1:21" ht="33" customHeight="1">
      <c r="A35" s="725"/>
      <c r="B35" s="424"/>
      <c r="C35" s="4"/>
      <c r="D35" s="4"/>
      <c r="E35" s="519"/>
      <c r="F35" s="519"/>
      <c r="G35" s="16"/>
      <c r="H35" s="522"/>
      <c r="I35" s="519"/>
      <c r="J35" s="522"/>
      <c r="K35" s="129"/>
      <c r="L35" s="16"/>
      <c r="M35" s="505"/>
    </row>
    <row r="36" spans="1:21" ht="33" customHeight="1">
      <c r="A36" s="725"/>
      <c r="B36" s="424"/>
      <c r="C36" s="4"/>
      <c r="D36" s="4"/>
      <c r="E36" s="522"/>
      <c r="F36" s="519"/>
      <c r="G36" s="16"/>
      <c r="H36" s="522"/>
      <c r="I36" s="519"/>
      <c r="J36" s="522"/>
      <c r="K36" s="129"/>
      <c r="L36" s="16"/>
      <c r="M36" s="505"/>
    </row>
    <row r="37" spans="1:21" ht="33" customHeight="1">
      <c r="A37" s="725"/>
      <c r="B37" s="424"/>
      <c r="C37" s="4"/>
      <c r="D37" s="4"/>
      <c r="E37" s="305"/>
      <c r="F37" s="519"/>
      <c r="G37" s="16"/>
      <c r="H37" s="522"/>
      <c r="I37" s="519"/>
      <c r="J37" s="519"/>
      <c r="K37" s="129"/>
      <c r="L37" s="16"/>
      <c r="M37" s="505"/>
    </row>
    <row r="38" spans="1:21" ht="33" customHeight="1">
      <c r="A38" s="725"/>
      <c r="B38" s="424"/>
      <c r="C38" s="522"/>
      <c r="D38" s="522"/>
      <c r="E38" s="522"/>
      <c r="F38" s="522"/>
      <c r="G38" s="522"/>
      <c r="H38" s="522"/>
      <c r="I38" s="519"/>
      <c r="J38" s="519"/>
      <c r="K38" s="129"/>
      <c r="L38" s="16"/>
      <c r="M38" s="505"/>
    </row>
    <row r="39" spans="1:21" ht="33" customHeight="1">
      <c r="A39" s="725"/>
      <c r="B39" s="424"/>
      <c r="C39" s="522"/>
      <c r="D39" s="522"/>
      <c r="E39" s="522"/>
      <c r="F39" s="522"/>
      <c r="G39" s="522"/>
      <c r="H39" s="522"/>
      <c r="I39" s="519"/>
      <c r="J39" s="519"/>
      <c r="K39" s="129"/>
      <c r="L39" s="16"/>
      <c r="M39" s="505"/>
    </row>
    <row r="40" spans="1:21" ht="33" customHeight="1">
      <c r="A40" s="725"/>
      <c r="B40" s="424"/>
      <c r="C40" s="4"/>
      <c r="D40" s="4"/>
      <c r="E40" s="522"/>
      <c r="F40" s="305"/>
      <c r="G40" s="497"/>
      <c r="H40" s="522"/>
      <c r="I40" s="519"/>
      <c r="J40" s="522"/>
      <c r="K40" s="129"/>
      <c r="L40" s="16"/>
      <c r="M40" s="505"/>
    </row>
    <row r="41" spans="1:21" ht="33" customHeight="1">
      <c r="A41" s="725"/>
      <c r="B41" s="424"/>
      <c r="C41" s="4"/>
      <c r="D41" s="4"/>
      <c r="E41" s="519"/>
      <c r="F41" s="519"/>
      <c r="G41" s="16"/>
      <c r="H41" s="522"/>
      <c r="I41" s="519"/>
      <c r="J41" s="519"/>
      <c r="K41" s="129"/>
      <c r="L41" s="16"/>
      <c r="M41" s="505"/>
    </row>
    <row r="42" spans="1:21" ht="33" customHeight="1">
      <c r="A42" s="725"/>
      <c r="B42" s="424"/>
      <c r="C42" s="4"/>
      <c r="D42" s="4"/>
      <c r="E42" s="519"/>
      <c r="F42" s="519"/>
      <c r="G42" s="16"/>
      <c r="H42" s="522"/>
      <c r="I42" s="522"/>
      <c r="J42" s="522"/>
      <c r="K42" s="129"/>
      <c r="L42" s="16"/>
      <c r="M42" s="505"/>
    </row>
    <row r="43" spans="1:21" ht="33" customHeight="1">
      <c r="A43" s="726"/>
      <c r="B43" s="386"/>
      <c r="C43" s="4"/>
      <c r="D43" s="4"/>
      <c r="E43" s="519"/>
      <c r="F43" s="519"/>
      <c r="G43" s="16"/>
      <c r="H43" s="522"/>
      <c r="I43" s="522"/>
      <c r="J43" s="522"/>
      <c r="K43" s="129"/>
      <c r="L43" s="16"/>
      <c r="M43" s="316"/>
    </row>
    <row r="44" spans="1:21" s="17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/>
      <c r="O44"/>
      <c r="P44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2827</v>
      </c>
      <c r="N45"/>
      <c r="O45"/>
      <c r="P45"/>
      <c r="U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2830</v>
      </c>
      <c r="N46"/>
      <c r="O46"/>
      <c r="P46"/>
      <c r="Q46"/>
      <c r="R46"/>
      <c r="S46"/>
      <c r="T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2831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2826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>
      <c r="M51" s="8" t="s">
        <v>2831</v>
      </c>
    </row>
    <row r="52" spans="1:28">
      <c r="M52" s="8" t="s">
        <v>2829</v>
      </c>
    </row>
    <row r="53" spans="1:28">
      <c r="M53" s="8" t="s">
        <v>2831</v>
      </c>
    </row>
    <row r="54" spans="1:28">
      <c r="M54" s="8" t="s">
        <v>2832</v>
      </c>
    </row>
  </sheetData>
  <mergeCells count="18">
    <mergeCell ref="B9:K9"/>
    <mergeCell ref="A15:K15"/>
    <mergeCell ref="A30:A43"/>
    <mergeCell ref="B14:K14"/>
    <mergeCell ref="A4:A9"/>
    <mergeCell ref="A10:A14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23" t="s">
        <v>4544</v>
      </c>
      <c r="B2" s="723" t="s">
        <v>1</v>
      </c>
      <c r="C2" s="723" t="s">
        <v>2</v>
      </c>
      <c r="D2" s="723" t="s">
        <v>3</v>
      </c>
      <c r="E2" s="440" t="s">
        <v>2632</v>
      </c>
      <c r="F2" s="723" t="s">
        <v>5</v>
      </c>
      <c r="G2" s="723" t="s">
        <v>6</v>
      </c>
      <c r="H2" s="723" t="s">
        <v>2633</v>
      </c>
      <c r="I2" s="723" t="s">
        <v>55</v>
      </c>
      <c r="J2" s="723" t="s">
        <v>9</v>
      </c>
      <c r="K2" s="727" t="s">
        <v>56</v>
      </c>
      <c r="L2" s="723" t="s">
        <v>57</v>
      </c>
      <c r="M2" s="723" t="s">
        <v>58</v>
      </c>
    </row>
    <row r="3" spans="1:20">
      <c r="A3" s="723"/>
      <c r="B3" s="723"/>
      <c r="C3" s="723"/>
      <c r="D3" s="723"/>
      <c r="E3" s="441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5039</v>
      </c>
    </row>
    <row r="5" spans="1:20" ht="27.75" customHeight="1">
      <c r="A5" s="531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>
      <c r="A6" s="531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>
      <c r="A7" s="531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>
      <c r="A8" s="531"/>
      <c r="B8" s="531" t="s">
        <v>1138</v>
      </c>
      <c r="C8" s="531"/>
      <c r="D8" s="531"/>
      <c r="E8" s="531"/>
      <c r="F8" s="531"/>
      <c r="G8" s="531"/>
      <c r="H8" s="531"/>
      <c r="I8" s="531"/>
      <c r="J8" s="531"/>
      <c r="K8" s="531"/>
      <c r="L8" s="99">
        <f>SUM(L4:L7)</f>
        <v>300000</v>
      </c>
      <c r="M8" s="45"/>
    </row>
    <row r="9" spans="1:20" ht="25.5" customHeight="1">
      <c r="A9" s="541" t="s">
        <v>21</v>
      </c>
      <c r="B9" s="424">
        <v>46093</v>
      </c>
      <c r="C9" s="4" t="s">
        <v>21</v>
      </c>
      <c r="D9" s="4" t="s">
        <v>17</v>
      </c>
      <c r="E9" s="203" t="s">
        <v>4865</v>
      </c>
      <c r="F9" s="305" t="s">
        <v>4870</v>
      </c>
      <c r="G9" s="497" t="s">
        <v>23</v>
      </c>
      <c r="H9" s="203" t="s">
        <v>4871</v>
      </c>
      <c r="I9" s="31"/>
      <c r="J9" s="203" t="s">
        <v>642</v>
      </c>
      <c r="K9" s="129" t="s">
        <v>15</v>
      </c>
      <c r="L9" s="512">
        <v>500000</v>
      </c>
      <c r="M9" s="96" t="s">
        <v>5040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42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4966</v>
      </c>
      <c r="I10" s="203" t="s">
        <v>127</v>
      </c>
      <c r="J10" s="203" t="s">
        <v>5036</v>
      </c>
      <c r="K10" s="129" t="s">
        <v>15</v>
      </c>
      <c r="L10" s="60">
        <v>500000</v>
      </c>
      <c r="M10" s="96" t="s">
        <v>5041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>
      <c r="A11" s="542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>
      <c r="A12" s="542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>
      <c r="A13" s="542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>
      <c r="A14" s="542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>
      <c r="A15" s="542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>
      <c r="A16" s="542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>
      <c r="A17" s="542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>
      <c r="A18" s="543"/>
      <c r="B18" s="728" t="s">
        <v>1137</v>
      </c>
      <c r="C18" s="729"/>
      <c r="D18" s="729"/>
      <c r="E18" s="729"/>
      <c r="F18" s="729"/>
      <c r="G18" s="729"/>
      <c r="H18" s="729"/>
      <c r="I18" s="729"/>
      <c r="J18" s="729"/>
      <c r="K18" s="730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>
      <c r="A19" s="731" t="s">
        <v>62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>
      <c r="O29" s="17"/>
      <c r="V29" s="17"/>
      <c r="W29" s="17"/>
      <c r="X29" s="17"/>
      <c r="Y29" s="17"/>
      <c r="Z29" s="17"/>
      <c r="AA29" s="17"/>
    </row>
    <row r="30" spans="1:27" ht="20.100000000000001" hidden="1" customHeight="1">
      <c r="J30" s="155"/>
      <c r="V30" s="17"/>
      <c r="W30" s="17"/>
      <c r="X30" s="17"/>
      <c r="Y30" s="17"/>
      <c r="Z30" s="17"/>
      <c r="AA30" s="17"/>
    </row>
    <row r="31" spans="1:27">
      <c r="V31" s="17"/>
      <c r="W31" s="17"/>
      <c r="X31" s="17"/>
      <c r="Y31" s="17"/>
      <c r="Z31" s="17"/>
      <c r="AA31" s="17"/>
    </row>
    <row r="32" spans="1:27">
      <c r="N32" s="17"/>
    </row>
    <row r="33" spans="1:16" ht="28.5" customHeight="1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>
      <c r="A34" s="724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>
      <c r="A35" s="725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>
      <c r="A36" s="725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>
      <c r="A37" s="725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>
      <c r="A38" s="725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>
      <c r="A39" s="725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>
      <c r="A40" s="725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>
      <c r="A41" s="725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>
      <c r="A42" s="725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>
      <c r="A43" s="725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>
      <c r="A44" s="725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>
      <c r="A45" s="725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>
      <c r="A46" s="725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>
      <c r="A47" s="726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2831</v>
      </c>
    </row>
    <row r="56" spans="1:28">
      <c r="M56" s="8" t="s">
        <v>2829</v>
      </c>
    </row>
    <row r="57" spans="1:28">
      <c r="M57" s="8" t="s">
        <v>2831</v>
      </c>
    </row>
    <row r="58" spans="1:28">
      <c r="M58" s="8" t="s">
        <v>2832</v>
      </c>
    </row>
  </sheetData>
  <mergeCells count="18"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23" t="s">
        <v>4503</v>
      </c>
      <c r="B2" s="723" t="s">
        <v>1</v>
      </c>
      <c r="C2" s="723" t="s">
        <v>2</v>
      </c>
      <c r="D2" s="723" t="s">
        <v>3</v>
      </c>
      <c r="E2" s="440" t="s">
        <v>2632</v>
      </c>
      <c r="F2" s="723" t="s">
        <v>5</v>
      </c>
      <c r="G2" s="723" t="s">
        <v>6</v>
      </c>
      <c r="H2" s="723" t="s">
        <v>2633</v>
      </c>
      <c r="I2" s="723" t="s">
        <v>55</v>
      </c>
      <c r="J2" s="723" t="s">
        <v>9</v>
      </c>
      <c r="K2" s="727" t="s">
        <v>56</v>
      </c>
      <c r="L2" s="723" t="s">
        <v>57</v>
      </c>
      <c r="M2" s="723" t="s">
        <v>58</v>
      </c>
    </row>
    <row r="3" spans="1:20">
      <c r="A3" s="723"/>
      <c r="B3" s="723"/>
      <c r="C3" s="723"/>
      <c r="D3" s="723"/>
      <c r="E3" s="441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20</v>
      </c>
      <c r="B4" s="424" t="s">
        <v>4977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>
      <c r="A5" s="531"/>
      <c r="B5" s="424" t="s">
        <v>4978</v>
      </c>
      <c r="C5" s="4" t="s">
        <v>19</v>
      </c>
      <c r="D5" s="4" t="s">
        <v>25</v>
      </c>
      <c r="E5" s="4" t="s">
        <v>308</v>
      </c>
      <c r="F5" s="203" t="s">
        <v>4991</v>
      </c>
      <c r="G5" s="16" t="s">
        <v>4989</v>
      </c>
      <c r="H5" s="426" t="s">
        <v>4990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>
      <c r="A6" s="531"/>
      <c r="B6" s="424" t="s">
        <v>4979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>
      <c r="A7" s="531"/>
      <c r="B7" s="424" t="s">
        <v>4979</v>
      </c>
      <c r="C7" s="4" t="s">
        <v>19</v>
      </c>
      <c r="D7" s="4" t="s">
        <v>25</v>
      </c>
      <c r="E7" s="4" t="s">
        <v>308</v>
      </c>
      <c r="F7" s="203" t="s">
        <v>4992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>
      <c r="A8" s="531"/>
      <c r="B8" s="531" t="s">
        <v>1138</v>
      </c>
      <c r="C8" s="531"/>
      <c r="D8" s="531"/>
      <c r="E8" s="531"/>
      <c r="F8" s="531"/>
      <c r="G8" s="531"/>
      <c r="H8" s="531"/>
      <c r="I8" s="531"/>
      <c r="J8" s="531"/>
      <c r="K8" s="531"/>
      <c r="L8" s="99">
        <f>SUM(L4:L7)</f>
        <v>3750000</v>
      </c>
      <c r="M8" s="45"/>
    </row>
    <row r="9" spans="1:20" ht="25.5" customHeight="1">
      <c r="A9" s="541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4946</v>
      </c>
      <c r="I9" s="31"/>
      <c r="J9" s="203" t="s">
        <v>68</v>
      </c>
      <c r="K9" s="129" t="s">
        <v>15</v>
      </c>
      <c r="L9" s="96">
        <v>300000</v>
      </c>
      <c r="M9" s="6" t="s">
        <v>4942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42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4941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4942</v>
      </c>
      <c r="P10" s="31" t="s">
        <v>4972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>
      <c r="A11" s="542"/>
      <c r="B11" s="424">
        <v>46087</v>
      </c>
      <c r="C11" s="4" t="s">
        <v>21</v>
      </c>
      <c r="D11" s="4" t="s">
        <v>17</v>
      </c>
      <c r="E11" s="31" t="s">
        <v>4962</v>
      </c>
      <c r="F11" s="31">
        <v>7064</v>
      </c>
      <c r="G11" s="16" t="s">
        <v>83</v>
      </c>
      <c r="H11" s="203" t="s">
        <v>4963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4942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>
      <c r="A12" s="542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4875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>
      <c r="A13" s="542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4974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>
      <c r="A14" s="542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4973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>
      <c r="A15" s="542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4952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>
      <c r="A16" s="542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4875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>
      <c r="A17" s="542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4951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>
      <c r="A18" s="542"/>
      <c r="B18" s="424">
        <v>46092</v>
      </c>
      <c r="C18" s="4" t="s">
        <v>21</v>
      </c>
      <c r="D18" s="4" t="s">
        <v>17</v>
      </c>
      <c r="E18" s="203" t="s">
        <v>4948</v>
      </c>
      <c r="F18" s="31" t="s">
        <v>4949</v>
      </c>
      <c r="G18" s="16" t="s">
        <v>103</v>
      </c>
      <c r="H18" s="203" t="s">
        <v>4976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>
      <c r="A19" s="542"/>
      <c r="B19" s="424">
        <v>46094</v>
      </c>
      <c r="C19" s="4" t="s">
        <v>21</v>
      </c>
      <c r="D19" s="4" t="s">
        <v>17</v>
      </c>
      <c r="E19" s="203" t="s">
        <v>4865</v>
      </c>
      <c r="F19" s="305" t="s">
        <v>4870</v>
      </c>
      <c r="G19" s="497" t="s">
        <v>23</v>
      </c>
      <c r="H19" s="203" t="s">
        <v>4871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>
      <c r="A20" s="543"/>
      <c r="B20" s="728" t="s">
        <v>1137</v>
      </c>
      <c r="C20" s="729"/>
      <c r="D20" s="729"/>
      <c r="E20" s="729"/>
      <c r="F20" s="729"/>
      <c r="G20" s="729"/>
      <c r="H20" s="729"/>
      <c r="I20" s="729"/>
      <c r="J20" s="729"/>
      <c r="K20" s="730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>
      <c r="A21" s="731" t="s">
        <v>62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24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4875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4980</v>
      </c>
    </row>
    <row r="37" spans="1:27" ht="33" customHeight="1">
      <c r="A37" s="725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4981</v>
      </c>
    </row>
    <row r="38" spans="1:27" ht="33" customHeight="1">
      <c r="A38" s="725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4982</v>
      </c>
    </row>
    <row r="39" spans="1:27" ht="33" customHeight="1">
      <c r="A39" s="725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4952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>
      <c r="A40" s="725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4875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>
      <c r="A41" s="725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4951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>
      <c r="A42" s="725"/>
      <c r="B42" s="424">
        <v>46092</v>
      </c>
      <c r="C42" s="4" t="s">
        <v>21</v>
      </c>
      <c r="D42" s="4" t="s">
        <v>17</v>
      </c>
      <c r="E42" s="203" t="s">
        <v>4948</v>
      </c>
      <c r="F42" s="31" t="s">
        <v>4949</v>
      </c>
      <c r="G42" s="16" t="s">
        <v>103</v>
      </c>
      <c r="H42" s="203" t="s">
        <v>4976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4983</v>
      </c>
    </row>
    <row r="43" spans="1:27" ht="33" customHeight="1">
      <c r="A43" s="725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4984</v>
      </c>
    </row>
    <row r="44" spans="1:27" ht="33" customHeight="1">
      <c r="A44" s="725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4985</v>
      </c>
    </row>
    <row r="45" spans="1:27" ht="33" customHeight="1">
      <c r="A45" s="725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>
      <c r="A46" s="725"/>
      <c r="B46" s="424">
        <v>46094</v>
      </c>
      <c r="C46" s="4" t="s">
        <v>21</v>
      </c>
      <c r="D46" s="4" t="s">
        <v>17</v>
      </c>
      <c r="E46" s="203" t="s">
        <v>4865</v>
      </c>
      <c r="F46" s="305" t="s">
        <v>4870</v>
      </c>
      <c r="G46" s="497" t="s">
        <v>23</v>
      </c>
      <c r="H46" s="203" t="s">
        <v>4871</v>
      </c>
      <c r="I46" s="31"/>
      <c r="J46" s="203" t="s">
        <v>642</v>
      </c>
      <c r="K46" s="129" t="s">
        <v>15</v>
      </c>
      <c r="L46" s="16">
        <v>2</v>
      </c>
      <c r="M46" s="505" t="s">
        <v>4986</v>
      </c>
    </row>
    <row r="47" spans="1:27" ht="33" customHeight="1">
      <c r="A47" s="725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4987</v>
      </c>
    </row>
    <row r="48" spans="1:27" ht="33" customHeight="1">
      <c r="A48" s="725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4988</v>
      </c>
    </row>
    <row r="49" spans="1:28" ht="33" customHeight="1">
      <c r="A49" s="726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2831</v>
      </c>
    </row>
    <row r="58" spans="1:28">
      <c r="M58" s="8" t="s">
        <v>2829</v>
      </c>
    </row>
    <row r="59" spans="1:28">
      <c r="M59" s="8" t="s">
        <v>2831</v>
      </c>
    </row>
    <row r="60" spans="1:28">
      <c r="M60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23" t="s">
        <v>4822</v>
      </c>
      <c r="B2" s="723" t="s">
        <v>1</v>
      </c>
      <c r="C2" s="723" t="s">
        <v>2</v>
      </c>
      <c r="D2" s="723" t="s">
        <v>3</v>
      </c>
      <c r="E2" s="440" t="s">
        <v>2632</v>
      </c>
      <c r="F2" s="723" t="s">
        <v>5</v>
      </c>
      <c r="G2" s="723" t="s">
        <v>6</v>
      </c>
      <c r="H2" s="723" t="s">
        <v>2633</v>
      </c>
      <c r="I2" s="723" t="s">
        <v>55</v>
      </c>
      <c r="J2" s="723" t="s">
        <v>9</v>
      </c>
      <c r="K2" s="727" t="s">
        <v>56</v>
      </c>
      <c r="L2" s="723" t="s">
        <v>57</v>
      </c>
      <c r="M2" s="723" t="s">
        <v>58</v>
      </c>
    </row>
    <row r="3" spans="1:20">
      <c r="A3" s="723"/>
      <c r="B3" s="723"/>
      <c r="C3" s="723"/>
      <c r="D3" s="723"/>
      <c r="E3" s="441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20</v>
      </c>
      <c r="B4" s="424" t="s">
        <v>4849</v>
      </c>
      <c r="C4" s="4" t="s">
        <v>19</v>
      </c>
      <c r="D4" s="4" t="s">
        <v>152</v>
      </c>
      <c r="E4" s="4" t="s">
        <v>308</v>
      </c>
      <c r="F4" s="203" t="s">
        <v>4938</v>
      </c>
      <c r="G4" s="16" t="s">
        <v>4939</v>
      </c>
      <c r="H4" s="426" t="s">
        <v>4860</v>
      </c>
      <c r="I4" s="4" t="s">
        <v>169</v>
      </c>
      <c r="J4" s="4" t="s">
        <v>4848</v>
      </c>
      <c r="K4" s="4"/>
      <c r="L4" s="99">
        <v>600000</v>
      </c>
      <c r="M4" s="6" t="s">
        <v>4722</v>
      </c>
    </row>
    <row r="5" spans="1:20" ht="27.75" customHeight="1">
      <c r="A5" s="531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4841</v>
      </c>
    </row>
    <row r="6" spans="1:20" ht="27.75" customHeight="1">
      <c r="A6" s="531"/>
      <c r="B6" s="424" t="s">
        <v>4898</v>
      </c>
      <c r="C6" s="4" t="s">
        <v>19</v>
      </c>
      <c r="D6" s="4" t="s">
        <v>25</v>
      </c>
      <c r="E6" s="4" t="s">
        <v>308</v>
      </c>
      <c r="F6" s="203" t="s">
        <v>4931</v>
      </c>
      <c r="G6" s="16" t="s">
        <v>4932</v>
      </c>
      <c r="H6" s="426" t="s">
        <v>4930</v>
      </c>
      <c r="I6" s="4" t="s">
        <v>221</v>
      </c>
      <c r="J6" s="4" t="s">
        <v>4927</v>
      </c>
      <c r="K6" s="4"/>
      <c r="L6" s="99">
        <v>500000</v>
      </c>
      <c r="M6" s="6"/>
    </row>
    <row r="7" spans="1:20" ht="27.75" customHeight="1">
      <c r="A7" s="531"/>
      <c r="B7" s="424" t="s">
        <v>4896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4928</v>
      </c>
      <c r="H7" s="426" t="s">
        <v>4926</v>
      </c>
      <c r="I7" s="4" t="s">
        <v>221</v>
      </c>
      <c r="J7" s="4" t="s">
        <v>4927</v>
      </c>
      <c r="K7" s="4"/>
      <c r="L7" s="99">
        <v>500000</v>
      </c>
      <c r="M7" s="6"/>
    </row>
    <row r="8" spans="1:20" ht="27.75" customHeight="1">
      <c r="A8" s="531"/>
      <c r="B8" s="424" t="s">
        <v>4897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4928</v>
      </c>
      <c r="H8" s="426" t="s">
        <v>4930</v>
      </c>
      <c r="I8" s="4" t="s">
        <v>221</v>
      </c>
      <c r="J8" s="4" t="s">
        <v>4899</v>
      </c>
      <c r="K8" s="4"/>
      <c r="L8" s="99">
        <v>1000000</v>
      </c>
      <c r="M8" s="6"/>
    </row>
    <row r="9" spans="1:20" ht="27.75" customHeight="1">
      <c r="A9" s="531"/>
      <c r="B9" s="424" t="s">
        <v>4898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4935</v>
      </c>
      <c r="H9" s="426" t="s">
        <v>4936</v>
      </c>
      <c r="I9" s="4" t="s">
        <v>221</v>
      </c>
      <c r="J9" s="4" t="s">
        <v>4900</v>
      </c>
      <c r="K9" s="4"/>
      <c r="L9" s="99">
        <v>500000</v>
      </c>
      <c r="M9" s="6"/>
    </row>
    <row r="10" spans="1:20" ht="27.75" customHeight="1">
      <c r="A10" s="531"/>
      <c r="B10" s="424" t="s">
        <v>4896</v>
      </c>
      <c r="C10" s="4" t="s">
        <v>19</v>
      </c>
      <c r="D10" s="4" t="s">
        <v>25</v>
      </c>
      <c r="E10" s="4" t="s">
        <v>308</v>
      </c>
      <c r="F10" s="203" t="s">
        <v>4934</v>
      </c>
      <c r="G10" s="16" t="s">
        <v>4933</v>
      </c>
      <c r="H10" s="426" t="s">
        <v>4929</v>
      </c>
      <c r="I10" s="4" t="s">
        <v>221</v>
      </c>
      <c r="J10" s="4" t="s">
        <v>4900</v>
      </c>
      <c r="K10" s="4"/>
      <c r="L10" s="99">
        <v>500000</v>
      </c>
      <c r="M10" s="6"/>
    </row>
    <row r="11" spans="1:20" ht="26.25" customHeight="1">
      <c r="A11" s="531"/>
      <c r="B11" s="531" t="s">
        <v>1138</v>
      </c>
      <c r="C11" s="531"/>
      <c r="D11" s="531"/>
      <c r="E11" s="531"/>
      <c r="F11" s="531"/>
      <c r="G11" s="531"/>
      <c r="H11" s="531"/>
      <c r="I11" s="531"/>
      <c r="J11" s="531"/>
      <c r="K11" s="531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>
      <c r="A12" s="541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4823</v>
      </c>
      <c r="I12" s="203"/>
      <c r="J12" s="203" t="s">
        <v>4820</v>
      </c>
      <c r="K12" s="129" t="s">
        <v>4821</v>
      </c>
      <c r="L12" s="96">
        <v>500000</v>
      </c>
      <c r="M12" s="6" t="s">
        <v>4842</v>
      </c>
      <c r="P12" s="31" t="s">
        <v>4893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>
      <c r="A13" s="542"/>
      <c r="B13" s="424">
        <v>46080</v>
      </c>
      <c r="C13" s="4" t="s">
        <v>64</v>
      </c>
      <c r="D13" s="4" t="s">
        <v>77</v>
      </c>
      <c r="E13" s="31" t="s">
        <v>4868</v>
      </c>
      <c r="F13" s="31" t="s">
        <v>363</v>
      </c>
      <c r="G13" s="16" t="s">
        <v>3368</v>
      </c>
      <c r="H13" s="203" t="s">
        <v>4869</v>
      </c>
      <c r="I13" s="31"/>
      <c r="J13" s="203" t="s">
        <v>4023</v>
      </c>
      <c r="K13" s="129" t="s">
        <v>106</v>
      </c>
      <c r="L13" s="96">
        <v>600000</v>
      </c>
      <c r="M13" s="6" t="s">
        <v>4842</v>
      </c>
      <c r="N13" s="434"/>
      <c r="P13" s="31" t="s">
        <v>4894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>
      <c r="A14" s="542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4875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4920</v>
      </c>
      <c r="P14" s="31" t="s">
        <v>4895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>
      <c r="A15" s="542"/>
      <c r="B15" s="424">
        <v>46084</v>
      </c>
      <c r="C15" s="4" t="s">
        <v>21</v>
      </c>
      <c r="D15" s="4" t="s">
        <v>14</v>
      </c>
      <c r="E15" s="31" t="s">
        <v>4888</v>
      </c>
      <c r="F15" s="203" t="s">
        <v>4883</v>
      </c>
      <c r="G15" s="16" t="s">
        <v>4885</v>
      </c>
      <c r="H15" s="203" t="s">
        <v>4909</v>
      </c>
      <c r="I15" s="31"/>
      <c r="J15" s="203" t="s">
        <v>4886</v>
      </c>
      <c r="K15" s="129" t="s">
        <v>15</v>
      </c>
      <c r="L15" s="96">
        <v>250000</v>
      </c>
      <c r="M15" s="6" t="s">
        <v>4921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>
      <c r="A16" s="542"/>
      <c r="B16" s="424">
        <v>46084</v>
      </c>
      <c r="C16" s="4" t="s">
        <v>21</v>
      </c>
      <c r="D16" s="4" t="s">
        <v>14</v>
      </c>
      <c r="E16" s="203" t="s">
        <v>4882</v>
      </c>
      <c r="F16" s="31" t="s">
        <v>109</v>
      </c>
      <c r="G16" s="16" t="s">
        <v>143</v>
      </c>
      <c r="H16" s="328" t="s">
        <v>4908</v>
      </c>
      <c r="I16" s="31"/>
      <c r="J16" s="31" t="s">
        <v>4901</v>
      </c>
      <c r="K16" s="129" t="s">
        <v>15</v>
      </c>
      <c r="L16" s="96">
        <v>300000</v>
      </c>
      <c r="M16" s="6" t="s">
        <v>4922</v>
      </c>
      <c r="N16" s="434"/>
    </row>
    <row r="17" spans="1:27" ht="25.5" customHeight="1">
      <c r="A17" s="542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4834</v>
      </c>
      <c r="G17" s="16" t="s">
        <v>4832</v>
      </c>
      <c r="H17" s="203" t="s">
        <v>4910</v>
      </c>
      <c r="I17" s="31"/>
      <c r="J17" s="203" t="s">
        <v>4902</v>
      </c>
      <c r="K17" s="129" t="s">
        <v>15</v>
      </c>
      <c r="L17" s="96">
        <v>500000</v>
      </c>
      <c r="M17" s="6" t="s">
        <v>4923</v>
      </c>
    </row>
    <row r="18" spans="1:27" ht="25.5" customHeight="1">
      <c r="A18" s="542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4878</v>
      </c>
      <c r="H18" s="328" t="s">
        <v>4911</v>
      </c>
      <c r="I18" s="31"/>
      <c r="J18" s="31" t="s">
        <v>4876</v>
      </c>
      <c r="K18" s="129" t="s">
        <v>15</v>
      </c>
      <c r="L18" s="96">
        <v>300000</v>
      </c>
      <c r="M18" s="6" t="s">
        <v>4924</v>
      </c>
      <c r="N18" s="434"/>
    </row>
    <row r="19" spans="1:27" ht="25.5" customHeight="1">
      <c r="A19" s="542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4864</v>
      </c>
      <c r="I19" s="31"/>
      <c r="J19" s="203" t="s">
        <v>642</v>
      </c>
      <c r="K19" s="129" t="s">
        <v>15</v>
      </c>
      <c r="L19" s="99">
        <v>500000</v>
      </c>
      <c r="M19" s="45" t="s">
        <v>4925</v>
      </c>
      <c r="P19" s="17"/>
      <c r="Q19" s="17"/>
      <c r="R19" s="17"/>
      <c r="S19" s="17"/>
      <c r="T19" s="17"/>
    </row>
    <row r="20" spans="1:27" ht="25.5" customHeight="1">
      <c r="A20" s="543"/>
      <c r="B20" s="728" t="s">
        <v>1137</v>
      </c>
      <c r="C20" s="729"/>
      <c r="D20" s="729"/>
      <c r="E20" s="729"/>
      <c r="F20" s="729"/>
      <c r="G20" s="729"/>
      <c r="H20" s="729"/>
      <c r="I20" s="729"/>
      <c r="J20" s="729"/>
      <c r="K20" s="730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>
      <c r="A21" s="731" t="s">
        <v>62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O32" s="17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24" t="s">
        <v>4906</v>
      </c>
      <c r="B36" s="424">
        <v>46083</v>
      </c>
      <c r="C36" s="4"/>
      <c r="D36" s="4"/>
      <c r="E36" s="305"/>
      <c r="F36" s="31"/>
      <c r="G36" s="16"/>
      <c r="H36" s="468" t="s">
        <v>4728</v>
      </c>
      <c r="I36" s="31"/>
      <c r="J36" s="31"/>
      <c r="K36" s="129"/>
      <c r="L36" s="16"/>
      <c r="M36" s="464"/>
    </row>
    <row r="37" spans="1:27" ht="33" customHeight="1">
      <c r="A37" s="725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>
      <c r="A38" s="725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4875</v>
      </c>
      <c r="I38" s="31" t="s">
        <v>90</v>
      </c>
      <c r="J38" s="203" t="s">
        <v>687</v>
      </c>
      <c r="K38" s="129" t="s">
        <v>15</v>
      </c>
      <c r="L38" s="16"/>
      <c r="M38" s="464" t="s">
        <v>4912</v>
      </c>
    </row>
    <row r="39" spans="1:27" ht="33" customHeight="1">
      <c r="A39" s="725"/>
      <c r="B39" s="424">
        <v>46084</v>
      </c>
      <c r="C39" s="4" t="s">
        <v>21</v>
      </c>
      <c r="D39" s="4" t="s">
        <v>14</v>
      </c>
      <c r="E39" s="31" t="s">
        <v>4888</v>
      </c>
      <c r="F39" s="203" t="s">
        <v>4883</v>
      </c>
      <c r="G39" s="16" t="s">
        <v>4885</v>
      </c>
      <c r="H39" s="203" t="s">
        <v>4887</v>
      </c>
      <c r="I39" s="31"/>
      <c r="J39" s="203" t="s">
        <v>4886</v>
      </c>
      <c r="K39" s="129" t="s">
        <v>15</v>
      </c>
      <c r="L39" s="16"/>
      <c r="M39" s="464" t="s">
        <v>4913</v>
      </c>
    </row>
    <row r="40" spans="1:27" ht="33" customHeight="1">
      <c r="A40" s="725"/>
      <c r="B40" s="424">
        <v>46084</v>
      </c>
      <c r="C40" s="4" t="s">
        <v>21</v>
      </c>
      <c r="D40" s="4" t="s">
        <v>14</v>
      </c>
      <c r="E40" s="203" t="s">
        <v>4882</v>
      </c>
      <c r="F40" s="31" t="s">
        <v>109</v>
      </c>
      <c r="G40" s="16" t="s">
        <v>143</v>
      </c>
      <c r="H40" s="328" t="s">
        <v>4892</v>
      </c>
      <c r="I40" s="31"/>
      <c r="J40" s="31" t="s">
        <v>4901</v>
      </c>
      <c r="K40" s="129" t="s">
        <v>15</v>
      </c>
      <c r="L40" s="16"/>
      <c r="M40" s="464" t="s">
        <v>4914</v>
      </c>
    </row>
    <row r="41" spans="1:27" ht="33" customHeight="1">
      <c r="A41" s="725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4834</v>
      </c>
      <c r="G41" s="16" t="s">
        <v>4832</v>
      </c>
      <c r="H41" s="203" t="s">
        <v>4905</v>
      </c>
      <c r="I41" s="31"/>
      <c r="J41" s="203" t="s">
        <v>4902</v>
      </c>
      <c r="K41" s="129" t="s">
        <v>15</v>
      </c>
      <c r="L41" s="16"/>
      <c r="M41" s="464" t="s">
        <v>4915</v>
      </c>
    </row>
    <row r="42" spans="1:27" ht="33" customHeight="1">
      <c r="A42" s="725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4916</v>
      </c>
    </row>
    <row r="43" spans="1:27" ht="33" customHeight="1">
      <c r="A43" s="725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4878</v>
      </c>
      <c r="H43" s="328" t="s">
        <v>4877</v>
      </c>
      <c r="I43" s="31"/>
      <c r="J43" s="31" t="s">
        <v>4876</v>
      </c>
      <c r="K43" s="129" t="s">
        <v>15</v>
      </c>
      <c r="L43" s="16"/>
      <c r="M43" s="464" t="s">
        <v>4917</v>
      </c>
    </row>
    <row r="44" spans="1:27" ht="33" customHeight="1">
      <c r="A44" s="725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>
      <c r="A45" s="725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4864</v>
      </c>
      <c r="I45" s="31"/>
      <c r="J45" s="203" t="s">
        <v>642</v>
      </c>
      <c r="K45" s="129" t="s">
        <v>15</v>
      </c>
      <c r="L45" s="16"/>
      <c r="M45" s="464" t="s">
        <v>4918</v>
      </c>
    </row>
    <row r="46" spans="1:27" ht="33" customHeight="1">
      <c r="A46" s="725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4919</v>
      </c>
    </row>
    <row r="47" spans="1:27" ht="33" customHeight="1">
      <c r="A47" s="725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>
      <c r="A48" s="726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2831</v>
      </c>
    </row>
    <row r="57" spans="1:28">
      <c r="M57" s="8" t="s">
        <v>2829</v>
      </c>
    </row>
    <row r="58" spans="1:28">
      <c r="M58" s="8" t="s">
        <v>2831</v>
      </c>
    </row>
    <row r="59" spans="1:28">
      <c r="M59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23" t="s">
        <v>4502</v>
      </c>
      <c r="B2" s="723" t="s">
        <v>1</v>
      </c>
      <c r="C2" s="723" t="s">
        <v>2</v>
      </c>
      <c r="D2" s="723" t="s">
        <v>3</v>
      </c>
      <c r="E2" s="440" t="s">
        <v>2632</v>
      </c>
      <c r="F2" s="723" t="s">
        <v>5</v>
      </c>
      <c r="G2" s="723" t="s">
        <v>6</v>
      </c>
      <c r="H2" s="723" t="s">
        <v>2633</v>
      </c>
      <c r="I2" s="723" t="s">
        <v>55</v>
      </c>
      <c r="J2" s="723" t="s">
        <v>9</v>
      </c>
      <c r="K2" s="727" t="s">
        <v>56</v>
      </c>
      <c r="L2" s="723" t="s">
        <v>57</v>
      </c>
      <c r="M2" s="723" t="s">
        <v>58</v>
      </c>
    </row>
    <row r="3" spans="1:20">
      <c r="A3" s="723"/>
      <c r="B3" s="723"/>
      <c r="C3" s="723"/>
      <c r="D3" s="723"/>
      <c r="E3" s="441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20</v>
      </c>
      <c r="B4" s="424" t="s">
        <v>4789</v>
      </c>
      <c r="C4" s="4" t="s">
        <v>125</v>
      </c>
      <c r="D4" s="4" t="s">
        <v>152</v>
      </c>
      <c r="E4" s="4" t="s">
        <v>308</v>
      </c>
      <c r="F4" s="203" t="s">
        <v>4796</v>
      </c>
      <c r="G4" s="16" t="s">
        <v>4797</v>
      </c>
      <c r="H4" s="426" t="s">
        <v>4798</v>
      </c>
      <c r="I4" s="4" t="s">
        <v>4790</v>
      </c>
      <c r="J4" s="4" t="s">
        <v>3292</v>
      </c>
      <c r="K4" s="4"/>
      <c r="L4" s="99">
        <v>1250000</v>
      </c>
      <c r="M4" s="6"/>
    </row>
    <row r="5" spans="1:20" ht="27.75" customHeight="1">
      <c r="A5" s="531"/>
      <c r="B5" s="424" t="s">
        <v>4789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4799</v>
      </c>
      <c r="H5" s="426" t="s">
        <v>4800</v>
      </c>
      <c r="I5" s="4" t="s">
        <v>4790</v>
      </c>
      <c r="J5" s="4" t="s">
        <v>3448</v>
      </c>
      <c r="K5" s="4"/>
      <c r="L5" s="99">
        <v>1250000</v>
      </c>
      <c r="M5" s="6"/>
    </row>
    <row r="6" spans="1:20" ht="27.75" customHeight="1">
      <c r="A6" s="531"/>
      <c r="B6" s="424" t="s">
        <v>4787</v>
      </c>
      <c r="C6" s="4" t="s">
        <v>125</v>
      </c>
      <c r="D6" s="4" t="s">
        <v>152</v>
      </c>
      <c r="E6" s="4" t="s">
        <v>308</v>
      </c>
      <c r="F6" s="203" t="s">
        <v>4810</v>
      </c>
      <c r="G6" s="16" t="s">
        <v>4802</v>
      </c>
      <c r="H6" s="426" t="s">
        <v>4811</v>
      </c>
      <c r="I6" s="4" t="s">
        <v>4790</v>
      </c>
      <c r="J6" s="4" t="s">
        <v>3029</v>
      </c>
      <c r="K6" s="4"/>
      <c r="L6" s="99">
        <v>750000</v>
      </c>
      <c r="M6" s="6"/>
    </row>
    <row r="7" spans="1:20" ht="27.75" customHeight="1">
      <c r="A7" s="531"/>
      <c r="B7" s="424" t="s">
        <v>4788</v>
      </c>
      <c r="C7" s="4" t="s">
        <v>125</v>
      </c>
      <c r="D7" s="4" t="s">
        <v>152</v>
      </c>
      <c r="E7" s="4" t="s">
        <v>308</v>
      </c>
      <c r="F7" s="203" t="s">
        <v>4807</v>
      </c>
      <c r="G7" s="16" t="s">
        <v>4808</v>
      </c>
      <c r="H7" s="426" t="s">
        <v>4809</v>
      </c>
      <c r="I7" s="4" t="s">
        <v>4790</v>
      </c>
      <c r="J7" s="4" t="s">
        <v>2854</v>
      </c>
      <c r="K7" s="4"/>
      <c r="L7" s="99">
        <v>500000</v>
      </c>
      <c r="M7" s="6"/>
    </row>
    <row r="8" spans="1:20" ht="26.25" customHeight="1">
      <c r="A8" s="531"/>
      <c r="B8" s="531" t="s">
        <v>1138</v>
      </c>
      <c r="C8" s="531"/>
      <c r="D8" s="531"/>
      <c r="E8" s="531"/>
      <c r="F8" s="531"/>
      <c r="G8" s="531"/>
      <c r="H8" s="531"/>
      <c r="I8" s="531"/>
      <c r="J8" s="531"/>
      <c r="K8" s="531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>
      <c r="A9" s="541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4751</v>
      </c>
      <c r="I9" s="203"/>
      <c r="J9" s="203" t="s">
        <v>4757</v>
      </c>
      <c r="K9" s="129" t="s">
        <v>15</v>
      </c>
      <c r="L9" s="96">
        <v>250000</v>
      </c>
      <c r="M9" s="6" t="s">
        <v>4758</v>
      </c>
      <c r="P9" s="31" t="s">
        <v>4801</v>
      </c>
      <c r="Q9" s="427"/>
      <c r="R9" s="427">
        <v>500000</v>
      </c>
      <c r="S9" s="423"/>
      <c r="T9" s="423">
        <f>SUM(Q9:S9)</f>
        <v>500000</v>
      </c>
    </row>
    <row r="10" spans="1:20" ht="25.5" customHeight="1">
      <c r="A10" s="542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4814</v>
      </c>
      <c r="G10" s="16" t="s">
        <v>4815</v>
      </c>
      <c r="H10" s="203" t="s">
        <v>4816</v>
      </c>
      <c r="I10" s="31"/>
      <c r="J10" s="203" t="s">
        <v>154</v>
      </c>
      <c r="K10" s="129" t="s">
        <v>15</v>
      </c>
      <c r="L10" s="96">
        <v>250000</v>
      </c>
      <c r="M10" s="6" t="s">
        <v>4758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>
      <c r="A11" s="542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4791</v>
      </c>
      <c r="I11" s="31"/>
      <c r="J11" s="203" t="s">
        <v>3115</v>
      </c>
      <c r="K11" s="129" t="s">
        <v>15</v>
      </c>
      <c r="L11" s="96">
        <v>300000</v>
      </c>
      <c r="M11" s="6" t="s">
        <v>4792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>
      <c r="A12" s="542"/>
      <c r="B12" s="424">
        <v>46077</v>
      </c>
      <c r="C12" s="4" t="s">
        <v>21</v>
      </c>
      <c r="D12" s="4" t="s">
        <v>30</v>
      </c>
      <c r="E12" s="31" t="s">
        <v>4770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4793</v>
      </c>
      <c r="N12" s="434"/>
    </row>
    <row r="13" spans="1:20" ht="25.5" customHeight="1">
      <c r="A13" s="542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4631</v>
      </c>
      <c r="G13" s="465" t="s">
        <v>4630</v>
      </c>
      <c r="H13" s="203" t="s">
        <v>4777</v>
      </c>
      <c r="I13" s="31"/>
      <c r="J13" s="203" t="s">
        <v>642</v>
      </c>
      <c r="K13" s="129" t="s">
        <v>15</v>
      </c>
      <c r="L13" s="96">
        <v>500000</v>
      </c>
      <c r="M13" s="6" t="s">
        <v>4794</v>
      </c>
    </row>
    <row r="14" spans="1:20" ht="25.5" customHeight="1">
      <c r="A14" s="542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4775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4795</v>
      </c>
    </row>
    <row r="15" spans="1:20" ht="25.5" customHeight="1">
      <c r="A15" s="542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4772</v>
      </c>
      <c r="I15" s="31" t="s">
        <v>90</v>
      </c>
      <c r="J15" s="203" t="s">
        <v>4768</v>
      </c>
      <c r="K15" s="129" t="s">
        <v>15</v>
      </c>
      <c r="L15" s="96">
        <v>500000</v>
      </c>
      <c r="M15" s="6" t="s">
        <v>4792</v>
      </c>
    </row>
    <row r="16" spans="1:20" ht="25.5" customHeight="1">
      <c r="A16" s="543"/>
      <c r="B16" s="728" t="s">
        <v>1137</v>
      </c>
      <c r="C16" s="729"/>
      <c r="D16" s="729"/>
      <c r="E16" s="729"/>
      <c r="F16" s="729"/>
      <c r="G16" s="729"/>
      <c r="H16" s="729"/>
      <c r="I16" s="729"/>
      <c r="J16" s="729"/>
      <c r="K16" s="730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>
      <c r="A17" s="731" t="s">
        <v>62</v>
      </c>
      <c r="B17" s="731"/>
      <c r="C17" s="731"/>
      <c r="D17" s="731"/>
      <c r="E17" s="731"/>
      <c r="F17" s="731"/>
      <c r="G17" s="731"/>
      <c r="H17" s="731"/>
      <c r="I17" s="731"/>
      <c r="J17" s="731"/>
      <c r="K17" s="731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>
      <c r="J28" s="155"/>
      <c r="O28" s="17"/>
      <c r="V28" s="17"/>
      <c r="W28" s="17"/>
      <c r="X28" s="17"/>
      <c r="Y28" s="17"/>
      <c r="Z28" s="17"/>
      <c r="AA28" s="17"/>
    </row>
    <row r="29" spans="1:27">
      <c r="V29" s="17"/>
      <c r="W29" s="17"/>
      <c r="X29" s="17"/>
      <c r="Y29" s="17"/>
      <c r="Z29" s="17"/>
      <c r="AA29" s="17"/>
    </row>
    <row r="30" spans="1:27">
      <c r="N30" s="17"/>
    </row>
    <row r="31" spans="1:27" ht="28.5" customHeight="1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>
      <c r="A32" s="724" t="s">
        <v>4774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4741</v>
      </c>
      <c r="J32" s="203"/>
      <c r="K32" s="129" t="s">
        <v>182</v>
      </c>
      <c r="L32" s="16">
        <v>1</v>
      </c>
      <c r="M32" s="464" t="s">
        <v>4779</v>
      </c>
    </row>
    <row r="33" spans="1:21" ht="33" customHeight="1">
      <c r="A33" s="725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4776</v>
      </c>
      <c r="I33" s="31"/>
      <c r="J33" s="203" t="s">
        <v>4778</v>
      </c>
      <c r="K33" s="129" t="s">
        <v>15</v>
      </c>
      <c r="L33" s="16">
        <v>2</v>
      </c>
      <c r="M33" s="464" t="s">
        <v>4780</v>
      </c>
    </row>
    <row r="34" spans="1:21" ht="33" customHeight="1">
      <c r="A34" s="725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4741</v>
      </c>
      <c r="J34" s="203"/>
      <c r="K34" s="129" t="s">
        <v>182</v>
      </c>
      <c r="L34" s="16">
        <v>1</v>
      </c>
      <c r="M34" s="8" t="s">
        <v>4781</v>
      </c>
    </row>
    <row r="35" spans="1:21" ht="33" customHeight="1">
      <c r="A35" s="725"/>
      <c r="B35" s="429"/>
      <c r="C35" s="4" t="s">
        <v>21</v>
      </c>
      <c r="D35" s="4" t="s">
        <v>30</v>
      </c>
      <c r="E35" s="31" t="s">
        <v>4770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>
      <c r="A36" s="725"/>
      <c r="B36" s="429"/>
      <c r="C36" s="4" t="s">
        <v>21</v>
      </c>
      <c r="D36" s="4" t="s">
        <v>17</v>
      </c>
      <c r="E36" s="203" t="s">
        <v>3350</v>
      </c>
      <c r="F36" s="305" t="s">
        <v>4631</v>
      </c>
      <c r="G36" s="450" t="s">
        <v>4630</v>
      </c>
      <c r="H36" s="203" t="s">
        <v>4777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>
      <c r="A37" s="725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4742</v>
      </c>
      <c r="I37" s="31" t="s">
        <v>4741</v>
      </c>
      <c r="J37" s="203"/>
      <c r="K37" s="129" t="s">
        <v>182</v>
      </c>
      <c r="L37" s="16">
        <v>1</v>
      </c>
      <c r="M37" s="8" t="s">
        <v>4782</v>
      </c>
    </row>
    <row r="38" spans="1:21" ht="33" customHeight="1">
      <c r="A38" s="725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4775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>
      <c r="A39" s="725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4783</v>
      </c>
    </row>
    <row r="40" spans="1:21" ht="33" customHeight="1">
      <c r="A40" s="725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4784</v>
      </c>
    </row>
    <row r="41" spans="1:21" ht="33" customHeight="1">
      <c r="A41" s="725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4772</v>
      </c>
      <c r="I41" s="31" t="s">
        <v>90</v>
      </c>
      <c r="J41" s="203" t="s">
        <v>4768</v>
      </c>
      <c r="K41" s="129" t="s">
        <v>15</v>
      </c>
      <c r="L41" s="16">
        <v>3</v>
      </c>
      <c r="M41" s="8" t="s">
        <v>4785</v>
      </c>
    </row>
    <row r="42" spans="1:21" ht="33" customHeight="1">
      <c r="A42" s="725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4786</v>
      </c>
    </row>
    <row r="43" spans="1:21" ht="33" customHeight="1">
      <c r="A43" s="725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>
      <c r="A44" s="726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>
      <c r="M55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2026-03-13T05:23:03Z</dcterms:modified>
</cp:coreProperties>
</file>